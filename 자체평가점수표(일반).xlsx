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KOTI\Desktop\자체평가점수표\"/>
    </mc:Choice>
  </mc:AlternateContent>
  <xr:revisionPtr revIDLastSave="0" documentId="13_ncr:1_{7E90C942-E07E-4553-BE39-737E3F24B3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일반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7" i="2" l="1"/>
  <c r="F56" i="2"/>
  <c r="F55" i="2"/>
  <c r="F54" i="2"/>
  <c r="F53" i="2"/>
  <c r="F52" i="2"/>
  <c r="F51" i="2"/>
  <c r="D49" i="2"/>
  <c r="F48" i="2"/>
  <c r="F47" i="2"/>
  <c r="F46" i="2"/>
  <c r="F45" i="2"/>
  <c r="D44" i="2"/>
  <c r="D58" i="2" s="1"/>
  <c r="D59" i="2" s="1"/>
  <c r="F43" i="2"/>
  <c r="F42" i="2"/>
  <c r="F41" i="2"/>
  <c r="F40" i="2"/>
  <c r="F39" i="2"/>
  <c r="D37" i="2"/>
  <c r="F36" i="2"/>
  <c r="F35" i="2"/>
  <c r="F34" i="2"/>
  <c r="F33" i="2"/>
  <c r="D32" i="2"/>
  <c r="F31" i="2"/>
  <c r="F30" i="2"/>
  <c r="F29" i="2"/>
  <c r="F28" i="2"/>
  <c r="F27" i="2"/>
  <c r="D26" i="2"/>
  <c r="F25" i="2"/>
  <c r="F24" i="2"/>
  <c r="F23" i="2"/>
  <c r="F22" i="2"/>
  <c r="F21" i="2"/>
  <c r="F20" i="2"/>
  <c r="D19" i="2"/>
  <c r="F18" i="2"/>
  <c r="F17" i="2"/>
  <c r="F16" i="2"/>
  <c r="F15" i="2"/>
  <c r="F14" i="2"/>
  <c r="D13" i="2"/>
  <c r="F12" i="2"/>
  <c r="F11" i="2"/>
  <c r="F10" i="2"/>
  <c r="F9" i="2"/>
  <c r="D8" i="2"/>
  <c r="D38" i="2" s="1"/>
  <c r="F7" i="2"/>
  <c r="F6" i="2"/>
  <c r="F5" i="2"/>
  <c r="F4" i="2"/>
  <c r="F3" i="2"/>
  <c r="F57" i="2" l="1"/>
  <c r="F50" i="2"/>
  <c r="F49" i="2"/>
  <c r="F44" i="2"/>
  <c r="F37" i="2"/>
  <c r="F32" i="2"/>
  <c r="F26" i="2"/>
  <c r="F19" i="2"/>
  <c r="F13" i="2"/>
  <c r="F8" i="2"/>
  <c r="F58" i="2" l="1"/>
  <c r="F38" i="2"/>
  <c r="F59" i="2" l="1"/>
</calcChain>
</file>

<file path=xl/sharedStrings.xml><?xml version="1.0" encoding="utf-8"?>
<sst xmlns="http://schemas.openxmlformats.org/spreadsheetml/2006/main" count="90" uniqueCount="81">
  <si>
    <t>스마트물류센터(일반) 인증 평가영역별 자체평가점수표</t>
  </si>
  <si>
    <t>평가영역</t>
  </si>
  <si>
    <t>평가항목</t>
  </si>
  <si>
    <t>1. 기능영역</t>
    <phoneticPr fontId="1" type="noConversion"/>
  </si>
  <si>
    <t>1. 하차 및 입고</t>
    <phoneticPr fontId="1" type="noConversion"/>
  </si>
  <si>
    <t>세부항목</t>
    <phoneticPr fontId="1" type="noConversion"/>
  </si>
  <si>
    <t>1. 입고예정정보의 확인</t>
    <phoneticPr fontId="1" type="noConversion"/>
  </si>
  <si>
    <t>배점</t>
    <phoneticPr fontId="1" type="noConversion"/>
  </si>
  <si>
    <t>득점</t>
    <phoneticPr fontId="1" type="noConversion"/>
  </si>
  <si>
    <t>2. 운반 및 적치</t>
    <phoneticPr fontId="1" type="noConversion"/>
  </si>
  <si>
    <t>2. 하역 작업</t>
    <phoneticPr fontId="1" type="noConversion"/>
  </si>
  <si>
    <t>3. 상품 검수/검품/분류</t>
    <phoneticPr fontId="1" type="noConversion"/>
  </si>
  <si>
    <t>4. 제품정보의 인식 및 등록</t>
    <phoneticPr fontId="1" type="noConversion"/>
  </si>
  <si>
    <t>5. 입고 처리</t>
    <phoneticPr fontId="1" type="noConversion"/>
  </si>
  <si>
    <t>1. 작업정보의 정보제공</t>
    <phoneticPr fontId="1" type="noConversion"/>
  </si>
  <si>
    <t>2. 적치장소 이동</t>
    <phoneticPr fontId="1" type="noConversion"/>
  </si>
  <si>
    <t>3. 작업경로 관리</t>
    <phoneticPr fontId="1" type="noConversion"/>
  </si>
  <si>
    <t>4. 적치장소 식별 및 작업</t>
    <phoneticPr fontId="1" type="noConversion"/>
  </si>
  <si>
    <t>소계</t>
    <phoneticPr fontId="1" type="noConversion"/>
  </si>
  <si>
    <t>3. 보관 및 재고관리</t>
    <phoneticPr fontId="1" type="noConversion"/>
  </si>
  <si>
    <t>1. 재고조사의 수행 및 방법</t>
    <phoneticPr fontId="1" type="noConversion"/>
  </si>
  <si>
    <t>2. 재고보충정보의 생성 및 지시</t>
    <phoneticPr fontId="1" type="noConversion"/>
  </si>
  <si>
    <t xml:space="preserve">3. 재고 보관위치의 조정 </t>
    <phoneticPr fontId="1" type="noConversion"/>
  </si>
  <si>
    <t>4. 보관장소의 모니터링 및 관리</t>
    <phoneticPr fontId="1" type="noConversion"/>
  </si>
  <si>
    <t>5. 재고의 이력(선입선출 등) 및 품질관리</t>
    <phoneticPr fontId="1" type="noConversion"/>
  </si>
  <si>
    <t>4. 피킹 및 분류</t>
    <phoneticPr fontId="1" type="noConversion"/>
  </si>
  <si>
    <t>1. 작업정보의 생성 및 지시</t>
    <phoneticPr fontId="1" type="noConversion"/>
  </si>
  <si>
    <t>2. 작업정보의 확인 방법</t>
    <phoneticPr fontId="1" type="noConversion"/>
  </si>
  <si>
    <t>3. 작업경로의 실시간 관리</t>
    <phoneticPr fontId="1" type="noConversion"/>
  </si>
  <si>
    <t>4. 피킹 장소의 확인 및 작업 방법</t>
    <phoneticPr fontId="1" type="noConversion"/>
  </si>
  <si>
    <t>5. 분류정보의 생성 및 지시</t>
    <phoneticPr fontId="1" type="noConversion"/>
  </si>
  <si>
    <t>6. 분류 작업</t>
    <phoneticPr fontId="1" type="noConversion"/>
  </si>
  <si>
    <t>5. 검품·검수 및 포장</t>
    <phoneticPr fontId="1" type="noConversion"/>
  </si>
  <si>
    <t xml:space="preserve">1. 포장장소로의 정보 제공 및 이동 </t>
    <phoneticPr fontId="1" type="noConversion"/>
  </si>
  <si>
    <t>2. 포장재 및 포장물품 관리</t>
    <phoneticPr fontId="1" type="noConversion"/>
  </si>
  <si>
    <t>3. 검품/검수 및 오류관리(인식 및 처리)</t>
    <phoneticPr fontId="1" type="noConversion"/>
  </si>
  <si>
    <t>4. 포장 작업</t>
    <phoneticPr fontId="1" type="noConversion"/>
  </si>
  <si>
    <t>5. 배송정보 표시(라벨) 및 부착</t>
    <phoneticPr fontId="1" type="noConversion"/>
  </si>
  <si>
    <t>6. 상차 및 출고</t>
    <phoneticPr fontId="1" type="noConversion"/>
  </si>
  <si>
    <t xml:space="preserve">1. 발주처별 분류 </t>
    <phoneticPr fontId="1" type="noConversion"/>
  </si>
  <si>
    <t>2. 차량입차정보의 인식</t>
    <phoneticPr fontId="1" type="noConversion"/>
  </si>
  <si>
    <t>3. 상차순서 관리 및 작업</t>
    <phoneticPr fontId="1" type="noConversion"/>
  </si>
  <si>
    <t>4. 출고정보의 전달</t>
    <phoneticPr fontId="1" type="noConversion"/>
  </si>
  <si>
    <t>기능영역 소계</t>
    <phoneticPr fontId="1" type="noConversion"/>
  </si>
  <si>
    <t>2. 기반영역</t>
    <phoneticPr fontId="1" type="noConversion"/>
  </si>
  <si>
    <t>1. 구조적 성능</t>
    <phoneticPr fontId="1" type="noConversion"/>
  </si>
  <si>
    <t>1. 도크 및 바닥성능(재질, 평탄도 및 하중)</t>
    <phoneticPr fontId="1" type="noConversion"/>
  </si>
  <si>
    <t>2. 내부구조(층고 및 기둥의 배치구조)</t>
    <phoneticPr fontId="1" type="noConversion"/>
  </si>
  <si>
    <t>3. 배치 및 동선 관리</t>
    <phoneticPr fontId="1" type="noConversion"/>
  </si>
  <si>
    <t>4. 작업환경 관리(공조, 온도, 습도 등)</t>
    <phoneticPr fontId="1" type="noConversion"/>
  </si>
  <si>
    <t>5. 재해 및 안전관리
(방화, 내진, 소방·대피시설, 안전사고관리 등)</t>
    <phoneticPr fontId="1" type="noConversion"/>
  </si>
  <si>
    <t>기반영역 소계</t>
    <phoneticPr fontId="1" type="noConversion"/>
  </si>
  <si>
    <t>평가총점</t>
    <phoneticPr fontId="1" type="noConversion"/>
  </si>
  <si>
    <t>2. 성과관리</t>
    <phoneticPr fontId="1" type="noConversion"/>
  </si>
  <si>
    <t>1. 비용 절감</t>
    <phoneticPr fontId="1" type="noConversion"/>
  </si>
  <si>
    <t>2. 생산성 향상</t>
    <phoneticPr fontId="1" type="noConversion"/>
  </si>
  <si>
    <t xml:space="preserve">3. 품질 및 안전관리 </t>
    <phoneticPr fontId="1" type="noConversion"/>
  </si>
  <si>
    <t>4. 친환경관리
(절수, 절전, 폐기물, 재활용, 조명 등)</t>
    <phoneticPr fontId="1" type="noConversion"/>
  </si>
  <si>
    <t xml:space="preserve">1. 창고관리시스템(WMS*) </t>
    <phoneticPr fontId="1" type="noConversion"/>
  </si>
  <si>
    <t>3. 정보시스템</t>
    <phoneticPr fontId="1" type="noConversion"/>
  </si>
  <si>
    <t xml:space="preserve">   1-1 수발주시스템/상품분류시스템</t>
    <phoneticPr fontId="1" type="noConversion"/>
  </si>
  <si>
    <t xml:space="preserve">   1-2 입출고 및 배차배송시스템 </t>
    <phoneticPr fontId="1" type="noConversion"/>
  </si>
  <si>
    <t xml:space="preserve">   1-3 재고관리시스템</t>
    <phoneticPr fontId="1" type="noConversion"/>
  </si>
  <si>
    <t xml:space="preserve">   1-4 자원관리시스템</t>
    <phoneticPr fontId="1" type="noConversion"/>
  </si>
  <si>
    <t xml:space="preserve">   1-5 물류지원시스템</t>
    <phoneticPr fontId="1" type="noConversion"/>
  </si>
  <si>
    <t>2. 창고제어시스템(WCS**, MCS***)</t>
    <phoneticPr fontId="1" type="noConversion"/>
  </si>
  <si>
    <t>자체평가(등급)</t>
    <phoneticPr fontId="1" type="noConversion"/>
  </si>
  <si>
    <t>인증등급별 점수기준</t>
    <phoneticPr fontId="1" type="noConversion"/>
  </si>
  <si>
    <t>등급</t>
    <phoneticPr fontId="1" type="noConversion"/>
  </si>
  <si>
    <t>비고</t>
    <phoneticPr fontId="1" type="noConversion"/>
  </si>
  <si>
    <t>1등급</t>
    <phoneticPr fontId="1" type="noConversion"/>
  </si>
  <si>
    <t>950점 초과</t>
    <phoneticPr fontId="1" type="noConversion"/>
  </si>
  <si>
    <t>1,000점
만점</t>
    <phoneticPr fontId="1" type="noConversion"/>
  </si>
  <si>
    <t>2등급</t>
    <phoneticPr fontId="1" type="noConversion"/>
  </si>
  <si>
    <t>850점 초과 950점 이하 득점</t>
    <phoneticPr fontId="1" type="noConversion"/>
  </si>
  <si>
    <t>3등급</t>
    <phoneticPr fontId="1" type="noConversion"/>
  </si>
  <si>
    <t>750점 초과 850점 이하 득점</t>
    <phoneticPr fontId="1" type="noConversion"/>
  </si>
  <si>
    <t>4등급</t>
    <phoneticPr fontId="1" type="noConversion"/>
  </si>
  <si>
    <t>650점 초과 750점 이하 득점</t>
    <phoneticPr fontId="1" type="noConversion"/>
  </si>
  <si>
    <t>5등급</t>
    <phoneticPr fontId="1" type="noConversion"/>
  </si>
  <si>
    <t>550점 초과 650점 이하 득점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</si>
</sst>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(#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1" fontId="2" fillId="0" borderId="0" xfId="0" applyNumberFormat="1" applyFont="1">
      <alignment vertical="center"/>
    </xf>
    <xf numFmtId="0" fontId="4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69FE-FEBE-451B-8981-1305BB9DFE06}">
  <dimension ref="A1:J59"/>
  <sheetViews>
    <sheetView tabSelected="1"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I18" sqref="I18"/>
    </sheetView>
  </sheetViews>
  <sheetFormatPr defaultColWidth="8.875" defaultRowHeight="13.5" x14ac:dyDescent="0.3"/>
  <cols>
    <col min="1" max="1" width="11" style="1" customWidth="1"/>
    <col min="2" max="2" width="17.125" style="1" customWidth="1"/>
    <col min="3" max="3" width="35.125" style="1" bestFit="1" customWidth="1"/>
    <col min="4" max="4" width="8.875" style="2"/>
    <col min="5" max="5" width="13" style="2" bestFit="1" customWidth="1"/>
    <col min="6" max="6" width="8.875" style="2"/>
    <col min="7" max="7" width="8.875" style="1"/>
    <col min="8" max="8" width="6.25" style="1" bestFit="1" customWidth="1"/>
    <col min="9" max="9" width="24" style="1" bestFit="1" customWidth="1"/>
    <col min="10" max="16384" width="8.875" style="1"/>
  </cols>
  <sheetData>
    <row r="1" spans="1:10" ht="30" customHeight="1" x14ac:dyDescent="0.3">
      <c r="A1" s="13" t="s">
        <v>0</v>
      </c>
      <c r="B1" s="13"/>
      <c r="C1" s="13"/>
      <c r="D1" s="13"/>
      <c r="E1" s="13"/>
      <c r="F1" s="13"/>
      <c r="H1" s="13" t="s">
        <v>67</v>
      </c>
      <c r="I1" s="13"/>
      <c r="J1" s="13"/>
    </row>
    <row r="2" spans="1:10" s="2" customFormat="1" ht="15.6" customHeight="1" x14ac:dyDescent="0.3">
      <c r="A2" s="6" t="s">
        <v>1</v>
      </c>
      <c r="B2" s="6" t="s">
        <v>2</v>
      </c>
      <c r="C2" s="6" t="s">
        <v>5</v>
      </c>
      <c r="D2" s="6" t="s">
        <v>7</v>
      </c>
      <c r="E2" s="6" t="s">
        <v>66</v>
      </c>
      <c r="F2" s="6" t="s">
        <v>8</v>
      </c>
      <c r="H2" s="6" t="s">
        <v>68</v>
      </c>
      <c r="I2" s="6" t="s">
        <v>52</v>
      </c>
      <c r="J2" s="6" t="s">
        <v>69</v>
      </c>
    </row>
    <row r="3" spans="1:10" ht="15.6" customHeight="1" x14ac:dyDescent="0.3">
      <c r="A3" s="19" t="s">
        <v>3</v>
      </c>
      <c r="B3" s="22" t="s">
        <v>4</v>
      </c>
      <c r="C3" s="4" t="s">
        <v>6</v>
      </c>
      <c r="D3" s="3">
        <v>25</v>
      </c>
      <c r="E3" s="3">
        <v>2</v>
      </c>
      <c r="F3" s="3">
        <f>(0.5*D3)+((0.5*D3)*(1-(E3-1)/5))</f>
        <v>22.5</v>
      </c>
      <c r="H3" s="3" t="s">
        <v>70</v>
      </c>
      <c r="I3" s="3" t="s">
        <v>71</v>
      </c>
      <c r="J3" s="14" t="s">
        <v>72</v>
      </c>
    </row>
    <row r="4" spans="1:10" ht="15.6" customHeight="1" x14ac:dyDescent="0.3">
      <c r="A4" s="20"/>
      <c r="B4" s="23"/>
      <c r="C4" s="4" t="s">
        <v>10</v>
      </c>
      <c r="D4" s="3">
        <v>20</v>
      </c>
      <c r="E4" s="3">
        <v>3</v>
      </c>
      <c r="F4" s="3">
        <f t="shared" ref="F4:F56" si="0">(0.5*D4)+((0.5*D4)*(1-(E4-1)/5))</f>
        <v>16</v>
      </c>
      <c r="H4" s="3" t="s">
        <v>73</v>
      </c>
      <c r="I4" s="3" t="s">
        <v>74</v>
      </c>
      <c r="J4" s="15"/>
    </row>
    <row r="5" spans="1:10" ht="15.6" customHeight="1" x14ac:dyDescent="0.3">
      <c r="A5" s="20"/>
      <c r="B5" s="23"/>
      <c r="C5" s="4" t="s">
        <v>11</v>
      </c>
      <c r="D5" s="3">
        <v>20</v>
      </c>
      <c r="E5" s="3">
        <v>4</v>
      </c>
      <c r="F5" s="3">
        <f t="shared" si="0"/>
        <v>14</v>
      </c>
      <c r="H5" s="3" t="s">
        <v>75</v>
      </c>
      <c r="I5" s="3" t="s">
        <v>76</v>
      </c>
      <c r="J5" s="15"/>
    </row>
    <row r="6" spans="1:10" ht="15.6" customHeight="1" x14ac:dyDescent="0.3">
      <c r="A6" s="20"/>
      <c r="B6" s="23"/>
      <c r="C6" s="4" t="s">
        <v>12</v>
      </c>
      <c r="D6" s="3">
        <v>20</v>
      </c>
      <c r="E6" s="3">
        <v>2</v>
      </c>
      <c r="F6" s="3">
        <f t="shared" si="0"/>
        <v>18</v>
      </c>
      <c r="H6" s="3" t="s">
        <v>77</v>
      </c>
      <c r="I6" s="3" t="s">
        <v>78</v>
      </c>
      <c r="J6" s="15"/>
    </row>
    <row r="7" spans="1:10" ht="15.6" customHeight="1" x14ac:dyDescent="0.3">
      <c r="A7" s="20"/>
      <c r="B7" s="23"/>
      <c r="C7" s="4" t="s">
        <v>13</v>
      </c>
      <c r="D7" s="3">
        <v>15</v>
      </c>
      <c r="E7" s="3">
        <v>3</v>
      </c>
      <c r="F7" s="3">
        <f t="shared" si="0"/>
        <v>12</v>
      </c>
      <c r="H7" s="3" t="s">
        <v>79</v>
      </c>
      <c r="I7" s="3" t="s">
        <v>80</v>
      </c>
      <c r="J7" s="15"/>
    </row>
    <row r="8" spans="1:10" ht="15.6" customHeight="1" x14ac:dyDescent="0.3">
      <c r="A8" s="20"/>
      <c r="B8" s="24"/>
      <c r="C8" s="7" t="s">
        <v>18</v>
      </c>
      <c r="D8" s="7">
        <f>SUM(D3:D7)</f>
        <v>100</v>
      </c>
      <c r="E8" s="7"/>
      <c r="F8" s="7">
        <f t="shared" ref="F8" si="1">SUM(F3:F7)</f>
        <v>82.5</v>
      </c>
    </row>
    <row r="9" spans="1:10" ht="15.6" customHeight="1" x14ac:dyDescent="0.3">
      <c r="A9" s="20"/>
      <c r="B9" s="22" t="s">
        <v>9</v>
      </c>
      <c r="C9" s="4" t="s">
        <v>14</v>
      </c>
      <c r="D9" s="3">
        <v>30</v>
      </c>
      <c r="E9" s="3">
        <v>2</v>
      </c>
      <c r="F9" s="3">
        <f t="shared" si="0"/>
        <v>27</v>
      </c>
    </row>
    <row r="10" spans="1:10" ht="15.6" customHeight="1" x14ac:dyDescent="0.3">
      <c r="A10" s="20"/>
      <c r="B10" s="23"/>
      <c r="C10" s="4" t="s">
        <v>15</v>
      </c>
      <c r="D10" s="3">
        <v>30</v>
      </c>
      <c r="E10" s="3">
        <v>3</v>
      </c>
      <c r="F10" s="3">
        <f t="shared" si="0"/>
        <v>24</v>
      </c>
      <c r="H10" s="12"/>
    </row>
    <row r="11" spans="1:10" ht="15.6" customHeight="1" x14ac:dyDescent="0.3">
      <c r="A11" s="20"/>
      <c r="B11" s="23"/>
      <c r="C11" s="4" t="s">
        <v>16</v>
      </c>
      <c r="D11" s="3">
        <v>20</v>
      </c>
      <c r="E11" s="3">
        <v>3</v>
      </c>
      <c r="F11" s="3">
        <f t="shared" si="0"/>
        <v>16</v>
      </c>
    </row>
    <row r="12" spans="1:10" ht="15.6" customHeight="1" x14ac:dyDescent="0.3">
      <c r="A12" s="20"/>
      <c r="B12" s="23"/>
      <c r="C12" s="4" t="s">
        <v>17</v>
      </c>
      <c r="D12" s="3">
        <v>20</v>
      </c>
      <c r="E12" s="3">
        <v>3</v>
      </c>
      <c r="F12" s="3">
        <f t="shared" si="0"/>
        <v>16</v>
      </c>
    </row>
    <row r="13" spans="1:10" ht="15.6" customHeight="1" x14ac:dyDescent="0.3">
      <c r="A13" s="20"/>
      <c r="B13" s="24"/>
      <c r="C13" s="7" t="s">
        <v>18</v>
      </c>
      <c r="D13" s="7">
        <f>SUM(D9:D12)</f>
        <v>100</v>
      </c>
      <c r="E13" s="7"/>
      <c r="F13" s="7">
        <f t="shared" ref="F13" si="2">SUM(F9:F12)</f>
        <v>83</v>
      </c>
    </row>
    <row r="14" spans="1:10" ht="15.6" customHeight="1" x14ac:dyDescent="0.3">
      <c r="A14" s="20"/>
      <c r="B14" s="22" t="s">
        <v>19</v>
      </c>
      <c r="C14" s="4" t="s">
        <v>20</v>
      </c>
      <c r="D14" s="3">
        <v>30</v>
      </c>
      <c r="E14" s="3">
        <v>2</v>
      </c>
      <c r="F14" s="3">
        <f t="shared" si="0"/>
        <v>27</v>
      </c>
    </row>
    <row r="15" spans="1:10" ht="15.6" customHeight="1" x14ac:dyDescent="0.3">
      <c r="A15" s="20"/>
      <c r="B15" s="23"/>
      <c r="C15" s="4" t="s">
        <v>21</v>
      </c>
      <c r="D15" s="3">
        <v>25</v>
      </c>
      <c r="E15" s="3">
        <v>2</v>
      </c>
      <c r="F15" s="3">
        <f t="shared" si="0"/>
        <v>22.5</v>
      </c>
    </row>
    <row r="16" spans="1:10" ht="15.6" customHeight="1" x14ac:dyDescent="0.3">
      <c r="A16" s="20"/>
      <c r="B16" s="23"/>
      <c r="C16" s="4" t="s">
        <v>22</v>
      </c>
      <c r="D16" s="3">
        <v>15</v>
      </c>
      <c r="E16" s="3">
        <v>2</v>
      </c>
      <c r="F16" s="3">
        <f t="shared" si="0"/>
        <v>13.5</v>
      </c>
    </row>
    <row r="17" spans="1:6" ht="15.6" customHeight="1" x14ac:dyDescent="0.3">
      <c r="A17" s="20"/>
      <c r="B17" s="23"/>
      <c r="C17" s="4" t="s">
        <v>23</v>
      </c>
      <c r="D17" s="3">
        <v>15</v>
      </c>
      <c r="E17" s="3">
        <v>2</v>
      </c>
      <c r="F17" s="3">
        <f t="shared" si="0"/>
        <v>13.5</v>
      </c>
    </row>
    <row r="18" spans="1:6" ht="15.6" customHeight="1" x14ac:dyDescent="0.3">
      <c r="A18" s="20"/>
      <c r="B18" s="23"/>
      <c r="C18" s="4" t="s">
        <v>24</v>
      </c>
      <c r="D18" s="3">
        <v>15</v>
      </c>
      <c r="E18" s="3">
        <v>2</v>
      </c>
      <c r="F18" s="3">
        <f t="shared" si="0"/>
        <v>13.5</v>
      </c>
    </row>
    <row r="19" spans="1:6" ht="15.6" customHeight="1" x14ac:dyDescent="0.3">
      <c r="A19" s="20"/>
      <c r="B19" s="24"/>
      <c r="C19" s="7" t="s">
        <v>18</v>
      </c>
      <c r="D19" s="7">
        <f>SUM(D14:D18)</f>
        <v>100</v>
      </c>
      <c r="E19" s="7"/>
      <c r="F19" s="7">
        <f t="shared" ref="F19" si="3">SUM(F14:F18)</f>
        <v>90</v>
      </c>
    </row>
    <row r="20" spans="1:6" ht="15.6" customHeight="1" x14ac:dyDescent="0.3">
      <c r="A20" s="20"/>
      <c r="B20" s="22" t="s">
        <v>25</v>
      </c>
      <c r="C20" s="4" t="s">
        <v>26</v>
      </c>
      <c r="D20" s="3">
        <v>20</v>
      </c>
      <c r="E20" s="3">
        <v>3</v>
      </c>
      <c r="F20" s="3">
        <f t="shared" si="0"/>
        <v>16</v>
      </c>
    </row>
    <row r="21" spans="1:6" ht="15.6" customHeight="1" x14ac:dyDescent="0.3">
      <c r="A21" s="20"/>
      <c r="B21" s="23"/>
      <c r="C21" s="4" t="s">
        <v>27</v>
      </c>
      <c r="D21" s="3">
        <v>10</v>
      </c>
      <c r="E21" s="3">
        <v>3</v>
      </c>
      <c r="F21" s="3">
        <f t="shared" si="0"/>
        <v>8</v>
      </c>
    </row>
    <row r="22" spans="1:6" ht="15.6" customHeight="1" x14ac:dyDescent="0.3">
      <c r="A22" s="20"/>
      <c r="B22" s="23"/>
      <c r="C22" s="4" t="s">
        <v>28</v>
      </c>
      <c r="D22" s="3">
        <v>10</v>
      </c>
      <c r="E22" s="3">
        <v>3</v>
      </c>
      <c r="F22" s="3">
        <f t="shared" si="0"/>
        <v>8</v>
      </c>
    </row>
    <row r="23" spans="1:6" ht="15.6" customHeight="1" x14ac:dyDescent="0.3">
      <c r="A23" s="20"/>
      <c r="B23" s="23"/>
      <c r="C23" s="4" t="s">
        <v>29</v>
      </c>
      <c r="D23" s="3">
        <v>20</v>
      </c>
      <c r="E23" s="3">
        <v>3</v>
      </c>
      <c r="F23" s="3">
        <f t="shared" si="0"/>
        <v>16</v>
      </c>
    </row>
    <row r="24" spans="1:6" ht="15.6" customHeight="1" x14ac:dyDescent="0.3">
      <c r="A24" s="20"/>
      <c r="B24" s="23"/>
      <c r="C24" s="4" t="s">
        <v>30</v>
      </c>
      <c r="D24" s="3">
        <v>20</v>
      </c>
      <c r="E24" s="3">
        <v>3</v>
      </c>
      <c r="F24" s="3">
        <f t="shared" si="0"/>
        <v>16</v>
      </c>
    </row>
    <row r="25" spans="1:6" ht="15.6" customHeight="1" x14ac:dyDescent="0.3">
      <c r="A25" s="20"/>
      <c r="B25" s="23"/>
      <c r="C25" s="4" t="s">
        <v>31</v>
      </c>
      <c r="D25" s="3">
        <v>20</v>
      </c>
      <c r="E25" s="3">
        <v>3</v>
      </c>
      <c r="F25" s="3">
        <f t="shared" si="0"/>
        <v>16</v>
      </c>
    </row>
    <row r="26" spans="1:6" ht="15.6" customHeight="1" x14ac:dyDescent="0.3">
      <c r="A26" s="20"/>
      <c r="B26" s="24"/>
      <c r="C26" s="7" t="s">
        <v>18</v>
      </c>
      <c r="D26" s="7">
        <f>SUM(D20:D25)</f>
        <v>100</v>
      </c>
      <c r="E26" s="7"/>
      <c r="F26" s="7">
        <f t="shared" ref="F26" si="4">SUM(F20:F25)</f>
        <v>80</v>
      </c>
    </row>
    <row r="27" spans="1:6" ht="15.6" customHeight="1" x14ac:dyDescent="0.3">
      <c r="A27" s="20"/>
      <c r="B27" s="22" t="s">
        <v>32</v>
      </c>
      <c r="C27" s="4" t="s">
        <v>33</v>
      </c>
      <c r="D27" s="3">
        <v>20</v>
      </c>
      <c r="E27" s="3">
        <v>2</v>
      </c>
      <c r="F27" s="3">
        <f t="shared" si="0"/>
        <v>18</v>
      </c>
    </row>
    <row r="28" spans="1:6" ht="15.6" customHeight="1" x14ac:dyDescent="0.3">
      <c r="A28" s="20"/>
      <c r="B28" s="23"/>
      <c r="C28" s="4" t="s">
        <v>34</v>
      </c>
      <c r="D28" s="3">
        <v>15</v>
      </c>
      <c r="E28" s="3">
        <v>2</v>
      </c>
      <c r="F28" s="3">
        <f t="shared" si="0"/>
        <v>13.5</v>
      </c>
    </row>
    <row r="29" spans="1:6" ht="15.6" customHeight="1" x14ac:dyDescent="0.3">
      <c r="A29" s="20"/>
      <c r="B29" s="23"/>
      <c r="C29" s="4" t="s">
        <v>35</v>
      </c>
      <c r="D29" s="3">
        <v>25</v>
      </c>
      <c r="E29" s="3">
        <v>2</v>
      </c>
      <c r="F29" s="3">
        <f t="shared" si="0"/>
        <v>22.5</v>
      </c>
    </row>
    <row r="30" spans="1:6" ht="15.6" customHeight="1" x14ac:dyDescent="0.3">
      <c r="A30" s="20"/>
      <c r="B30" s="23"/>
      <c r="C30" s="4" t="s">
        <v>36</v>
      </c>
      <c r="D30" s="3">
        <v>20</v>
      </c>
      <c r="E30" s="3">
        <v>2</v>
      </c>
      <c r="F30" s="3">
        <f t="shared" si="0"/>
        <v>18</v>
      </c>
    </row>
    <row r="31" spans="1:6" ht="15.6" customHeight="1" x14ac:dyDescent="0.3">
      <c r="A31" s="20"/>
      <c r="B31" s="23"/>
      <c r="C31" s="4" t="s">
        <v>37</v>
      </c>
      <c r="D31" s="3">
        <v>20</v>
      </c>
      <c r="E31" s="3">
        <v>2</v>
      </c>
      <c r="F31" s="3">
        <f t="shared" si="0"/>
        <v>18</v>
      </c>
    </row>
    <row r="32" spans="1:6" ht="15.6" customHeight="1" x14ac:dyDescent="0.3">
      <c r="A32" s="20"/>
      <c r="B32" s="24"/>
      <c r="C32" s="7" t="s">
        <v>18</v>
      </c>
      <c r="D32" s="7">
        <f>SUM(D27:D31)</f>
        <v>100</v>
      </c>
      <c r="E32" s="7"/>
      <c r="F32" s="7">
        <f t="shared" ref="F32" si="5">SUM(F27:F31)</f>
        <v>90</v>
      </c>
    </row>
    <row r="33" spans="1:6" x14ac:dyDescent="0.3">
      <c r="A33" s="20"/>
      <c r="B33" s="22" t="s">
        <v>38</v>
      </c>
      <c r="C33" s="4" t="s">
        <v>39</v>
      </c>
      <c r="D33" s="3">
        <v>30</v>
      </c>
      <c r="E33" s="3">
        <v>3</v>
      </c>
      <c r="F33" s="3">
        <f t="shared" si="0"/>
        <v>24</v>
      </c>
    </row>
    <row r="34" spans="1:6" x14ac:dyDescent="0.3">
      <c r="A34" s="20"/>
      <c r="B34" s="23"/>
      <c r="C34" s="4" t="s">
        <v>40</v>
      </c>
      <c r="D34" s="3">
        <v>20</v>
      </c>
      <c r="E34" s="3">
        <v>3</v>
      </c>
      <c r="F34" s="3">
        <f t="shared" si="0"/>
        <v>16</v>
      </c>
    </row>
    <row r="35" spans="1:6" x14ac:dyDescent="0.3">
      <c r="A35" s="20"/>
      <c r="B35" s="23"/>
      <c r="C35" s="4" t="s">
        <v>41</v>
      </c>
      <c r="D35" s="3">
        <v>20</v>
      </c>
      <c r="E35" s="3">
        <v>3</v>
      </c>
      <c r="F35" s="3">
        <f t="shared" si="0"/>
        <v>16</v>
      </c>
    </row>
    <row r="36" spans="1:6" x14ac:dyDescent="0.3">
      <c r="A36" s="20"/>
      <c r="B36" s="23"/>
      <c r="C36" s="4" t="s">
        <v>42</v>
      </c>
      <c r="D36" s="3">
        <v>30</v>
      </c>
      <c r="E36" s="3">
        <v>3</v>
      </c>
      <c r="F36" s="3">
        <f t="shared" si="0"/>
        <v>24</v>
      </c>
    </row>
    <row r="37" spans="1:6" x14ac:dyDescent="0.3">
      <c r="A37" s="21"/>
      <c r="B37" s="24"/>
      <c r="C37" s="7" t="s">
        <v>18</v>
      </c>
      <c r="D37" s="7">
        <f>SUM(D33:D36)</f>
        <v>100</v>
      </c>
      <c r="E37" s="7"/>
      <c r="F37" s="7">
        <f t="shared" ref="F37" si="6">SUM(F33:F36)</f>
        <v>80</v>
      </c>
    </row>
    <row r="38" spans="1:6" s="9" customFormat="1" ht="17.45" customHeight="1" x14ac:dyDescent="0.3">
      <c r="A38" s="25" t="s">
        <v>43</v>
      </c>
      <c r="B38" s="26"/>
      <c r="C38" s="27"/>
      <c r="D38" s="11">
        <f>SUM(D37,D32,D26,D19,D13,D8)</f>
        <v>600</v>
      </c>
      <c r="E38" s="11"/>
      <c r="F38" s="11">
        <f t="shared" ref="F38" si="7">SUM(F37,F32,F26,F19,F13,F8)</f>
        <v>505.5</v>
      </c>
    </row>
    <row r="39" spans="1:6" x14ac:dyDescent="0.3">
      <c r="A39" s="19" t="s">
        <v>44</v>
      </c>
      <c r="B39" s="22" t="s">
        <v>45</v>
      </c>
      <c r="C39" s="4" t="s">
        <v>46</v>
      </c>
      <c r="D39" s="3">
        <v>20</v>
      </c>
      <c r="E39" s="3">
        <v>2</v>
      </c>
      <c r="F39" s="3">
        <f t="shared" si="0"/>
        <v>18</v>
      </c>
    </row>
    <row r="40" spans="1:6" x14ac:dyDescent="0.3">
      <c r="A40" s="20"/>
      <c r="B40" s="23"/>
      <c r="C40" s="4" t="s">
        <v>47</v>
      </c>
      <c r="D40" s="3">
        <v>20</v>
      </c>
      <c r="E40" s="3">
        <v>2</v>
      </c>
      <c r="F40" s="3">
        <f t="shared" si="0"/>
        <v>18</v>
      </c>
    </row>
    <row r="41" spans="1:6" x14ac:dyDescent="0.3">
      <c r="A41" s="20"/>
      <c r="B41" s="23"/>
      <c r="C41" s="4" t="s">
        <v>48</v>
      </c>
      <c r="D41" s="3">
        <v>10</v>
      </c>
      <c r="E41" s="3">
        <v>2</v>
      </c>
      <c r="F41" s="3">
        <f t="shared" si="0"/>
        <v>9</v>
      </c>
    </row>
    <row r="42" spans="1:6" x14ac:dyDescent="0.3">
      <c r="A42" s="20"/>
      <c r="B42" s="23"/>
      <c r="C42" s="4" t="s">
        <v>49</v>
      </c>
      <c r="D42" s="3">
        <v>20</v>
      </c>
      <c r="E42" s="3">
        <v>2</v>
      </c>
      <c r="F42" s="3">
        <f t="shared" si="0"/>
        <v>18</v>
      </c>
    </row>
    <row r="43" spans="1:6" ht="27" x14ac:dyDescent="0.3">
      <c r="A43" s="20"/>
      <c r="B43" s="23"/>
      <c r="C43" s="5" t="s">
        <v>50</v>
      </c>
      <c r="D43" s="3">
        <v>30</v>
      </c>
      <c r="E43" s="3">
        <v>2</v>
      </c>
      <c r="F43" s="3">
        <f t="shared" si="0"/>
        <v>27</v>
      </c>
    </row>
    <row r="44" spans="1:6" x14ac:dyDescent="0.3">
      <c r="A44" s="20"/>
      <c r="B44" s="24"/>
      <c r="C44" s="7" t="s">
        <v>18</v>
      </c>
      <c r="D44" s="7">
        <f>SUM(D39:D43)</f>
        <v>100</v>
      </c>
      <c r="E44" s="7"/>
      <c r="F44" s="7">
        <f t="shared" ref="F44" si="8">SUM(F39:F43)</f>
        <v>90</v>
      </c>
    </row>
    <row r="45" spans="1:6" x14ac:dyDescent="0.3">
      <c r="A45" s="20"/>
      <c r="B45" s="22" t="s">
        <v>53</v>
      </c>
      <c r="C45" s="4" t="s">
        <v>54</v>
      </c>
      <c r="D45" s="3">
        <v>30</v>
      </c>
      <c r="E45" s="3">
        <v>3</v>
      </c>
      <c r="F45" s="3">
        <f t="shared" si="0"/>
        <v>24</v>
      </c>
    </row>
    <row r="46" spans="1:6" x14ac:dyDescent="0.3">
      <c r="A46" s="20"/>
      <c r="B46" s="23"/>
      <c r="C46" s="4" t="s">
        <v>55</v>
      </c>
      <c r="D46" s="3">
        <v>30</v>
      </c>
      <c r="E46" s="3">
        <v>3</v>
      </c>
      <c r="F46" s="3">
        <f t="shared" si="0"/>
        <v>24</v>
      </c>
    </row>
    <row r="47" spans="1:6" x14ac:dyDescent="0.3">
      <c r="A47" s="20"/>
      <c r="B47" s="23"/>
      <c r="C47" s="4" t="s">
        <v>56</v>
      </c>
      <c r="D47" s="3">
        <v>20</v>
      </c>
      <c r="E47" s="3">
        <v>3</v>
      </c>
      <c r="F47" s="3">
        <f t="shared" si="0"/>
        <v>16</v>
      </c>
    </row>
    <row r="48" spans="1:6" ht="27" x14ac:dyDescent="0.3">
      <c r="A48" s="20"/>
      <c r="B48" s="23"/>
      <c r="C48" s="5" t="s">
        <v>57</v>
      </c>
      <c r="D48" s="3">
        <v>20</v>
      </c>
      <c r="E48" s="3">
        <v>3</v>
      </c>
      <c r="F48" s="3">
        <f t="shared" si="0"/>
        <v>16</v>
      </c>
    </row>
    <row r="49" spans="1:6" x14ac:dyDescent="0.3">
      <c r="A49" s="20"/>
      <c r="B49" s="24"/>
      <c r="C49" s="7" t="s">
        <v>18</v>
      </c>
      <c r="D49" s="7">
        <f>SUM(D45:D48)</f>
        <v>100</v>
      </c>
      <c r="E49" s="7"/>
      <c r="F49" s="7">
        <f t="shared" ref="F49" si="9">SUM(F45:F48)</f>
        <v>80</v>
      </c>
    </row>
    <row r="50" spans="1:6" x14ac:dyDescent="0.3">
      <c r="A50" s="20"/>
      <c r="B50" s="22" t="s">
        <v>59</v>
      </c>
      <c r="C50" s="4" t="s">
        <v>58</v>
      </c>
      <c r="D50" s="3">
        <v>150</v>
      </c>
      <c r="E50" s="3"/>
      <c r="F50" s="3">
        <f>SUM(F51:F55)</f>
        <v>135</v>
      </c>
    </row>
    <row r="51" spans="1:6" x14ac:dyDescent="0.3">
      <c r="A51" s="20"/>
      <c r="B51" s="23"/>
      <c r="C51" s="4" t="s">
        <v>60</v>
      </c>
      <c r="D51" s="28">
        <v>20</v>
      </c>
      <c r="E51" s="3">
        <v>2</v>
      </c>
      <c r="F51" s="3">
        <f t="shared" si="0"/>
        <v>18</v>
      </c>
    </row>
    <row r="52" spans="1:6" x14ac:dyDescent="0.3">
      <c r="A52" s="20"/>
      <c r="B52" s="23"/>
      <c r="C52" s="4" t="s">
        <v>61</v>
      </c>
      <c r="D52" s="28">
        <v>30</v>
      </c>
      <c r="E52" s="3">
        <v>2</v>
      </c>
      <c r="F52" s="3">
        <f t="shared" si="0"/>
        <v>27</v>
      </c>
    </row>
    <row r="53" spans="1:6" x14ac:dyDescent="0.3">
      <c r="A53" s="20"/>
      <c r="B53" s="23"/>
      <c r="C53" s="4" t="s">
        <v>62</v>
      </c>
      <c r="D53" s="28">
        <v>30</v>
      </c>
      <c r="E53" s="3">
        <v>2</v>
      </c>
      <c r="F53" s="3">
        <f t="shared" si="0"/>
        <v>27</v>
      </c>
    </row>
    <row r="54" spans="1:6" x14ac:dyDescent="0.3">
      <c r="A54" s="20"/>
      <c r="B54" s="23"/>
      <c r="C54" s="4" t="s">
        <v>63</v>
      </c>
      <c r="D54" s="28">
        <v>20</v>
      </c>
      <c r="E54" s="3">
        <v>2</v>
      </c>
      <c r="F54" s="3">
        <f t="shared" si="0"/>
        <v>18</v>
      </c>
    </row>
    <row r="55" spans="1:6" x14ac:dyDescent="0.3">
      <c r="A55" s="20"/>
      <c r="B55" s="23"/>
      <c r="C55" s="4" t="s">
        <v>64</v>
      </c>
      <c r="D55" s="28">
        <v>50</v>
      </c>
      <c r="E55" s="3">
        <v>2</v>
      </c>
      <c r="F55" s="3">
        <f t="shared" si="0"/>
        <v>45</v>
      </c>
    </row>
    <row r="56" spans="1:6" x14ac:dyDescent="0.3">
      <c r="A56" s="20"/>
      <c r="B56" s="23"/>
      <c r="C56" s="4" t="s">
        <v>65</v>
      </c>
      <c r="D56" s="3">
        <v>50</v>
      </c>
      <c r="E56" s="3">
        <v>2</v>
      </c>
      <c r="F56" s="3">
        <f t="shared" si="0"/>
        <v>45</v>
      </c>
    </row>
    <row r="57" spans="1:6" x14ac:dyDescent="0.3">
      <c r="A57" s="21"/>
      <c r="B57" s="24"/>
      <c r="C57" s="7" t="s">
        <v>18</v>
      </c>
      <c r="D57" s="7">
        <f>SUM(D51:D56)</f>
        <v>200</v>
      </c>
      <c r="E57" s="7"/>
      <c r="F57" s="7">
        <f t="shared" ref="F57" si="10">SUM(F51:F56)</f>
        <v>180</v>
      </c>
    </row>
    <row r="58" spans="1:6" s="9" customFormat="1" x14ac:dyDescent="0.3">
      <c r="A58" s="10"/>
      <c r="B58" s="10"/>
      <c r="C58" s="10" t="s">
        <v>51</v>
      </c>
      <c r="D58" s="11">
        <f>SUM(D44,D49,D57)</f>
        <v>400</v>
      </c>
      <c r="E58" s="11"/>
      <c r="F58" s="11">
        <f t="shared" ref="F58" si="11">SUM(F44,F49,F57)</f>
        <v>350</v>
      </c>
    </row>
    <row r="59" spans="1:6" s="9" customFormat="1" ht="17.45" customHeight="1" x14ac:dyDescent="0.3">
      <c r="A59" s="16" t="s">
        <v>52</v>
      </c>
      <c r="B59" s="17"/>
      <c r="C59" s="18"/>
      <c r="D59" s="8">
        <f>SUM(D58,D38)</f>
        <v>1000</v>
      </c>
      <c r="E59" s="8"/>
      <c r="F59" s="8">
        <f t="shared" ref="F59" si="12">SUM(F58,F38)</f>
        <v>855.5</v>
      </c>
    </row>
  </sheetData>
  <mergeCells count="16">
    <mergeCell ref="H1:J1"/>
    <mergeCell ref="J3:J7"/>
    <mergeCell ref="A59:C59"/>
    <mergeCell ref="A1:F1"/>
    <mergeCell ref="A3:A37"/>
    <mergeCell ref="B3:B8"/>
    <mergeCell ref="B9:B13"/>
    <mergeCell ref="B14:B19"/>
    <mergeCell ref="B20:B26"/>
    <mergeCell ref="B27:B32"/>
    <mergeCell ref="B33:B37"/>
    <mergeCell ref="A38:C38"/>
    <mergeCell ref="A39:A57"/>
    <mergeCell ref="B39:B44"/>
    <mergeCell ref="B45:B49"/>
    <mergeCell ref="B50:B5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leech</dc:creator>
  <cp:lastModifiedBy>KOTI</cp:lastModifiedBy>
  <dcterms:created xsi:type="dcterms:W3CDTF">2021-06-23T12:32:59Z</dcterms:created>
  <dcterms:modified xsi:type="dcterms:W3CDTF">2021-08-02T07:45:51Z</dcterms:modified>
</cp:coreProperties>
</file>