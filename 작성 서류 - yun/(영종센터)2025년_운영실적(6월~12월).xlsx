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h.seo\Desktop\"/>
    </mc:Choice>
  </mc:AlternateContent>
  <xr:revisionPtr revIDLastSave="0" documentId="13_ncr:1_{37B710DA-B231-454A-81AD-C7FC86AB76DF}" xr6:coauthVersionLast="47" xr6:coauthVersionMax="47" xr10:uidLastSave="{00000000-0000-0000-0000-000000000000}"/>
  <bookViews>
    <workbookView xWindow="28680" yWindow="-120" windowWidth="29040" windowHeight="15840" tabRatio="946" xr2:uid="{00000000-000D-0000-FFFF-FFFF00000000}"/>
  </bookViews>
  <sheets>
    <sheet name="2025년" sheetId="22" r:id="rId1"/>
    <sheet name="6월" sheetId="3" r:id="rId2"/>
    <sheet name="7월" sheetId="4" r:id="rId3"/>
    <sheet name="8월" sheetId="5" r:id="rId4"/>
    <sheet name="9월" sheetId="6" r:id="rId5"/>
    <sheet name="10월" sheetId="7" r:id="rId6"/>
    <sheet name="11월" sheetId="9" r:id="rId7"/>
    <sheet name="12월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2" l="1"/>
  <c r="L3" i="22"/>
  <c r="K4" i="22"/>
  <c r="K3" i="22"/>
  <c r="J4" i="22"/>
  <c r="J3" i="22"/>
  <c r="I4" i="22"/>
  <c r="I3" i="22"/>
  <c r="H4" i="22"/>
  <c r="H3" i="22"/>
  <c r="G4" i="22"/>
  <c r="G3" i="22"/>
  <c r="F4" i="22"/>
  <c r="F3" i="22"/>
  <c r="E4" i="22"/>
  <c r="E3" i="22"/>
  <c r="D4" i="22"/>
  <c r="D3" i="22"/>
  <c r="BT37" i="10"/>
  <c r="BQ37" i="10"/>
  <c r="BP37" i="10"/>
  <c r="BO37" i="10"/>
  <c r="BM37" i="10"/>
  <c r="BL37" i="10"/>
  <c r="BK37" i="10"/>
  <c r="BI37" i="10"/>
  <c r="BH37" i="10"/>
  <c r="BG37" i="10"/>
  <c r="BS36" i="10"/>
  <c r="BR36" i="10"/>
  <c r="BN36" i="10"/>
  <c r="BJ36" i="10"/>
  <c r="BU36" i="10" s="1"/>
  <c r="AY36" i="10"/>
  <c r="BB36" i="10" s="1"/>
  <c r="AV36" i="10"/>
  <c r="AS36" i="10"/>
  <c r="AR36" i="10"/>
  <c r="AO36" i="10"/>
  <c r="AA36" i="10"/>
  <c r="W36" i="10"/>
  <c r="X36" i="10" s="1"/>
  <c r="P36" i="10"/>
  <c r="O36" i="10"/>
  <c r="N36" i="10"/>
  <c r="Q36" i="10" s="1"/>
  <c r="M36" i="10"/>
  <c r="I36" i="10"/>
  <c r="E36" i="10"/>
  <c r="BR35" i="10"/>
  <c r="BN35" i="10"/>
  <c r="BJ35" i="10"/>
  <c r="BU35" i="10" s="1"/>
  <c r="AY35" i="10"/>
  <c r="BB35" i="10" s="1"/>
  <c r="AV35" i="10"/>
  <c r="AS35" i="10"/>
  <c r="AR35" i="10"/>
  <c r="AO35" i="10"/>
  <c r="AA35" i="10"/>
  <c r="Z35" i="10"/>
  <c r="W35" i="10"/>
  <c r="X35" i="10" s="1"/>
  <c r="P35" i="10"/>
  <c r="O35" i="10"/>
  <c r="N35" i="10"/>
  <c r="Q35" i="10" s="1"/>
  <c r="M35" i="10"/>
  <c r="S35" i="10" s="1"/>
  <c r="I35" i="10"/>
  <c r="E35" i="10"/>
  <c r="BR34" i="10"/>
  <c r="BN34" i="10"/>
  <c r="BJ34" i="10"/>
  <c r="BU34" i="10" s="1"/>
  <c r="AY34" i="10"/>
  <c r="BB34" i="10" s="1"/>
  <c r="AV34" i="10"/>
  <c r="AS34" i="10"/>
  <c r="AR34" i="10"/>
  <c r="AO34" i="10"/>
  <c r="AA34" i="10"/>
  <c r="Z34" i="10"/>
  <c r="W34" i="10"/>
  <c r="X34" i="10" s="1"/>
  <c r="P34" i="10"/>
  <c r="O34" i="10"/>
  <c r="N34" i="10"/>
  <c r="Q34" i="10" s="1"/>
  <c r="M34" i="10"/>
  <c r="S34" i="10" s="1"/>
  <c r="I34" i="10"/>
  <c r="E34" i="10"/>
  <c r="BR33" i="10"/>
  <c r="BN33" i="10"/>
  <c r="BJ33" i="10"/>
  <c r="BU33" i="10" s="1"/>
  <c r="AY33" i="10"/>
  <c r="BB33" i="10" s="1"/>
  <c r="AV33" i="10"/>
  <c r="AS33" i="10"/>
  <c r="AR33" i="10"/>
  <c r="AO33" i="10"/>
  <c r="AA33" i="10"/>
  <c r="Z33" i="10"/>
  <c r="W33" i="10"/>
  <c r="X33" i="10" s="1"/>
  <c r="P33" i="10"/>
  <c r="O33" i="10"/>
  <c r="N33" i="10"/>
  <c r="Q33" i="10" s="1"/>
  <c r="M33" i="10"/>
  <c r="S33" i="10" s="1"/>
  <c r="I33" i="10"/>
  <c r="E33" i="10"/>
  <c r="BR32" i="10"/>
  <c r="BN32" i="10"/>
  <c r="BJ32" i="10"/>
  <c r="BU32" i="10" s="1"/>
  <c r="AY32" i="10"/>
  <c r="BB32" i="10" s="1"/>
  <c r="AV32" i="10"/>
  <c r="AS32" i="10"/>
  <c r="AR32" i="10"/>
  <c r="AO32" i="10"/>
  <c r="AA32" i="10"/>
  <c r="Z32" i="10"/>
  <c r="W32" i="10"/>
  <c r="X32" i="10" s="1"/>
  <c r="P32" i="10"/>
  <c r="O32" i="10"/>
  <c r="N32" i="10"/>
  <c r="Q32" i="10" s="1"/>
  <c r="M32" i="10"/>
  <c r="S32" i="10" s="1"/>
  <c r="I32" i="10"/>
  <c r="E32" i="10"/>
  <c r="BR31" i="10"/>
  <c r="BN31" i="10"/>
  <c r="BJ31" i="10"/>
  <c r="BU31" i="10" s="1"/>
  <c r="AY31" i="10"/>
  <c r="BB31" i="10" s="1"/>
  <c r="AV31" i="10"/>
  <c r="AS31" i="10"/>
  <c r="AR31" i="10"/>
  <c r="AO31" i="10"/>
  <c r="AA31" i="10"/>
  <c r="Z31" i="10"/>
  <c r="W31" i="10"/>
  <c r="X31" i="10" s="1"/>
  <c r="P31" i="10"/>
  <c r="O31" i="10"/>
  <c r="N31" i="10"/>
  <c r="Q31" i="10" s="1"/>
  <c r="M31" i="10"/>
  <c r="S31" i="10" s="1"/>
  <c r="I31" i="10"/>
  <c r="E31" i="10"/>
  <c r="BR30" i="10"/>
  <c r="BR37" i="10" s="1"/>
  <c r="BN30" i="10"/>
  <c r="BJ30" i="10"/>
  <c r="BU30" i="10" s="1"/>
  <c r="AY30" i="10"/>
  <c r="BB30" i="10" s="1"/>
  <c r="AV30" i="10"/>
  <c r="AS30" i="10"/>
  <c r="AR30" i="10"/>
  <c r="AO30" i="10"/>
  <c r="AH30" i="10"/>
  <c r="BE30" i="10" s="1"/>
  <c r="Z30" i="10"/>
  <c r="AA30" i="10" s="1"/>
  <c r="AK30" i="10" s="1"/>
  <c r="X30" i="10"/>
  <c r="AJ30" i="10" s="1"/>
  <c r="AL30" i="10" s="1"/>
  <c r="S30" i="10"/>
  <c r="R30" i="10"/>
  <c r="P30" i="10"/>
  <c r="O30" i="10"/>
  <c r="N30" i="10"/>
  <c r="Q30" i="10" s="1"/>
  <c r="M30" i="10"/>
  <c r="I30" i="10"/>
  <c r="AD30" i="10" s="1"/>
  <c r="AE30" i="10" s="1"/>
  <c r="AI30" i="10" s="1"/>
  <c r="E30" i="10"/>
  <c r="BU29" i="10"/>
  <c r="BS29" i="10"/>
  <c r="BR29" i="10"/>
  <c r="BN29" i="10"/>
  <c r="BJ29" i="10"/>
  <c r="AY29" i="10"/>
  <c r="BB29" i="10" s="1"/>
  <c r="AV29" i="10"/>
  <c r="AZ29" i="10" s="1"/>
  <c r="AR29" i="10"/>
  <c r="AO29" i="10"/>
  <c r="AG29" i="10"/>
  <c r="AH29" i="10" s="1"/>
  <c r="AD29" i="10"/>
  <c r="AE29" i="10" s="1"/>
  <c r="AI29" i="10" s="1"/>
  <c r="Z29" i="10"/>
  <c r="AA29" i="10" s="1"/>
  <c r="X29" i="10"/>
  <c r="W29" i="10"/>
  <c r="S29" i="10"/>
  <c r="R29" i="10"/>
  <c r="P29" i="10"/>
  <c r="O29" i="10"/>
  <c r="N29" i="10"/>
  <c r="Q29" i="10" s="1"/>
  <c r="M29" i="10"/>
  <c r="I29" i="10"/>
  <c r="E29" i="10"/>
  <c r="BS28" i="10"/>
  <c r="BR28" i="10"/>
  <c r="BN28" i="10"/>
  <c r="BJ28" i="10"/>
  <c r="BU28" i="10" s="1"/>
  <c r="AY28" i="10"/>
  <c r="BB28" i="10" s="1"/>
  <c r="AV28" i="10"/>
  <c r="AR28" i="10"/>
  <c r="AO28" i="10"/>
  <c r="AS28" i="10" s="1"/>
  <c r="AD28" i="10"/>
  <c r="AE28" i="10" s="1"/>
  <c r="Z28" i="10"/>
  <c r="AA28" i="10" s="1"/>
  <c r="X28" i="10"/>
  <c r="R28" i="10"/>
  <c r="Q28" i="10"/>
  <c r="P28" i="10"/>
  <c r="O28" i="10"/>
  <c r="N28" i="10"/>
  <c r="M28" i="10"/>
  <c r="I28" i="10"/>
  <c r="E28" i="10"/>
  <c r="BU27" i="10"/>
  <c r="BS27" i="10"/>
  <c r="BR27" i="10"/>
  <c r="BN27" i="10"/>
  <c r="BJ27" i="10"/>
  <c r="BB27" i="10"/>
  <c r="AY27" i="10"/>
  <c r="AV27" i="10"/>
  <c r="AR27" i="10"/>
  <c r="AO27" i="10"/>
  <c r="AS27" i="10" s="1"/>
  <c r="AD27" i="10"/>
  <c r="AE27" i="10" s="1"/>
  <c r="AA27" i="10"/>
  <c r="Z27" i="10"/>
  <c r="W27" i="10"/>
  <c r="X27" i="10" s="1"/>
  <c r="AB27" i="10" s="1"/>
  <c r="R27" i="10"/>
  <c r="Q27" i="10"/>
  <c r="P27" i="10"/>
  <c r="O27" i="10"/>
  <c r="N27" i="10"/>
  <c r="M27" i="10"/>
  <c r="I27" i="10"/>
  <c r="E27" i="10"/>
  <c r="BU26" i="10"/>
  <c r="BS26" i="10"/>
  <c r="BR26" i="10"/>
  <c r="BN26" i="10"/>
  <c r="BJ26" i="10"/>
  <c r="BB26" i="10"/>
  <c r="AY26" i="10"/>
  <c r="AV26" i="10"/>
  <c r="AR26" i="10"/>
  <c r="AO26" i="10"/>
  <c r="AS26" i="10" s="1"/>
  <c r="AB26" i="10"/>
  <c r="AA26" i="10"/>
  <c r="Z26" i="10"/>
  <c r="X26" i="10"/>
  <c r="S26" i="10"/>
  <c r="Q26" i="10"/>
  <c r="P26" i="10"/>
  <c r="O26" i="10"/>
  <c r="N26" i="10"/>
  <c r="M26" i="10"/>
  <c r="AG26" i="10" s="1"/>
  <c r="AH26" i="10" s="1"/>
  <c r="I26" i="10"/>
  <c r="E26" i="10"/>
  <c r="BU25" i="10"/>
  <c r="BS25" i="10"/>
  <c r="BR25" i="10"/>
  <c r="BN25" i="10"/>
  <c r="BJ25" i="10"/>
  <c r="BB25" i="10"/>
  <c r="BA25" i="10"/>
  <c r="BC25" i="10" s="1"/>
  <c r="AZ25" i="10"/>
  <c r="AY25" i="10"/>
  <c r="AV25" i="10"/>
  <c r="AS25" i="10"/>
  <c r="AR25" i="10"/>
  <c r="AO25" i="10"/>
  <c r="AK25" i="10"/>
  <c r="AG25" i="10"/>
  <c r="AH25" i="10" s="1"/>
  <c r="AD25" i="10"/>
  <c r="AE25" i="10" s="1"/>
  <c r="AA25" i="10"/>
  <c r="AB25" i="10" s="1"/>
  <c r="X25" i="10"/>
  <c r="W25" i="10"/>
  <c r="S25" i="10"/>
  <c r="R25" i="10"/>
  <c r="Q25" i="10"/>
  <c r="P25" i="10"/>
  <c r="O25" i="10"/>
  <c r="N25" i="10"/>
  <c r="M25" i="10"/>
  <c r="I25" i="10"/>
  <c r="E25" i="10"/>
  <c r="BS24" i="10"/>
  <c r="BR24" i="10"/>
  <c r="BN24" i="10"/>
  <c r="BJ24" i="10"/>
  <c r="BU24" i="10" s="1"/>
  <c r="BB24" i="10"/>
  <c r="BA24" i="10"/>
  <c r="BC24" i="10" s="1"/>
  <c r="AZ24" i="10"/>
  <c r="AY24" i="10"/>
  <c r="AV24" i="10"/>
  <c r="AR24" i="10"/>
  <c r="AO24" i="10"/>
  <c r="AK24" i="10"/>
  <c r="AE24" i="10"/>
  <c r="AB24" i="10"/>
  <c r="AA24" i="10"/>
  <c r="BE24" i="10" s="1"/>
  <c r="Z24" i="10"/>
  <c r="X24" i="10"/>
  <c r="W24" i="10"/>
  <c r="S24" i="10"/>
  <c r="P24" i="10"/>
  <c r="O24" i="10"/>
  <c r="N24" i="10"/>
  <c r="M24" i="10"/>
  <c r="AG24" i="10" s="1"/>
  <c r="AH24" i="10" s="1"/>
  <c r="I24" i="10"/>
  <c r="AD24" i="10" s="1"/>
  <c r="E24" i="10"/>
  <c r="BR23" i="10"/>
  <c r="BN23" i="10"/>
  <c r="BS23" i="10" s="1"/>
  <c r="BJ23" i="10"/>
  <c r="BU23" i="10" s="1"/>
  <c r="BA23" i="10"/>
  <c r="AZ23" i="10"/>
  <c r="AY23" i="10"/>
  <c r="AV23" i="10"/>
  <c r="AR23" i="10"/>
  <c r="BB23" i="10" s="1"/>
  <c r="AO23" i="10"/>
  <c r="AS23" i="10" s="1"/>
  <c r="Z23" i="10"/>
  <c r="AA23" i="10" s="1"/>
  <c r="X23" i="10"/>
  <c r="W23" i="10"/>
  <c r="S23" i="10"/>
  <c r="P23" i="10"/>
  <c r="O23" i="10"/>
  <c r="N23" i="10"/>
  <c r="Q23" i="10" s="1"/>
  <c r="M23" i="10"/>
  <c r="AG23" i="10" s="1"/>
  <c r="AH23" i="10" s="1"/>
  <c r="I23" i="10"/>
  <c r="E23" i="10"/>
  <c r="BR22" i="10"/>
  <c r="BN22" i="10"/>
  <c r="BS22" i="10" s="1"/>
  <c r="BJ22" i="10"/>
  <c r="BU22" i="10" s="1"/>
  <c r="AZ22" i="10"/>
  <c r="AY22" i="10"/>
  <c r="AV22" i="10"/>
  <c r="AR22" i="10"/>
  <c r="AS22" i="10" s="1"/>
  <c r="AO22" i="10"/>
  <c r="BA22" i="10" s="1"/>
  <c r="AG22" i="10"/>
  <c r="AH22" i="10" s="1"/>
  <c r="Z22" i="10"/>
  <c r="AA22" i="10" s="1"/>
  <c r="AK22" i="10" s="1"/>
  <c r="W22" i="10"/>
  <c r="X22" i="10" s="1"/>
  <c r="S22" i="10"/>
  <c r="P22" i="10"/>
  <c r="O22" i="10"/>
  <c r="N22" i="10"/>
  <c r="Q22" i="10" s="1"/>
  <c r="M22" i="10"/>
  <c r="I22" i="10"/>
  <c r="E22" i="10"/>
  <c r="BR21" i="10"/>
  <c r="BN21" i="10"/>
  <c r="BS21" i="10" s="1"/>
  <c r="BJ21" i="10"/>
  <c r="BU21" i="10" s="1"/>
  <c r="AZ21" i="10"/>
  <c r="AY21" i="10"/>
  <c r="BB21" i="10" s="1"/>
  <c r="AV21" i="10"/>
  <c r="BA21" i="10" s="1"/>
  <c r="AS21" i="10"/>
  <c r="AR21" i="10"/>
  <c r="AO21" i="10"/>
  <c r="AG21" i="10"/>
  <c r="AH21" i="10" s="1"/>
  <c r="BE21" i="10" s="1"/>
  <c r="Z21" i="10"/>
  <c r="AA21" i="10" s="1"/>
  <c r="W21" i="10"/>
  <c r="X21" i="10" s="1"/>
  <c r="S21" i="10"/>
  <c r="P21" i="10"/>
  <c r="O21" i="10"/>
  <c r="N21" i="10"/>
  <c r="Q21" i="10" s="1"/>
  <c r="M21" i="10"/>
  <c r="I21" i="10"/>
  <c r="E21" i="10"/>
  <c r="BR20" i="10"/>
  <c r="BN20" i="10"/>
  <c r="BS20" i="10" s="1"/>
  <c r="BJ20" i="10"/>
  <c r="BU20" i="10" s="1"/>
  <c r="AZ20" i="10"/>
  <c r="AY20" i="10"/>
  <c r="AV20" i="10"/>
  <c r="BA20" i="10" s="1"/>
  <c r="AR20" i="10"/>
  <c r="AS20" i="10" s="1"/>
  <c r="AO20" i="10"/>
  <c r="AG20" i="10"/>
  <c r="AH20" i="10" s="1"/>
  <c r="Z20" i="10"/>
  <c r="AA20" i="10" s="1"/>
  <c r="AK20" i="10" s="1"/>
  <c r="W20" i="10"/>
  <c r="X20" i="10" s="1"/>
  <c r="S20" i="10"/>
  <c r="P20" i="10"/>
  <c r="O20" i="10"/>
  <c r="N20" i="10"/>
  <c r="Q20" i="10" s="1"/>
  <c r="M20" i="10"/>
  <c r="I20" i="10"/>
  <c r="E20" i="10"/>
  <c r="BR19" i="10"/>
  <c r="BN19" i="10"/>
  <c r="BS19" i="10" s="1"/>
  <c r="BJ19" i="10"/>
  <c r="BU19" i="10" s="1"/>
  <c r="AZ19" i="10"/>
  <c r="AY19" i="10"/>
  <c r="BB19" i="10" s="1"/>
  <c r="AV19" i="10"/>
  <c r="BA19" i="10" s="1"/>
  <c r="AS19" i="10"/>
  <c r="AR19" i="10"/>
  <c r="AO19" i="10"/>
  <c r="AG19" i="10"/>
  <c r="AH19" i="10" s="1"/>
  <c r="BE19" i="10" s="1"/>
  <c r="AA19" i="10"/>
  <c r="AK19" i="10" s="1"/>
  <c r="X19" i="10"/>
  <c r="W19" i="10"/>
  <c r="S19" i="10"/>
  <c r="R19" i="10"/>
  <c r="P19" i="10"/>
  <c r="O19" i="10"/>
  <c r="N19" i="10"/>
  <c r="Q19" i="10" s="1"/>
  <c r="M19" i="10"/>
  <c r="I19" i="10"/>
  <c r="AD19" i="10" s="1"/>
  <c r="AE19" i="10" s="1"/>
  <c r="E19" i="10"/>
  <c r="BU18" i="10"/>
  <c r="BS18" i="10"/>
  <c r="BR18" i="10"/>
  <c r="BN18" i="10"/>
  <c r="BJ18" i="10"/>
  <c r="AY18" i="10"/>
  <c r="BB18" i="10" s="1"/>
  <c r="AV18" i="10"/>
  <c r="AZ18" i="10" s="1"/>
  <c r="AR18" i="10"/>
  <c r="AO18" i="10"/>
  <c r="AS18" i="10" s="1"/>
  <c r="AD18" i="10"/>
  <c r="AE18" i="10" s="1"/>
  <c r="AI18" i="10" s="1"/>
  <c r="AA18" i="10"/>
  <c r="AK18" i="10" s="1"/>
  <c r="W18" i="10"/>
  <c r="X18" i="10" s="1"/>
  <c r="BD18" i="10" s="1"/>
  <c r="BF18" i="10" s="1"/>
  <c r="R18" i="10"/>
  <c r="Q18" i="10"/>
  <c r="P18" i="10"/>
  <c r="O18" i="10"/>
  <c r="N18" i="10"/>
  <c r="M18" i="10"/>
  <c r="AG18" i="10" s="1"/>
  <c r="AH18" i="10" s="1"/>
  <c r="BE18" i="10" s="1"/>
  <c r="I18" i="10"/>
  <c r="E18" i="10"/>
  <c r="BU17" i="10"/>
  <c r="BS17" i="10"/>
  <c r="BR17" i="10"/>
  <c r="BN17" i="10"/>
  <c r="BJ17" i="10"/>
  <c r="BB17" i="10"/>
  <c r="BC17" i="10" s="1"/>
  <c r="AY17" i="10"/>
  <c r="AV17" i="10"/>
  <c r="BA17" i="10" s="1"/>
  <c r="AR17" i="10"/>
  <c r="AO17" i="10"/>
  <c r="AS17" i="10" s="1"/>
  <c r="AD17" i="10"/>
  <c r="AE17" i="10" s="1"/>
  <c r="AB17" i="10"/>
  <c r="AA17" i="10"/>
  <c r="Z17" i="10"/>
  <c r="W17" i="10"/>
  <c r="X17" i="10" s="1"/>
  <c r="R17" i="10"/>
  <c r="Q17" i="10"/>
  <c r="P17" i="10"/>
  <c r="O17" i="10"/>
  <c r="N17" i="10"/>
  <c r="M17" i="10"/>
  <c r="AG17" i="10" s="1"/>
  <c r="AH17" i="10" s="1"/>
  <c r="I17" i="10"/>
  <c r="E17" i="10"/>
  <c r="BU16" i="10"/>
  <c r="BS16" i="10"/>
  <c r="BR16" i="10"/>
  <c r="BN16" i="10"/>
  <c r="BJ16" i="10"/>
  <c r="BB16" i="10"/>
  <c r="AY16" i="10"/>
  <c r="AV16" i="10"/>
  <c r="BA16" i="10" s="1"/>
  <c r="BC16" i="10" s="1"/>
  <c r="AR16" i="10"/>
  <c r="AO16" i="10"/>
  <c r="AS16" i="10" s="1"/>
  <c r="AD16" i="10"/>
  <c r="AE16" i="10" s="1"/>
  <c r="AA16" i="10"/>
  <c r="Z16" i="10"/>
  <c r="W16" i="10"/>
  <c r="X16" i="10" s="1"/>
  <c r="R16" i="10"/>
  <c r="Q16" i="10"/>
  <c r="P16" i="10"/>
  <c r="O16" i="10"/>
  <c r="N16" i="10"/>
  <c r="M16" i="10"/>
  <c r="AG16" i="10" s="1"/>
  <c r="AH16" i="10" s="1"/>
  <c r="I16" i="10"/>
  <c r="E16" i="10"/>
  <c r="BU15" i="10"/>
  <c r="BS15" i="10"/>
  <c r="BR15" i="10"/>
  <c r="BN15" i="10"/>
  <c r="BJ15" i="10"/>
  <c r="BB15" i="10"/>
  <c r="AY15" i="10"/>
  <c r="AV15" i="10"/>
  <c r="AR15" i="10"/>
  <c r="AO15" i="10"/>
  <c r="AS15" i="10" s="1"/>
  <c r="AD15" i="10"/>
  <c r="AE15" i="10" s="1"/>
  <c r="AI15" i="10" s="1"/>
  <c r="AB15" i="10"/>
  <c r="AA15" i="10"/>
  <c r="Z15" i="10"/>
  <c r="W15" i="10"/>
  <c r="X15" i="10" s="1"/>
  <c r="R15" i="10"/>
  <c r="Q15" i="10"/>
  <c r="P15" i="10"/>
  <c r="O15" i="10"/>
  <c r="N15" i="10"/>
  <c r="M15" i="10"/>
  <c r="AG15" i="10" s="1"/>
  <c r="AH15" i="10" s="1"/>
  <c r="I15" i="10"/>
  <c r="E15" i="10"/>
  <c r="BU14" i="10"/>
  <c r="BS14" i="10"/>
  <c r="BR14" i="10"/>
  <c r="BN14" i="10"/>
  <c r="BJ14" i="10"/>
  <c r="BB14" i="10"/>
  <c r="AY14" i="10"/>
  <c r="AV14" i="10"/>
  <c r="BA14" i="10" s="1"/>
  <c r="BC14" i="10" s="1"/>
  <c r="AR14" i="10"/>
  <c r="AO14" i="10"/>
  <c r="AS14" i="10" s="1"/>
  <c r="AD14" i="10"/>
  <c r="AE14" i="10" s="1"/>
  <c r="AA14" i="10"/>
  <c r="Z14" i="10"/>
  <c r="W14" i="10"/>
  <c r="X14" i="10" s="1"/>
  <c r="AB14" i="10" s="1"/>
  <c r="R14" i="10"/>
  <c r="Q14" i="10"/>
  <c r="P14" i="10"/>
  <c r="O14" i="10"/>
  <c r="N14" i="10"/>
  <c r="M14" i="10"/>
  <c r="AG14" i="10" s="1"/>
  <c r="AH14" i="10" s="1"/>
  <c r="I14" i="10"/>
  <c r="E14" i="10"/>
  <c r="BU13" i="10"/>
  <c r="BS13" i="10"/>
  <c r="BR13" i="10"/>
  <c r="BN13" i="10"/>
  <c r="BJ13" i="10"/>
  <c r="BB13" i="10"/>
  <c r="AY13" i="10"/>
  <c r="AV13" i="10"/>
  <c r="AR13" i="10"/>
  <c r="AO13" i="10"/>
  <c r="AS13" i="10" s="1"/>
  <c r="AD13" i="10"/>
  <c r="AE13" i="10" s="1"/>
  <c r="AI13" i="10" s="1"/>
  <c r="AB13" i="10"/>
  <c r="AA13" i="10"/>
  <c r="Z13" i="10"/>
  <c r="W13" i="10"/>
  <c r="X13" i="10" s="1"/>
  <c r="R13" i="10"/>
  <c r="Q13" i="10"/>
  <c r="P13" i="10"/>
  <c r="O13" i="10"/>
  <c r="N13" i="10"/>
  <c r="M13" i="10"/>
  <c r="AG13" i="10" s="1"/>
  <c r="AH13" i="10" s="1"/>
  <c r="I13" i="10"/>
  <c r="E13" i="10"/>
  <c r="BU12" i="10"/>
  <c r="BS12" i="10"/>
  <c r="BR12" i="10"/>
  <c r="BN12" i="10"/>
  <c r="BJ12" i="10"/>
  <c r="BB12" i="10"/>
  <c r="AY12" i="10"/>
  <c r="AV12" i="10"/>
  <c r="AR12" i="10"/>
  <c r="AO12" i="10"/>
  <c r="AS12" i="10" s="1"/>
  <c r="AD12" i="10"/>
  <c r="AE12" i="10" s="1"/>
  <c r="AI12" i="10" s="1"/>
  <c r="AA12" i="10"/>
  <c r="Z12" i="10"/>
  <c r="W12" i="10"/>
  <c r="X12" i="10" s="1"/>
  <c r="R12" i="10"/>
  <c r="Q12" i="10"/>
  <c r="P12" i="10"/>
  <c r="O12" i="10"/>
  <c r="N12" i="10"/>
  <c r="M12" i="10"/>
  <c r="AG12" i="10" s="1"/>
  <c r="AH12" i="10" s="1"/>
  <c r="I12" i="10"/>
  <c r="E12" i="10"/>
  <c r="BU11" i="10"/>
  <c r="BS11" i="10"/>
  <c r="BR11" i="10"/>
  <c r="BN11" i="10"/>
  <c r="BJ11" i="10"/>
  <c r="BB11" i="10"/>
  <c r="AY11" i="10"/>
  <c r="AV11" i="10"/>
  <c r="BA11" i="10" s="1"/>
  <c r="BC11" i="10" s="1"/>
  <c r="AR11" i="10"/>
  <c r="AO11" i="10"/>
  <c r="AS11" i="10" s="1"/>
  <c r="AD11" i="10"/>
  <c r="AE11" i="10" s="1"/>
  <c r="AA11" i="10"/>
  <c r="Z11" i="10"/>
  <c r="W11" i="10"/>
  <c r="X11" i="10" s="1"/>
  <c r="R11" i="10"/>
  <c r="Q11" i="10"/>
  <c r="P11" i="10"/>
  <c r="O11" i="10"/>
  <c r="N11" i="10"/>
  <c r="M11" i="10"/>
  <c r="AG11" i="10" s="1"/>
  <c r="AH11" i="10" s="1"/>
  <c r="I11" i="10"/>
  <c r="E11" i="10"/>
  <c r="BU10" i="10"/>
  <c r="BS10" i="10"/>
  <c r="BR10" i="10"/>
  <c r="BN10" i="10"/>
  <c r="BJ10" i="10"/>
  <c r="BB10" i="10"/>
  <c r="AY10" i="10"/>
  <c r="AV10" i="10"/>
  <c r="AR10" i="10"/>
  <c r="AO10" i="10"/>
  <c r="AS10" i="10" s="1"/>
  <c r="AD10" i="10"/>
  <c r="AE10" i="10" s="1"/>
  <c r="AI10" i="10" s="1"/>
  <c r="AA10" i="10"/>
  <c r="Z10" i="10"/>
  <c r="W10" i="10"/>
  <c r="X10" i="10" s="1"/>
  <c r="AB10" i="10" s="1"/>
  <c r="R10" i="10"/>
  <c r="Q10" i="10"/>
  <c r="P10" i="10"/>
  <c r="N10" i="10"/>
  <c r="M10" i="10"/>
  <c r="AG10" i="10" s="1"/>
  <c r="AH10" i="10" s="1"/>
  <c r="K10" i="10"/>
  <c r="O10" i="10" s="1"/>
  <c r="I10" i="10"/>
  <c r="E10" i="10"/>
  <c r="BU9" i="10"/>
  <c r="BS9" i="10"/>
  <c r="BR9" i="10"/>
  <c r="BN9" i="10"/>
  <c r="BJ9" i="10"/>
  <c r="AY9" i="10"/>
  <c r="AV9" i="10"/>
  <c r="AZ9" i="10" s="1"/>
  <c r="AR9" i="10"/>
  <c r="AO9" i="10"/>
  <c r="AG9" i="10"/>
  <c r="AH9" i="10" s="1"/>
  <c r="AD9" i="10"/>
  <c r="AE9" i="10" s="1"/>
  <c r="Z9" i="10"/>
  <c r="AA9" i="10" s="1"/>
  <c r="X9" i="10"/>
  <c r="W9" i="10"/>
  <c r="S9" i="10"/>
  <c r="R9" i="10"/>
  <c r="P9" i="10"/>
  <c r="O9" i="10"/>
  <c r="N9" i="10"/>
  <c r="Q9" i="10" s="1"/>
  <c r="M9" i="10"/>
  <c r="I9" i="10"/>
  <c r="E9" i="10"/>
  <c r="BU8" i="10"/>
  <c r="BS8" i="10"/>
  <c r="BR8" i="10"/>
  <c r="BN8" i="10"/>
  <c r="BJ8" i="10"/>
  <c r="AY8" i="10"/>
  <c r="BB8" i="10" s="1"/>
  <c r="AV8" i="10"/>
  <c r="AZ8" i="10" s="1"/>
  <c r="AR8" i="10"/>
  <c r="AO8" i="10"/>
  <c r="AS8" i="10" s="1"/>
  <c r="AG8" i="10"/>
  <c r="AH8" i="10" s="1"/>
  <c r="AD8" i="10"/>
  <c r="AE8" i="10" s="1"/>
  <c r="Z8" i="10"/>
  <c r="AA8" i="10" s="1"/>
  <c r="X8" i="10"/>
  <c r="W8" i="10"/>
  <c r="S8" i="10"/>
  <c r="R8" i="10"/>
  <c r="T8" i="10" s="1"/>
  <c r="P8" i="10"/>
  <c r="O8" i="10"/>
  <c r="N8" i="10"/>
  <c r="Q8" i="10" s="1"/>
  <c r="M8" i="10"/>
  <c r="I8" i="10"/>
  <c r="E8" i="10"/>
  <c r="BU7" i="10"/>
  <c r="BS7" i="10"/>
  <c r="BR7" i="10"/>
  <c r="BN7" i="10"/>
  <c r="BJ7" i="10"/>
  <c r="AY7" i="10"/>
  <c r="BB7" i="10" s="1"/>
  <c r="AV7" i="10"/>
  <c r="AZ7" i="10" s="1"/>
  <c r="AR7" i="10"/>
  <c r="AO7" i="10"/>
  <c r="AG7" i="10"/>
  <c r="AH7" i="10" s="1"/>
  <c r="AD7" i="10"/>
  <c r="AE7" i="10" s="1"/>
  <c r="Z7" i="10"/>
  <c r="AA7" i="10" s="1"/>
  <c r="X7" i="10"/>
  <c r="W7" i="10"/>
  <c r="S7" i="10"/>
  <c r="R7" i="10"/>
  <c r="P7" i="10"/>
  <c r="O7" i="10"/>
  <c r="N7" i="10"/>
  <c r="Q7" i="10" s="1"/>
  <c r="M7" i="10"/>
  <c r="I7" i="10"/>
  <c r="E7" i="10"/>
  <c r="BU6" i="10"/>
  <c r="BS6" i="10"/>
  <c r="BR6" i="10"/>
  <c r="BN6" i="10"/>
  <c r="BJ6" i="10"/>
  <c r="BJ37" i="10" s="1"/>
  <c r="AY6" i="10"/>
  <c r="AV6" i="10"/>
  <c r="AZ6" i="10" s="1"/>
  <c r="AR6" i="10"/>
  <c r="AO6" i="10"/>
  <c r="AD6" i="10"/>
  <c r="AE6" i="10" s="1"/>
  <c r="Z6" i="10"/>
  <c r="AA6" i="10" s="1"/>
  <c r="X6" i="10"/>
  <c r="W6" i="10"/>
  <c r="R6" i="10"/>
  <c r="P6" i="10"/>
  <c r="N6" i="10"/>
  <c r="K6" i="10"/>
  <c r="O6" i="10" s="1"/>
  <c r="I6" i="10"/>
  <c r="E6" i="10"/>
  <c r="BN36" i="9"/>
  <c r="BM36" i="9"/>
  <c r="BL36" i="9"/>
  <c r="BK36" i="9"/>
  <c r="BI36" i="9"/>
  <c r="BH36" i="9"/>
  <c r="BG36" i="9"/>
  <c r="BO35" i="9"/>
  <c r="BJ35" i="9"/>
  <c r="BB35" i="9"/>
  <c r="BA35" i="9"/>
  <c r="BC35" i="9" s="1"/>
  <c r="AZ35" i="9"/>
  <c r="AS35" i="9"/>
  <c r="AH35" i="9"/>
  <c r="AE35" i="9"/>
  <c r="AA35" i="9"/>
  <c r="AK35" i="9" s="1"/>
  <c r="BE35" i="9" s="1"/>
  <c r="X35" i="9"/>
  <c r="P35" i="9"/>
  <c r="N35" i="9"/>
  <c r="M35" i="9"/>
  <c r="S35" i="9" s="1"/>
  <c r="I35" i="9"/>
  <c r="R35" i="9" s="1"/>
  <c r="T35" i="9" s="1"/>
  <c r="G35" i="9"/>
  <c r="O35" i="9" s="1"/>
  <c r="E35" i="9"/>
  <c r="BO34" i="9"/>
  <c r="BJ34" i="9"/>
  <c r="BB34" i="9"/>
  <c r="BA34" i="9"/>
  <c r="BC34" i="9" s="1"/>
  <c r="AZ34" i="9"/>
  <c r="AS34" i="9"/>
  <c r="AH34" i="9"/>
  <c r="AE34" i="9"/>
  <c r="AI34" i="9" s="1"/>
  <c r="AA34" i="9"/>
  <c r="AK34" i="9" s="1"/>
  <c r="BE34" i="9" s="1"/>
  <c r="X34" i="9"/>
  <c r="AJ34" i="9" s="1"/>
  <c r="BD34" i="9" s="1"/>
  <c r="S34" i="9"/>
  <c r="P34" i="9"/>
  <c r="O34" i="9"/>
  <c r="N34" i="9"/>
  <c r="Q34" i="9" s="1"/>
  <c r="M34" i="9"/>
  <c r="I34" i="9"/>
  <c r="R34" i="9" s="1"/>
  <c r="T34" i="9" s="1"/>
  <c r="E34" i="9"/>
  <c r="BO33" i="9"/>
  <c r="BJ33" i="9"/>
  <c r="AX33" i="9"/>
  <c r="BB33" i="9" s="1"/>
  <c r="AU33" i="9"/>
  <c r="BA33" i="9" s="1"/>
  <c r="AS33" i="9"/>
  <c r="AJ33" i="9"/>
  <c r="AH33" i="9"/>
  <c r="AI33" i="9" s="1"/>
  <c r="AE33" i="9"/>
  <c r="AA33" i="9"/>
  <c r="AK33" i="9" s="1"/>
  <c r="X33" i="9"/>
  <c r="AB33" i="9" s="1"/>
  <c r="P33" i="9"/>
  <c r="N33" i="9"/>
  <c r="K33" i="9"/>
  <c r="I33" i="9"/>
  <c r="R33" i="9" s="1"/>
  <c r="E33" i="9"/>
  <c r="BO32" i="9"/>
  <c r="BJ32" i="9"/>
  <c r="AX32" i="9"/>
  <c r="BB32" i="9" s="1"/>
  <c r="AU32" i="9"/>
  <c r="AZ32" i="9" s="1"/>
  <c r="AS32" i="9"/>
  <c r="AH32" i="9"/>
  <c r="AK32" i="9" s="1"/>
  <c r="AE32" i="9"/>
  <c r="AA32" i="9"/>
  <c r="X32" i="9"/>
  <c r="P32" i="9"/>
  <c r="N32" i="9"/>
  <c r="K32" i="9"/>
  <c r="O32" i="9" s="1"/>
  <c r="I32" i="9"/>
  <c r="R32" i="9" s="1"/>
  <c r="E32" i="9"/>
  <c r="BO31" i="9"/>
  <c r="BJ31" i="9"/>
  <c r="AZ31" i="9"/>
  <c r="AX31" i="9"/>
  <c r="BB31" i="9" s="1"/>
  <c r="AU31" i="9"/>
  <c r="BA31" i="9" s="1"/>
  <c r="AS31" i="9"/>
  <c r="AH31" i="9"/>
  <c r="AE31" i="9"/>
  <c r="AA31" i="9"/>
  <c r="X31" i="9"/>
  <c r="P31" i="9"/>
  <c r="N31" i="9"/>
  <c r="M31" i="9"/>
  <c r="S31" i="9" s="1"/>
  <c r="K31" i="9"/>
  <c r="O31" i="9" s="1"/>
  <c r="I31" i="9"/>
  <c r="R31" i="9" s="1"/>
  <c r="E31" i="9"/>
  <c r="BO30" i="9"/>
  <c r="BJ30" i="9"/>
  <c r="AX30" i="9"/>
  <c r="BB30" i="9" s="1"/>
  <c r="AU30" i="9"/>
  <c r="AS30" i="9"/>
  <c r="AI30" i="9"/>
  <c r="AH30" i="9"/>
  <c r="AE30" i="9"/>
  <c r="AA30" i="9"/>
  <c r="X30" i="9"/>
  <c r="AJ30" i="9" s="1"/>
  <c r="P30" i="9"/>
  <c r="O30" i="9"/>
  <c r="N30" i="9"/>
  <c r="M30" i="9"/>
  <c r="S30" i="9" s="1"/>
  <c r="I30" i="9"/>
  <c r="R30" i="9" s="1"/>
  <c r="E30" i="9"/>
  <c r="BO29" i="9"/>
  <c r="BJ29" i="9"/>
  <c r="AX29" i="9"/>
  <c r="BB29" i="9" s="1"/>
  <c r="AU29" i="9"/>
  <c r="AS29" i="9"/>
  <c r="AI29" i="9"/>
  <c r="AH29" i="9"/>
  <c r="AE29" i="9"/>
  <c r="AA29" i="9"/>
  <c r="AK29" i="9" s="1"/>
  <c r="BE29" i="9" s="1"/>
  <c r="X29" i="9"/>
  <c r="AJ29" i="9" s="1"/>
  <c r="R29" i="9"/>
  <c r="P29" i="9"/>
  <c r="O29" i="9"/>
  <c r="N29" i="9"/>
  <c r="M29" i="9"/>
  <c r="S29" i="9" s="1"/>
  <c r="I29" i="9"/>
  <c r="E29" i="9"/>
  <c r="BO28" i="9"/>
  <c r="BJ28" i="9"/>
  <c r="BB28" i="9"/>
  <c r="BA28" i="9"/>
  <c r="AZ28" i="9"/>
  <c r="AS28" i="9"/>
  <c r="AH28" i="9"/>
  <c r="AE28" i="9"/>
  <c r="AA28" i="9"/>
  <c r="AK28" i="9" s="1"/>
  <c r="BE28" i="9" s="1"/>
  <c r="X28" i="9"/>
  <c r="P28" i="9"/>
  <c r="O28" i="9"/>
  <c r="N28" i="9"/>
  <c r="M28" i="9"/>
  <c r="S28" i="9" s="1"/>
  <c r="I28" i="9"/>
  <c r="R28" i="9" s="1"/>
  <c r="E28" i="9"/>
  <c r="BO27" i="9"/>
  <c r="BJ27" i="9"/>
  <c r="BB27" i="9"/>
  <c r="BA27" i="9"/>
  <c r="BC27" i="9" s="1"/>
  <c r="AZ27" i="9"/>
  <c r="AS27" i="9"/>
  <c r="AJ27" i="9"/>
  <c r="BD27" i="9" s="1"/>
  <c r="AI27" i="9"/>
  <c r="AH27" i="9"/>
  <c r="AE27" i="9"/>
  <c r="AA27" i="9"/>
  <c r="AK27" i="9" s="1"/>
  <c r="BE27" i="9" s="1"/>
  <c r="X27" i="9"/>
  <c r="AB27" i="9" s="1"/>
  <c r="S27" i="9"/>
  <c r="P27" i="9"/>
  <c r="O27" i="9"/>
  <c r="N27" i="9"/>
  <c r="M27" i="9"/>
  <c r="I27" i="9"/>
  <c r="R27" i="9" s="1"/>
  <c r="T27" i="9" s="1"/>
  <c r="E27" i="9"/>
  <c r="BO26" i="9"/>
  <c r="BJ26" i="9"/>
  <c r="BB26" i="9"/>
  <c r="BA26" i="9"/>
  <c r="AZ26" i="9"/>
  <c r="AS26" i="9"/>
  <c r="AH26" i="9"/>
  <c r="AK26" i="9" s="1"/>
  <c r="BE26" i="9" s="1"/>
  <c r="AE26" i="9"/>
  <c r="AA26" i="9"/>
  <c r="X26" i="9"/>
  <c r="AB26" i="9" s="1"/>
  <c r="S26" i="9"/>
  <c r="P26" i="9"/>
  <c r="O26" i="9"/>
  <c r="N26" i="9"/>
  <c r="M26" i="9"/>
  <c r="I26" i="9"/>
  <c r="R26" i="9" s="1"/>
  <c r="E26" i="9"/>
  <c r="BO25" i="9"/>
  <c r="BJ25" i="9"/>
  <c r="BB25" i="9"/>
  <c r="BA25" i="9"/>
  <c r="BC25" i="9" s="1"/>
  <c r="AZ25" i="9"/>
  <c r="AS25" i="9"/>
  <c r="AH25" i="9"/>
  <c r="AE25" i="9"/>
  <c r="AI25" i="9" s="1"/>
  <c r="AA25" i="9"/>
  <c r="X25" i="9"/>
  <c r="P25" i="9"/>
  <c r="O25" i="9"/>
  <c r="N25" i="9"/>
  <c r="M25" i="9"/>
  <c r="S25" i="9" s="1"/>
  <c r="I25" i="9"/>
  <c r="R25" i="9" s="1"/>
  <c r="T25" i="9" s="1"/>
  <c r="E25" i="9"/>
  <c r="BO24" i="9"/>
  <c r="BJ24" i="9"/>
  <c r="BB24" i="9"/>
  <c r="BA24" i="9"/>
  <c r="AZ24" i="9"/>
  <c r="AS24" i="9"/>
  <c r="AH24" i="9"/>
  <c r="AE24" i="9"/>
  <c r="AI24" i="9" s="1"/>
  <c r="AA24" i="9"/>
  <c r="AK24" i="9" s="1"/>
  <c r="BE24" i="9" s="1"/>
  <c r="X24" i="9"/>
  <c r="P24" i="9"/>
  <c r="O24" i="9"/>
  <c r="N24" i="9"/>
  <c r="M24" i="9"/>
  <c r="S24" i="9" s="1"/>
  <c r="I24" i="9"/>
  <c r="R24" i="9" s="1"/>
  <c r="T24" i="9" s="1"/>
  <c r="E24" i="9"/>
  <c r="BO23" i="9"/>
  <c r="BJ23" i="9"/>
  <c r="BB23" i="9"/>
  <c r="BC23" i="9" s="1"/>
  <c r="BA23" i="9"/>
  <c r="AZ23" i="9"/>
  <c r="AS23" i="9"/>
  <c r="AI23" i="9"/>
  <c r="AH23" i="9"/>
  <c r="AE23" i="9"/>
  <c r="AA23" i="9"/>
  <c r="AK23" i="9" s="1"/>
  <c r="BE23" i="9" s="1"/>
  <c r="X23" i="9"/>
  <c r="AJ23" i="9" s="1"/>
  <c r="BD23" i="9" s="1"/>
  <c r="BF23" i="9" s="1"/>
  <c r="P23" i="9"/>
  <c r="O23" i="9"/>
  <c r="N23" i="9"/>
  <c r="M23" i="9"/>
  <c r="S23" i="9" s="1"/>
  <c r="I23" i="9"/>
  <c r="R23" i="9" s="1"/>
  <c r="E23" i="9"/>
  <c r="BO22" i="9"/>
  <c r="BJ22" i="9"/>
  <c r="BB22" i="9"/>
  <c r="BA22" i="9"/>
  <c r="AZ22" i="9"/>
  <c r="AS22" i="9"/>
  <c r="AH22" i="9"/>
  <c r="AK22" i="9" s="1"/>
  <c r="AE22" i="9"/>
  <c r="AA22" i="9"/>
  <c r="X22" i="9"/>
  <c r="AB22" i="9" s="1"/>
  <c r="P22" i="9"/>
  <c r="O22" i="9"/>
  <c r="N22" i="9"/>
  <c r="Q22" i="9" s="1"/>
  <c r="M22" i="9"/>
  <c r="S22" i="9" s="1"/>
  <c r="I22" i="9"/>
  <c r="R22" i="9" s="1"/>
  <c r="E22" i="9"/>
  <c r="BO21" i="9"/>
  <c r="BJ21" i="9"/>
  <c r="BB21" i="9"/>
  <c r="BA21" i="9"/>
  <c r="BC21" i="9" s="1"/>
  <c r="AZ21" i="9"/>
  <c r="AS21" i="9"/>
  <c r="AH21" i="9"/>
  <c r="AI21" i="9" s="1"/>
  <c r="AA21" i="9"/>
  <c r="AK21" i="9" s="1"/>
  <c r="X21" i="9"/>
  <c r="P21" i="9"/>
  <c r="O21" i="9"/>
  <c r="N21" i="9"/>
  <c r="M21" i="9"/>
  <c r="S21" i="9" s="1"/>
  <c r="I21" i="9"/>
  <c r="R21" i="9" s="1"/>
  <c r="T21" i="9" s="1"/>
  <c r="E21" i="9"/>
  <c r="BO20" i="9"/>
  <c r="BJ20" i="9"/>
  <c r="BB20" i="9"/>
  <c r="BA20" i="9"/>
  <c r="BC20" i="9" s="1"/>
  <c r="AZ20" i="9"/>
  <c r="AS20" i="9"/>
  <c r="AI20" i="9"/>
  <c r="AH20" i="9"/>
  <c r="AA20" i="9"/>
  <c r="AK20" i="9" s="1"/>
  <c r="BE20" i="9" s="1"/>
  <c r="X20" i="9"/>
  <c r="AB20" i="9" s="1"/>
  <c r="P20" i="9"/>
  <c r="O20" i="9"/>
  <c r="N20" i="9"/>
  <c r="Q20" i="9" s="1"/>
  <c r="M20" i="9"/>
  <c r="S20" i="9" s="1"/>
  <c r="I20" i="9"/>
  <c r="R20" i="9" s="1"/>
  <c r="E20" i="9"/>
  <c r="BO19" i="9"/>
  <c r="BJ19" i="9"/>
  <c r="BB19" i="9"/>
  <c r="BA19" i="9"/>
  <c r="AZ19" i="9"/>
  <c r="AS19" i="9"/>
  <c r="AH19" i="9"/>
  <c r="AK19" i="9" s="1"/>
  <c r="BE19" i="9" s="1"/>
  <c r="AE19" i="9"/>
  <c r="AA19" i="9"/>
  <c r="X19" i="9"/>
  <c r="AB19" i="9" s="1"/>
  <c r="P19" i="9"/>
  <c r="Q19" i="9" s="1"/>
  <c r="O19" i="9"/>
  <c r="N19" i="9"/>
  <c r="M19" i="9"/>
  <c r="S19" i="9" s="1"/>
  <c r="I19" i="9"/>
  <c r="R19" i="9" s="1"/>
  <c r="E19" i="9"/>
  <c r="BO18" i="9"/>
  <c r="BJ18" i="9"/>
  <c r="BC18" i="9"/>
  <c r="BB18" i="9"/>
  <c r="BA18" i="9"/>
  <c r="AZ18" i="9"/>
  <c r="AS18" i="9"/>
  <c r="AH18" i="9"/>
  <c r="AE18" i="9"/>
  <c r="AI18" i="9" s="1"/>
  <c r="AA18" i="9"/>
  <c r="AK18" i="9" s="1"/>
  <c r="BE18" i="9" s="1"/>
  <c r="X18" i="9"/>
  <c r="AJ18" i="9" s="1"/>
  <c r="BD18" i="9" s="1"/>
  <c r="R18" i="9"/>
  <c r="P18" i="9"/>
  <c r="O18" i="9"/>
  <c r="N18" i="9"/>
  <c r="M18" i="9"/>
  <c r="S18" i="9" s="1"/>
  <c r="I18" i="9"/>
  <c r="E18" i="9"/>
  <c r="BO17" i="9"/>
  <c r="BJ17" i="9"/>
  <c r="BB17" i="9"/>
  <c r="BA17" i="9"/>
  <c r="BC17" i="9" s="1"/>
  <c r="AZ17" i="9"/>
  <c r="AS17" i="9"/>
  <c r="AK17" i="9"/>
  <c r="BE17" i="9" s="1"/>
  <c r="AH17" i="9"/>
  <c r="AE17" i="9"/>
  <c r="AI17" i="9" s="1"/>
  <c r="AA17" i="9"/>
  <c r="X17" i="9"/>
  <c r="P17" i="9"/>
  <c r="O17" i="9"/>
  <c r="N17" i="9"/>
  <c r="Q17" i="9" s="1"/>
  <c r="M17" i="9"/>
  <c r="S17" i="9" s="1"/>
  <c r="I17" i="9"/>
  <c r="R17" i="9" s="1"/>
  <c r="T17" i="9" s="1"/>
  <c r="E17" i="9"/>
  <c r="BO16" i="9"/>
  <c r="BJ16" i="9"/>
  <c r="BB16" i="9"/>
  <c r="BA16" i="9"/>
  <c r="BC16" i="9" s="1"/>
  <c r="AZ16" i="9"/>
  <c r="AS16" i="9"/>
  <c r="AH16" i="9"/>
  <c r="AE16" i="9"/>
  <c r="AI16" i="9" s="1"/>
  <c r="AA16" i="9"/>
  <c r="AK16" i="9" s="1"/>
  <c r="BE16" i="9" s="1"/>
  <c r="X16" i="9"/>
  <c r="AB16" i="9" s="1"/>
  <c r="P16" i="9"/>
  <c r="O16" i="9"/>
  <c r="N16" i="9"/>
  <c r="Q16" i="9" s="1"/>
  <c r="M16" i="9"/>
  <c r="S16" i="9" s="1"/>
  <c r="I16" i="9"/>
  <c r="R16" i="9" s="1"/>
  <c r="E16" i="9"/>
  <c r="BO15" i="9"/>
  <c r="BJ15" i="9"/>
  <c r="BB15" i="9"/>
  <c r="BA15" i="9"/>
  <c r="AZ15" i="9"/>
  <c r="AS15" i="9"/>
  <c r="AH15" i="9"/>
  <c r="AK15" i="9" s="1"/>
  <c r="AE15" i="9"/>
  <c r="AA15" i="9"/>
  <c r="X15" i="9"/>
  <c r="AB15" i="9" s="1"/>
  <c r="P15" i="9"/>
  <c r="O15" i="9"/>
  <c r="N15" i="9"/>
  <c r="Q15" i="9" s="1"/>
  <c r="M15" i="9"/>
  <c r="S15" i="9" s="1"/>
  <c r="I15" i="9"/>
  <c r="R15" i="9" s="1"/>
  <c r="E15" i="9"/>
  <c r="BO14" i="9"/>
  <c r="BJ14" i="9"/>
  <c r="BB14" i="9"/>
  <c r="BA14" i="9"/>
  <c r="BC14" i="9" s="1"/>
  <c r="AZ14" i="9"/>
  <c r="AS14" i="9"/>
  <c r="AH14" i="9"/>
  <c r="AE14" i="9"/>
  <c r="AI14" i="9" s="1"/>
  <c r="AA14" i="9"/>
  <c r="AK14" i="9" s="1"/>
  <c r="BE14" i="9" s="1"/>
  <c r="X14" i="9"/>
  <c r="AJ14" i="9" s="1"/>
  <c r="R14" i="9"/>
  <c r="P14" i="9"/>
  <c r="O14" i="9"/>
  <c r="N14" i="9"/>
  <c r="M14" i="9"/>
  <c r="S14" i="9" s="1"/>
  <c r="I14" i="9"/>
  <c r="E14" i="9"/>
  <c r="BO13" i="9"/>
  <c r="BJ13" i="9"/>
  <c r="BB13" i="9"/>
  <c r="BA13" i="9"/>
  <c r="BC13" i="9" s="1"/>
  <c r="AZ13" i="9"/>
  <c r="AS13" i="9"/>
  <c r="AH13" i="9"/>
  <c r="AE13" i="9"/>
  <c r="AI13" i="9" s="1"/>
  <c r="AA13" i="9"/>
  <c r="AK13" i="9" s="1"/>
  <c r="BE13" i="9" s="1"/>
  <c r="X13" i="9"/>
  <c r="P13" i="9"/>
  <c r="O13" i="9"/>
  <c r="N13" i="9"/>
  <c r="Q13" i="9" s="1"/>
  <c r="M13" i="9"/>
  <c r="S13" i="9" s="1"/>
  <c r="T13" i="9" s="1"/>
  <c r="I13" i="9"/>
  <c r="R13" i="9" s="1"/>
  <c r="E13" i="9"/>
  <c r="BO12" i="9"/>
  <c r="BJ12" i="9"/>
  <c r="BB12" i="9"/>
  <c r="BA12" i="9"/>
  <c r="BC12" i="9" s="1"/>
  <c r="AZ12" i="9"/>
  <c r="AS12" i="9"/>
  <c r="AJ12" i="9"/>
  <c r="BD12" i="9" s="1"/>
  <c r="AH12" i="9"/>
  <c r="AI12" i="9" s="1"/>
  <c r="AE12" i="9"/>
  <c r="AA12" i="9"/>
  <c r="AK12" i="9" s="1"/>
  <c r="BE12" i="9" s="1"/>
  <c r="X12" i="9"/>
  <c r="AB12" i="9" s="1"/>
  <c r="S12" i="9"/>
  <c r="P12" i="9"/>
  <c r="O12" i="9"/>
  <c r="N12" i="9"/>
  <c r="M12" i="9"/>
  <c r="I12" i="9"/>
  <c r="R12" i="9" s="1"/>
  <c r="T12" i="9" s="1"/>
  <c r="E12" i="9"/>
  <c r="BO11" i="9"/>
  <c r="BJ11" i="9"/>
  <c r="BB11" i="9"/>
  <c r="BA11" i="9"/>
  <c r="AZ11" i="9"/>
  <c r="AS11" i="9"/>
  <c r="AH11" i="9"/>
  <c r="AE11" i="9"/>
  <c r="AA11" i="9"/>
  <c r="X11" i="9"/>
  <c r="AB11" i="9" s="1"/>
  <c r="P11" i="9"/>
  <c r="O11" i="9"/>
  <c r="N11" i="9"/>
  <c r="M11" i="9"/>
  <c r="S11" i="9" s="1"/>
  <c r="I11" i="9"/>
  <c r="R11" i="9" s="1"/>
  <c r="E11" i="9"/>
  <c r="BO10" i="9"/>
  <c r="BJ10" i="9"/>
  <c r="BB10" i="9"/>
  <c r="BA10" i="9"/>
  <c r="BC10" i="9" s="1"/>
  <c r="AZ10" i="9"/>
  <c r="AS10" i="9"/>
  <c r="AH10" i="9"/>
  <c r="AI10" i="9" s="1"/>
  <c r="AE10" i="9"/>
  <c r="AA10" i="9"/>
  <c r="X10" i="9"/>
  <c r="AJ10" i="9" s="1"/>
  <c r="BD10" i="9" s="1"/>
  <c r="R10" i="9"/>
  <c r="P10" i="9"/>
  <c r="O10" i="9"/>
  <c r="N10" i="9"/>
  <c r="M10" i="9"/>
  <c r="S10" i="9" s="1"/>
  <c r="I10" i="9"/>
  <c r="E10" i="9"/>
  <c r="BO9" i="9"/>
  <c r="BJ9" i="9"/>
  <c r="BB9" i="9"/>
  <c r="BA9" i="9"/>
  <c r="BC9" i="9" s="1"/>
  <c r="AZ9" i="9"/>
  <c r="AS9" i="9"/>
  <c r="AH9" i="9"/>
  <c r="AE9" i="9"/>
  <c r="AI9" i="9" s="1"/>
  <c r="AA9" i="9"/>
  <c r="AK9" i="9" s="1"/>
  <c r="BE9" i="9" s="1"/>
  <c r="X9" i="9"/>
  <c r="P9" i="9"/>
  <c r="O9" i="9"/>
  <c r="N9" i="9"/>
  <c r="M9" i="9"/>
  <c r="S9" i="9" s="1"/>
  <c r="I9" i="9"/>
  <c r="R9" i="9" s="1"/>
  <c r="T9" i="9" s="1"/>
  <c r="E9" i="9"/>
  <c r="BO8" i="9"/>
  <c r="BJ8" i="9"/>
  <c r="BC8" i="9"/>
  <c r="BB8" i="9"/>
  <c r="BA8" i="9"/>
  <c r="AZ8" i="9"/>
  <c r="AS8" i="9"/>
  <c r="AH8" i="9"/>
  <c r="AE8" i="9"/>
  <c r="AI8" i="9" s="1"/>
  <c r="AA8" i="9"/>
  <c r="AK8" i="9" s="1"/>
  <c r="BE8" i="9" s="1"/>
  <c r="X8" i="9"/>
  <c r="AB8" i="9" s="1"/>
  <c r="P8" i="9"/>
  <c r="O8" i="9"/>
  <c r="N8" i="9"/>
  <c r="Q8" i="9" s="1"/>
  <c r="M8" i="9"/>
  <c r="S8" i="9" s="1"/>
  <c r="I8" i="9"/>
  <c r="R8" i="9" s="1"/>
  <c r="E8" i="9"/>
  <c r="BO7" i="9"/>
  <c r="BJ7" i="9"/>
  <c r="BB7" i="9"/>
  <c r="BA7" i="9"/>
  <c r="AZ7" i="9"/>
  <c r="AS7" i="9"/>
  <c r="AH7" i="9"/>
  <c r="AK7" i="9" s="1"/>
  <c r="AE7" i="9"/>
  <c r="AA7" i="9"/>
  <c r="X7" i="9"/>
  <c r="AB7" i="9" s="1"/>
  <c r="P7" i="9"/>
  <c r="O7" i="9"/>
  <c r="N7" i="9"/>
  <c r="Q7" i="9" s="1"/>
  <c r="M7" i="9"/>
  <c r="S7" i="9" s="1"/>
  <c r="I7" i="9"/>
  <c r="R7" i="9" s="1"/>
  <c r="E7" i="9"/>
  <c r="BO6" i="9"/>
  <c r="BJ6" i="9"/>
  <c r="BC6" i="9"/>
  <c r="BB6" i="9"/>
  <c r="BA6" i="9"/>
  <c r="AZ6" i="9"/>
  <c r="AS6" i="9"/>
  <c r="AI6" i="9"/>
  <c r="AH6" i="9"/>
  <c r="AE6" i="9"/>
  <c r="AA6" i="9"/>
  <c r="AK6" i="9" s="1"/>
  <c r="BE6" i="9" s="1"/>
  <c r="X6" i="9"/>
  <c r="AJ6" i="9" s="1"/>
  <c r="BD6" i="9" s="1"/>
  <c r="P6" i="9"/>
  <c r="O6" i="9"/>
  <c r="N6" i="9"/>
  <c r="M6" i="9"/>
  <c r="S6" i="9" s="1"/>
  <c r="I6" i="9"/>
  <c r="R6" i="9" s="1"/>
  <c r="E6" i="9"/>
  <c r="AC36" i="7"/>
  <c r="AB36" i="7"/>
  <c r="AA36" i="7"/>
  <c r="Z36" i="7"/>
  <c r="Y36" i="7"/>
  <c r="W36" i="7"/>
  <c r="V36" i="7"/>
  <c r="T36" i="7"/>
  <c r="S36" i="7"/>
  <c r="R36" i="7"/>
  <c r="N36" i="7"/>
  <c r="M36" i="7"/>
  <c r="L36" i="7"/>
  <c r="K36" i="7"/>
  <c r="J36" i="7"/>
  <c r="H36" i="7"/>
  <c r="E36" i="7"/>
  <c r="U35" i="7"/>
  <c r="Q35" i="7"/>
  <c r="P35" i="7"/>
  <c r="G35" i="7"/>
  <c r="D35" i="7"/>
  <c r="U34" i="7"/>
  <c r="Q34" i="7"/>
  <c r="P34" i="7" s="1"/>
  <c r="G34" i="7"/>
  <c r="D34" i="7"/>
  <c r="U33" i="7"/>
  <c r="Q33" i="7"/>
  <c r="P33" i="7" s="1"/>
  <c r="G33" i="7"/>
  <c r="D33" i="7"/>
  <c r="U32" i="7"/>
  <c r="Q32" i="7"/>
  <c r="P32" i="7" s="1"/>
  <c r="G32" i="7"/>
  <c r="D32" i="7"/>
  <c r="X31" i="7"/>
  <c r="U31" i="7"/>
  <c r="Q31" i="7"/>
  <c r="P31" i="7" s="1"/>
  <c r="G31" i="7"/>
  <c r="D31" i="7"/>
  <c r="U30" i="7"/>
  <c r="Q30" i="7"/>
  <c r="P30" i="7" s="1"/>
  <c r="G30" i="7"/>
  <c r="D30" i="7"/>
  <c r="U29" i="7"/>
  <c r="Q29" i="7"/>
  <c r="P29" i="7" s="1"/>
  <c r="G29" i="7"/>
  <c r="D29" i="7"/>
  <c r="U28" i="7"/>
  <c r="Q28" i="7"/>
  <c r="P28" i="7"/>
  <c r="G28" i="7"/>
  <c r="D28" i="7"/>
  <c r="U27" i="7"/>
  <c r="Q27" i="7"/>
  <c r="P27" i="7" s="1"/>
  <c r="G27" i="7"/>
  <c r="D27" i="7"/>
  <c r="U26" i="7"/>
  <c r="Q26" i="7"/>
  <c r="P26" i="7" s="1"/>
  <c r="G26" i="7"/>
  <c r="D26" i="7"/>
  <c r="U25" i="7"/>
  <c r="Q25" i="7"/>
  <c r="P25" i="7"/>
  <c r="G25" i="7"/>
  <c r="D25" i="7"/>
  <c r="U24" i="7"/>
  <c r="Q24" i="7"/>
  <c r="P24" i="7"/>
  <c r="G24" i="7"/>
  <c r="D24" i="7"/>
  <c r="U23" i="7"/>
  <c r="Q23" i="7"/>
  <c r="P23" i="7" s="1"/>
  <c r="G23" i="7"/>
  <c r="D23" i="7"/>
  <c r="U22" i="7"/>
  <c r="Q22" i="7"/>
  <c r="P22" i="7" s="1"/>
  <c r="G22" i="7"/>
  <c r="D22" i="7"/>
  <c r="U21" i="7"/>
  <c r="Q21" i="7"/>
  <c r="P21" i="7" s="1"/>
  <c r="G21" i="7"/>
  <c r="D21" i="7"/>
  <c r="U20" i="7"/>
  <c r="Q20" i="7"/>
  <c r="P20" i="7"/>
  <c r="G20" i="7"/>
  <c r="D20" i="7"/>
  <c r="U19" i="7"/>
  <c r="Q19" i="7"/>
  <c r="P19" i="7" s="1"/>
  <c r="G19" i="7"/>
  <c r="D19" i="7"/>
  <c r="U18" i="7"/>
  <c r="Q18" i="7"/>
  <c r="P18" i="7" s="1"/>
  <c r="F18" i="7"/>
  <c r="G18" i="7" s="1"/>
  <c r="D18" i="7"/>
  <c r="U17" i="7"/>
  <c r="Q17" i="7"/>
  <c r="P17" i="7"/>
  <c r="G17" i="7"/>
  <c r="D17" i="7"/>
  <c r="U16" i="7"/>
  <c r="Q16" i="7"/>
  <c r="P16" i="7" s="1"/>
  <c r="G16" i="7"/>
  <c r="D16" i="7"/>
  <c r="U15" i="7"/>
  <c r="Q15" i="7"/>
  <c r="P15" i="7"/>
  <c r="G15" i="7"/>
  <c r="D15" i="7"/>
  <c r="C15" i="7"/>
  <c r="C36" i="7" s="1"/>
  <c r="U14" i="7"/>
  <c r="Q14" i="7"/>
  <c r="P14" i="7" s="1"/>
  <c r="M14" i="7"/>
  <c r="G14" i="7"/>
  <c r="D14" i="7"/>
  <c r="U13" i="7"/>
  <c r="Q13" i="7"/>
  <c r="P13" i="7"/>
  <c r="G13" i="7"/>
  <c r="D13" i="7"/>
  <c r="U12" i="7"/>
  <c r="Q12" i="7"/>
  <c r="P12" i="7" s="1"/>
  <c r="G12" i="7"/>
  <c r="D12" i="7"/>
  <c r="U11" i="7"/>
  <c r="Q11" i="7"/>
  <c r="P11" i="7"/>
  <c r="G11" i="7"/>
  <c r="D11" i="7"/>
  <c r="U10" i="7"/>
  <c r="Q10" i="7"/>
  <c r="P10" i="7" s="1"/>
  <c r="G10" i="7"/>
  <c r="D10" i="7"/>
  <c r="U9" i="7"/>
  <c r="Q9" i="7"/>
  <c r="P9" i="7"/>
  <c r="G9" i="7"/>
  <c r="D9" i="7"/>
  <c r="U8" i="7"/>
  <c r="Q8" i="7"/>
  <c r="P8" i="7"/>
  <c r="G8" i="7"/>
  <c r="D8" i="7"/>
  <c r="U7" i="7"/>
  <c r="Q7" i="7"/>
  <c r="P7" i="7"/>
  <c r="G7" i="7"/>
  <c r="D7" i="7"/>
  <c r="U6" i="7"/>
  <c r="Q6" i="7"/>
  <c r="P6" i="7" s="1"/>
  <c r="G6" i="7"/>
  <c r="D6" i="7"/>
  <c r="U5" i="7"/>
  <c r="Q5" i="7"/>
  <c r="P5" i="7"/>
  <c r="G5" i="7"/>
  <c r="D5" i="7"/>
  <c r="D36" i="7" s="1"/>
  <c r="AD34" i="6"/>
  <c r="AC34" i="6"/>
  <c r="AB34" i="6"/>
  <c r="AA34" i="6"/>
  <c r="Z34" i="6"/>
  <c r="Y34" i="6"/>
  <c r="X34" i="6"/>
  <c r="V34" i="6"/>
  <c r="U34" i="6"/>
  <c r="T34" i="6"/>
  <c r="P34" i="6"/>
  <c r="N34" i="6"/>
  <c r="L34" i="6"/>
  <c r="J34" i="6"/>
  <c r="H34" i="6"/>
  <c r="F34" i="6"/>
  <c r="C34" i="6"/>
  <c r="W33" i="6"/>
  <c r="S33" i="6"/>
  <c r="R33" i="6"/>
  <c r="I33" i="6"/>
  <c r="E33" i="6"/>
  <c r="W32" i="6"/>
  <c r="S32" i="6"/>
  <c r="R32" i="6" s="1"/>
  <c r="I32" i="6"/>
  <c r="E32" i="6"/>
  <c r="W31" i="6"/>
  <c r="S31" i="6"/>
  <c r="R31" i="6" s="1"/>
  <c r="I31" i="6"/>
  <c r="E31" i="6"/>
  <c r="W30" i="6"/>
  <c r="S30" i="6"/>
  <c r="R30" i="6"/>
  <c r="I30" i="6"/>
  <c r="E30" i="6"/>
  <c r="W29" i="6"/>
  <c r="S29" i="6"/>
  <c r="R29" i="6" s="1"/>
  <c r="I29" i="6"/>
  <c r="E29" i="6"/>
  <c r="W28" i="6"/>
  <c r="S28" i="6"/>
  <c r="R28" i="6" s="1"/>
  <c r="I28" i="6"/>
  <c r="E28" i="6"/>
  <c r="W27" i="6"/>
  <c r="S27" i="6"/>
  <c r="R27" i="6" s="1"/>
  <c r="I27" i="6"/>
  <c r="E27" i="6"/>
  <c r="W26" i="6"/>
  <c r="S26" i="6"/>
  <c r="R26" i="6"/>
  <c r="I26" i="6"/>
  <c r="E26" i="6"/>
  <c r="W25" i="6"/>
  <c r="S25" i="6"/>
  <c r="R25" i="6" s="1"/>
  <c r="I25" i="6"/>
  <c r="E25" i="6"/>
  <c r="W24" i="6"/>
  <c r="S24" i="6"/>
  <c r="R24" i="6" s="1"/>
  <c r="I24" i="6"/>
  <c r="E24" i="6"/>
  <c r="W23" i="6"/>
  <c r="S23" i="6"/>
  <c r="R23" i="6" s="1"/>
  <c r="I23" i="6"/>
  <c r="E23" i="6"/>
  <c r="W22" i="6"/>
  <c r="S22" i="6"/>
  <c r="R22" i="6"/>
  <c r="I22" i="6"/>
  <c r="E22" i="6"/>
  <c r="W21" i="6"/>
  <c r="S21" i="6"/>
  <c r="R21" i="6" s="1"/>
  <c r="G21" i="6"/>
  <c r="G34" i="6" s="1"/>
  <c r="E21" i="6"/>
  <c r="W20" i="6"/>
  <c r="S20" i="6"/>
  <c r="R20" i="6"/>
  <c r="I20" i="6"/>
  <c r="E20" i="6"/>
  <c r="W19" i="6"/>
  <c r="S19" i="6"/>
  <c r="R19" i="6"/>
  <c r="I19" i="6"/>
  <c r="E19" i="6"/>
  <c r="W18" i="6"/>
  <c r="S18" i="6"/>
  <c r="R18" i="6"/>
  <c r="I18" i="6"/>
  <c r="E18" i="6"/>
  <c r="W17" i="6"/>
  <c r="S17" i="6"/>
  <c r="R17" i="6" s="1"/>
  <c r="I17" i="6"/>
  <c r="E17" i="6"/>
  <c r="W16" i="6"/>
  <c r="S16" i="6"/>
  <c r="R16" i="6"/>
  <c r="I16" i="6"/>
  <c r="E16" i="6"/>
  <c r="W15" i="6"/>
  <c r="S15" i="6"/>
  <c r="R15" i="6"/>
  <c r="I15" i="6"/>
  <c r="E15" i="6"/>
  <c r="W14" i="6"/>
  <c r="S14" i="6"/>
  <c r="R14" i="6"/>
  <c r="I14" i="6"/>
  <c r="E14" i="6"/>
  <c r="W13" i="6"/>
  <c r="S13" i="6"/>
  <c r="R13" i="6" s="1"/>
  <c r="I13" i="6"/>
  <c r="E13" i="6"/>
  <c r="W12" i="6"/>
  <c r="S12" i="6"/>
  <c r="R12" i="6"/>
  <c r="I12" i="6"/>
  <c r="E12" i="6"/>
  <c r="W11" i="6"/>
  <c r="S11" i="6"/>
  <c r="R11" i="6"/>
  <c r="I11" i="6"/>
  <c r="E11" i="6"/>
  <c r="W10" i="6"/>
  <c r="S10" i="6"/>
  <c r="R10" i="6"/>
  <c r="I10" i="6"/>
  <c r="E10" i="6"/>
  <c r="W9" i="6"/>
  <c r="S9" i="6"/>
  <c r="R9" i="6" s="1"/>
  <c r="I9" i="6"/>
  <c r="E9" i="6"/>
  <c r="W8" i="6"/>
  <c r="S8" i="6"/>
  <c r="R8" i="6"/>
  <c r="I8" i="6"/>
  <c r="E8" i="6"/>
  <c r="W7" i="6"/>
  <c r="S7" i="6"/>
  <c r="R7" i="6"/>
  <c r="I7" i="6"/>
  <c r="E7" i="6"/>
  <c r="W6" i="6"/>
  <c r="S6" i="6"/>
  <c r="S34" i="6" s="1"/>
  <c r="R6" i="6"/>
  <c r="I6" i="6"/>
  <c r="E6" i="6"/>
  <c r="W5" i="6"/>
  <c r="S5" i="6"/>
  <c r="R5" i="6" s="1"/>
  <c r="I5" i="6"/>
  <c r="E5" i="6"/>
  <c r="AE4" i="6"/>
  <c r="AE5" i="6" s="1"/>
  <c r="AE6" i="6" s="1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W4" i="6"/>
  <c r="W34" i="6" s="1"/>
  <c r="S4" i="6"/>
  <c r="R4" i="6"/>
  <c r="O4" i="6"/>
  <c r="O34" i="6" s="1"/>
  <c r="I4" i="6"/>
  <c r="D4" i="6"/>
  <c r="D34" i="6" s="1"/>
  <c r="AB35" i="5"/>
  <c r="AA35" i="5"/>
  <c r="Z35" i="5"/>
  <c r="Y35" i="5"/>
  <c r="X35" i="5"/>
  <c r="W35" i="5"/>
  <c r="V35" i="5"/>
  <c r="U35" i="5"/>
  <c r="T35" i="5"/>
  <c r="S35" i="5"/>
  <c r="R35" i="5"/>
  <c r="N35" i="5"/>
  <c r="M35" i="5"/>
  <c r="L35" i="5"/>
  <c r="J35" i="5"/>
  <c r="G35" i="5"/>
  <c r="F35" i="5"/>
  <c r="D35" i="5"/>
  <c r="C35" i="5"/>
  <c r="U34" i="5"/>
  <c r="Q34" i="5"/>
  <c r="P34" i="5" s="1"/>
  <c r="H34" i="5"/>
  <c r="E34" i="5"/>
  <c r="U33" i="5"/>
  <c r="Q33" i="5"/>
  <c r="P33" i="5" s="1"/>
  <c r="H33" i="5"/>
  <c r="E33" i="5"/>
  <c r="U32" i="5"/>
  <c r="Q32" i="5"/>
  <c r="P32" i="5"/>
  <c r="H32" i="5"/>
  <c r="E32" i="5"/>
  <c r="U31" i="5"/>
  <c r="Q31" i="5"/>
  <c r="P31" i="5" s="1"/>
  <c r="H31" i="5"/>
  <c r="E31" i="5"/>
  <c r="U30" i="5"/>
  <c r="Q30" i="5"/>
  <c r="P30" i="5" s="1"/>
  <c r="H30" i="5"/>
  <c r="E30" i="5"/>
  <c r="U29" i="5"/>
  <c r="Q29" i="5"/>
  <c r="P29" i="5" s="1"/>
  <c r="H29" i="5"/>
  <c r="E29" i="5"/>
  <c r="U28" i="5"/>
  <c r="Q28" i="5"/>
  <c r="P28" i="5"/>
  <c r="H28" i="5"/>
  <c r="E28" i="5"/>
  <c r="U27" i="5"/>
  <c r="Q27" i="5"/>
  <c r="P27" i="5" s="1"/>
  <c r="H27" i="5"/>
  <c r="E27" i="5"/>
  <c r="U26" i="5"/>
  <c r="Q26" i="5"/>
  <c r="P26" i="5" s="1"/>
  <c r="H26" i="5"/>
  <c r="E26" i="5"/>
  <c r="U25" i="5"/>
  <c r="Q25" i="5"/>
  <c r="P25" i="5" s="1"/>
  <c r="H25" i="5"/>
  <c r="E25" i="5"/>
  <c r="U24" i="5"/>
  <c r="Q24" i="5"/>
  <c r="P24" i="5"/>
  <c r="H24" i="5"/>
  <c r="E24" i="5"/>
  <c r="U23" i="5"/>
  <c r="Q23" i="5"/>
  <c r="P23" i="5" s="1"/>
  <c r="H23" i="5"/>
  <c r="E23" i="5"/>
  <c r="U22" i="5"/>
  <c r="Q22" i="5"/>
  <c r="P22" i="5" s="1"/>
  <c r="H22" i="5"/>
  <c r="E22" i="5"/>
  <c r="U21" i="5"/>
  <c r="Q21" i="5"/>
  <c r="P21" i="5" s="1"/>
  <c r="H21" i="5"/>
  <c r="E21" i="5"/>
  <c r="U20" i="5"/>
  <c r="Q20" i="5"/>
  <c r="P20" i="5"/>
  <c r="H20" i="5"/>
  <c r="E20" i="5"/>
  <c r="U19" i="5"/>
  <c r="Q19" i="5"/>
  <c r="P19" i="5" s="1"/>
  <c r="H19" i="5"/>
  <c r="E19" i="5"/>
  <c r="U18" i="5"/>
  <c r="Q18" i="5"/>
  <c r="P18" i="5" s="1"/>
  <c r="H18" i="5"/>
  <c r="E18" i="5"/>
  <c r="U17" i="5"/>
  <c r="Q17" i="5"/>
  <c r="P17" i="5" s="1"/>
  <c r="H17" i="5"/>
  <c r="E17" i="5"/>
  <c r="U16" i="5"/>
  <c r="Q16" i="5"/>
  <c r="P16" i="5"/>
  <c r="H16" i="5"/>
  <c r="E16" i="5"/>
  <c r="U15" i="5"/>
  <c r="Q15" i="5"/>
  <c r="P15" i="5" s="1"/>
  <c r="H15" i="5"/>
  <c r="E15" i="5"/>
  <c r="U14" i="5"/>
  <c r="Q14" i="5"/>
  <c r="P14" i="5" s="1"/>
  <c r="H14" i="5"/>
  <c r="E14" i="5"/>
  <c r="U13" i="5"/>
  <c r="Q13" i="5"/>
  <c r="P13" i="5" s="1"/>
  <c r="H13" i="5"/>
  <c r="E13" i="5"/>
  <c r="U12" i="5"/>
  <c r="Q12" i="5"/>
  <c r="P12" i="5"/>
  <c r="H12" i="5"/>
  <c r="E12" i="5"/>
  <c r="U11" i="5"/>
  <c r="Q11" i="5"/>
  <c r="P11" i="5" s="1"/>
  <c r="H11" i="5"/>
  <c r="E11" i="5"/>
  <c r="U10" i="5"/>
  <c r="Q10" i="5"/>
  <c r="P10" i="5" s="1"/>
  <c r="H10" i="5"/>
  <c r="E10" i="5"/>
  <c r="U9" i="5"/>
  <c r="Q9" i="5"/>
  <c r="P9" i="5" s="1"/>
  <c r="H9" i="5"/>
  <c r="E9" i="5"/>
  <c r="U8" i="5"/>
  <c r="Q8" i="5"/>
  <c r="P8" i="5"/>
  <c r="H8" i="5"/>
  <c r="E8" i="5"/>
  <c r="U7" i="5"/>
  <c r="Q7" i="5"/>
  <c r="P7" i="5" s="1"/>
  <c r="H7" i="5"/>
  <c r="E7" i="5"/>
  <c r="U6" i="5"/>
  <c r="Q6" i="5"/>
  <c r="P6" i="5" s="1"/>
  <c r="H6" i="5"/>
  <c r="E6" i="5"/>
  <c r="U5" i="5"/>
  <c r="Q5" i="5"/>
  <c r="Q35" i="5" s="1"/>
  <c r="H5" i="5"/>
  <c r="H35" i="5" s="1"/>
  <c r="E5" i="5"/>
  <c r="AC4" i="5"/>
  <c r="AC5" i="5" s="1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U4" i="5"/>
  <c r="Q4" i="5"/>
  <c r="P4" i="5"/>
  <c r="H4" i="5"/>
  <c r="E4" i="5"/>
  <c r="E35" i="5" s="1"/>
  <c r="AF35" i="4"/>
  <c r="AE35" i="4"/>
  <c r="AD35" i="4"/>
  <c r="AC35" i="4"/>
  <c r="AB35" i="4"/>
  <c r="AA35" i="4"/>
  <c r="Z35" i="4"/>
  <c r="X35" i="4"/>
  <c r="W35" i="4"/>
  <c r="V35" i="4"/>
  <c r="R35" i="4"/>
  <c r="Q35" i="4"/>
  <c r="P35" i="4"/>
  <c r="N35" i="4"/>
  <c r="H35" i="4"/>
  <c r="G35" i="4"/>
  <c r="F35" i="4"/>
  <c r="E35" i="4"/>
  <c r="D35" i="4"/>
  <c r="C35" i="4"/>
  <c r="Y34" i="4"/>
  <c r="U34" i="4"/>
  <c r="T34" i="4"/>
  <c r="L34" i="4"/>
  <c r="I34" i="4"/>
  <c r="Y33" i="4"/>
  <c r="U33" i="4"/>
  <c r="T33" i="4" s="1"/>
  <c r="L33" i="4"/>
  <c r="I33" i="4"/>
  <c r="Y32" i="4"/>
  <c r="U32" i="4"/>
  <c r="T32" i="4"/>
  <c r="L32" i="4"/>
  <c r="I32" i="4"/>
  <c r="Y31" i="4"/>
  <c r="U31" i="4"/>
  <c r="T31" i="4"/>
  <c r="L31" i="4"/>
  <c r="I31" i="4"/>
  <c r="Y30" i="4"/>
  <c r="U30" i="4"/>
  <c r="T30" i="4"/>
  <c r="L30" i="4"/>
  <c r="I30" i="4"/>
  <c r="Y29" i="4"/>
  <c r="U29" i="4"/>
  <c r="T29" i="4" s="1"/>
  <c r="L29" i="4"/>
  <c r="I29" i="4"/>
  <c r="Y28" i="4"/>
  <c r="U28" i="4"/>
  <c r="T28" i="4"/>
  <c r="L28" i="4"/>
  <c r="I28" i="4"/>
  <c r="Y27" i="4"/>
  <c r="U27" i="4"/>
  <c r="T27" i="4"/>
  <c r="L27" i="4"/>
  <c r="I27" i="4"/>
  <c r="Y26" i="4"/>
  <c r="U26" i="4"/>
  <c r="T26" i="4"/>
  <c r="L26" i="4"/>
  <c r="I26" i="4"/>
  <c r="Y25" i="4"/>
  <c r="U25" i="4"/>
  <c r="T25" i="4"/>
  <c r="L25" i="4"/>
  <c r="I25" i="4"/>
  <c r="Y24" i="4"/>
  <c r="U24" i="4"/>
  <c r="T24" i="4"/>
  <c r="L24" i="4"/>
  <c r="I24" i="4"/>
  <c r="Y23" i="4"/>
  <c r="U23" i="4"/>
  <c r="T23" i="4"/>
  <c r="L23" i="4"/>
  <c r="I23" i="4"/>
  <c r="Y22" i="4"/>
  <c r="U22" i="4"/>
  <c r="T22" i="4"/>
  <c r="L22" i="4"/>
  <c r="I22" i="4"/>
  <c r="Y21" i="4"/>
  <c r="U21" i="4"/>
  <c r="T21" i="4"/>
  <c r="L21" i="4"/>
  <c r="I21" i="4"/>
  <c r="Y20" i="4"/>
  <c r="U20" i="4"/>
  <c r="T20" i="4"/>
  <c r="L20" i="4"/>
  <c r="I20" i="4"/>
  <c r="Y19" i="4"/>
  <c r="U19" i="4"/>
  <c r="T19" i="4"/>
  <c r="L19" i="4"/>
  <c r="I19" i="4"/>
  <c r="Y18" i="4"/>
  <c r="U18" i="4"/>
  <c r="T18" i="4"/>
  <c r="L18" i="4"/>
  <c r="I18" i="4"/>
  <c r="Y17" i="4"/>
  <c r="U17" i="4"/>
  <c r="T17" i="4"/>
  <c r="L17" i="4"/>
  <c r="I17" i="4"/>
  <c r="Y16" i="4"/>
  <c r="U16" i="4"/>
  <c r="T16" i="4"/>
  <c r="K16" i="4"/>
  <c r="J16" i="4"/>
  <c r="L16" i="4" s="1"/>
  <c r="I16" i="4"/>
  <c r="Y15" i="4"/>
  <c r="U15" i="4"/>
  <c r="T15" i="4"/>
  <c r="K15" i="4"/>
  <c r="J15" i="4"/>
  <c r="L15" i="4" s="1"/>
  <c r="I15" i="4"/>
  <c r="Y14" i="4"/>
  <c r="U14" i="4"/>
  <c r="T14" i="4"/>
  <c r="L14" i="4"/>
  <c r="I14" i="4"/>
  <c r="Y13" i="4"/>
  <c r="U13" i="4"/>
  <c r="T13" i="4"/>
  <c r="L13" i="4"/>
  <c r="I13" i="4"/>
  <c r="Y12" i="4"/>
  <c r="U12" i="4"/>
  <c r="T12" i="4"/>
  <c r="L12" i="4"/>
  <c r="I12" i="4"/>
  <c r="Y11" i="4"/>
  <c r="U11" i="4"/>
  <c r="T11" i="4"/>
  <c r="L11" i="4"/>
  <c r="I11" i="4"/>
  <c r="Y10" i="4"/>
  <c r="U10" i="4"/>
  <c r="T10" i="4"/>
  <c r="L10" i="4"/>
  <c r="I10" i="4"/>
  <c r="Y9" i="4"/>
  <c r="U9" i="4"/>
  <c r="T9" i="4"/>
  <c r="K9" i="4"/>
  <c r="J9" i="4"/>
  <c r="L9" i="4" s="1"/>
  <c r="I9" i="4"/>
  <c r="Y8" i="4"/>
  <c r="U8" i="4"/>
  <c r="T8" i="4"/>
  <c r="K8" i="4"/>
  <c r="K35" i="4" s="1"/>
  <c r="J8" i="4"/>
  <c r="L8" i="4" s="1"/>
  <c r="I8" i="4"/>
  <c r="Y7" i="4"/>
  <c r="U7" i="4"/>
  <c r="T7" i="4"/>
  <c r="L7" i="4"/>
  <c r="I7" i="4"/>
  <c r="Y6" i="4"/>
  <c r="U6" i="4"/>
  <c r="T6" i="4"/>
  <c r="L6" i="4"/>
  <c r="I6" i="4"/>
  <c r="Y5" i="4"/>
  <c r="U5" i="4"/>
  <c r="T5" i="4"/>
  <c r="L5" i="4"/>
  <c r="I5" i="4"/>
  <c r="AG4" i="4"/>
  <c r="AG5" i="4" s="1"/>
  <c r="AG6" i="4" s="1"/>
  <c r="AG7" i="4" s="1"/>
  <c r="AG8" i="4" s="1"/>
  <c r="AG9" i="4" s="1"/>
  <c r="AG10" i="4" s="1"/>
  <c r="AG11" i="4" s="1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G27" i="4" s="1"/>
  <c r="AG28" i="4" s="1"/>
  <c r="AG29" i="4" s="1"/>
  <c r="AG30" i="4" s="1"/>
  <c r="AG31" i="4" s="1"/>
  <c r="AG32" i="4" s="1"/>
  <c r="AG33" i="4" s="1"/>
  <c r="AG34" i="4" s="1"/>
  <c r="Y4" i="4"/>
  <c r="Y35" i="4" s="1"/>
  <c r="U4" i="4"/>
  <c r="U35" i="4" s="1"/>
  <c r="T4" i="4"/>
  <c r="L4" i="4"/>
  <c r="I4" i="4"/>
  <c r="I35" i="4" s="1"/>
  <c r="AE34" i="3"/>
  <c r="AD34" i="3"/>
  <c r="AC34" i="3"/>
  <c r="AB34" i="3"/>
  <c r="AA34" i="3"/>
  <c r="Z34" i="3"/>
  <c r="Y34" i="3"/>
  <c r="W34" i="3"/>
  <c r="V34" i="3"/>
  <c r="U34" i="3"/>
  <c r="K34" i="3"/>
  <c r="J34" i="3"/>
  <c r="H34" i="3"/>
  <c r="G34" i="3"/>
  <c r="F34" i="3"/>
  <c r="E34" i="3"/>
  <c r="D34" i="3"/>
  <c r="C34" i="3"/>
  <c r="X33" i="3"/>
  <c r="T33" i="3"/>
  <c r="L33" i="3"/>
  <c r="I33" i="3"/>
  <c r="X32" i="3"/>
  <c r="T32" i="3"/>
  <c r="L32" i="3"/>
  <c r="I32" i="3"/>
  <c r="X31" i="3"/>
  <c r="T31" i="3"/>
  <c r="L31" i="3"/>
  <c r="I31" i="3"/>
  <c r="X30" i="3"/>
  <c r="T30" i="3"/>
  <c r="L30" i="3"/>
  <c r="I30" i="3"/>
  <c r="X29" i="3"/>
  <c r="T29" i="3"/>
  <c r="L29" i="3"/>
  <c r="I29" i="3"/>
  <c r="X28" i="3"/>
  <c r="T28" i="3"/>
  <c r="L28" i="3"/>
  <c r="I28" i="3"/>
  <c r="X27" i="3"/>
  <c r="T27" i="3"/>
  <c r="L27" i="3"/>
  <c r="I27" i="3"/>
  <c r="X26" i="3"/>
  <c r="T26" i="3"/>
  <c r="L26" i="3"/>
  <c r="I26" i="3"/>
  <c r="X25" i="3"/>
  <c r="T25" i="3"/>
  <c r="L25" i="3"/>
  <c r="I25" i="3"/>
  <c r="X24" i="3"/>
  <c r="T24" i="3"/>
  <c r="L24" i="3"/>
  <c r="I24" i="3"/>
  <c r="X23" i="3"/>
  <c r="T23" i="3"/>
  <c r="L23" i="3"/>
  <c r="I23" i="3"/>
  <c r="X22" i="3"/>
  <c r="T22" i="3"/>
  <c r="L22" i="3"/>
  <c r="I22" i="3"/>
  <c r="X21" i="3"/>
  <c r="T21" i="3"/>
  <c r="L21" i="3"/>
  <c r="I21" i="3"/>
  <c r="X20" i="3"/>
  <c r="T20" i="3"/>
  <c r="L20" i="3"/>
  <c r="I20" i="3"/>
  <c r="X19" i="3"/>
  <c r="T19" i="3"/>
  <c r="L19" i="3"/>
  <c r="I19" i="3"/>
  <c r="X18" i="3"/>
  <c r="T18" i="3"/>
  <c r="L18" i="3"/>
  <c r="I18" i="3"/>
  <c r="X17" i="3"/>
  <c r="T17" i="3"/>
  <c r="L17" i="3"/>
  <c r="I17" i="3"/>
  <c r="X16" i="3"/>
  <c r="T16" i="3"/>
  <c r="L16" i="3"/>
  <c r="I16" i="3"/>
  <c r="X15" i="3"/>
  <c r="T15" i="3"/>
  <c r="L15" i="3"/>
  <c r="I15" i="3"/>
  <c r="X14" i="3"/>
  <c r="T14" i="3"/>
  <c r="L14" i="3"/>
  <c r="I14" i="3"/>
  <c r="X13" i="3"/>
  <c r="T13" i="3"/>
  <c r="L13" i="3"/>
  <c r="I13" i="3"/>
  <c r="X12" i="3"/>
  <c r="T12" i="3"/>
  <c r="L12" i="3"/>
  <c r="I12" i="3"/>
  <c r="X11" i="3"/>
  <c r="T11" i="3"/>
  <c r="L11" i="3"/>
  <c r="I11" i="3"/>
  <c r="X10" i="3"/>
  <c r="T10" i="3"/>
  <c r="T34" i="3" s="1"/>
  <c r="L10" i="3"/>
  <c r="I10" i="3"/>
  <c r="X9" i="3"/>
  <c r="T9" i="3"/>
  <c r="L9" i="3"/>
  <c r="I9" i="3"/>
  <c r="X8" i="3"/>
  <c r="T8" i="3"/>
  <c r="L8" i="3"/>
  <c r="I8" i="3"/>
  <c r="X7" i="3"/>
  <c r="T7" i="3"/>
  <c r="L7" i="3"/>
  <c r="I7" i="3"/>
  <c r="X6" i="3"/>
  <c r="T6" i="3"/>
  <c r="L6" i="3"/>
  <c r="I6" i="3"/>
  <c r="X5" i="3"/>
  <c r="T5" i="3"/>
  <c r="L5" i="3"/>
  <c r="I5" i="3"/>
  <c r="AF4" i="3"/>
  <c r="AF5" i="3" s="1"/>
  <c r="AF6" i="3" s="1"/>
  <c r="AF7" i="3" s="1"/>
  <c r="AF8" i="3" s="1"/>
  <c r="AF9" i="3" s="1"/>
  <c r="AF10" i="3" s="1"/>
  <c r="AF11" i="3" s="1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X4" i="3"/>
  <c r="X34" i="3" s="1"/>
  <c r="T4" i="3"/>
  <c r="L4" i="3"/>
  <c r="L34" i="3" s="1"/>
  <c r="I4" i="3"/>
  <c r="I34" i="3" s="1"/>
  <c r="AL33" i="9" l="1"/>
  <c r="T20" i="9"/>
  <c r="BF34" i="9"/>
  <c r="BD14" i="9"/>
  <c r="AJ20" i="9"/>
  <c r="BD20" i="9" s="1"/>
  <c r="BF20" i="9" s="1"/>
  <c r="Q31" i="9"/>
  <c r="Q32" i="9"/>
  <c r="AB34" i="9"/>
  <c r="AL34" i="9" s="1"/>
  <c r="T11" i="9"/>
  <c r="BE21" i="9"/>
  <c r="Q23" i="9"/>
  <c r="BC24" i="9"/>
  <c r="AI28" i="9"/>
  <c r="Q35" i="9"/>
  <c r="AJ8" i="9"/>
  <c r="BD8" i="9" s="1"/>
  <c r="BF8" i="9" s="1"/>
  <c r="AL12" i="9"/>
  <c r="T26" i="9"/>
  <c r="BC33" i="9"/>
  <c r="T7" i="9"/>
  <c r="T10" i="9"/>
  <c r="AK11" i="9"/>
  <c r="BE11" i="9" s="1"/>
  <c r="T19" i="9"/>
  <c r="AL27" i="9"/>
  <c r="T28" i="9"/>
  <c r="AK30" i="9"/>
  <c r="BE30" i="9" s="1"/>
  <c r="AJ16" i="9"/>
  <c r="BD16" i="9" s="1"/>
  <c r="BF16" i="9" s="1"/>
  <c r="AL20" i="9"/>
  <c r="T22" i="9"/>
  <c r="Q28" i="9"/>
  <c r="AK31" i="9"/>
  <c r="BE31" i="9" s="1"/>
  <c r="AI32" i="9"/>
  <c r="Q9" i="9"/>
  <c r="AK10" i="9"/>
  <c r="BE10" i="9" s="1"/>
  <c r="Q11" i="9"/>
  <c r="Q12" i="9"/>
  <c r="T15" i="9"/>
  <c r="T18" i="9"/>
  <c r="Q21" i="9"/>
  <c r="AJ25" i="9"/>
  <c r="BD25" i="9" s="1"/>
  <c r="AI31" i="9"/>
  <c r="AB23" i="9"/>
  <c r="Q24" i="9"/>
  <c r="AK25" i="9"/>
  <c r="BE25" i="9" s="1"/>
  <c r="Q26" i="9"/>
  <c r="Q27" i="9"/>
  <c r="BC28" i="9"/>
  <c r="Q30" i="9"/>
  <c r="AI35" i="9"/>
  <c r="AI19" i="10"/>
  <c r="BD19" i="10"/>
  <c r="BF19" i="10" s="1"/>
  <c r="AI7" i="10"/>
  <c r="BD7" i="10"/>
  <c r="AI8" i="10"/>
  <c r="BD8" i="10"/>
  <c r="L35" i="4"/>
  <c r="T35" i="4"/>
  <c r="BD6" i="10"/>
  <c r="P35" i="5"/>
  <c r="AI9" i="10"/>
  <c r="BD9" i="10"/>
  <c r="BF9" i="10" s="1"/>
  <c r="AB35" i="9"/>
  <c r="AJ35" i="9"/>
  <c r="BD35" i="9" s="1"/>
  <c r="BF35" i="9" s="1"/>
  <c r="AJ6" i="10"/>
  <c r="AJ7" i="10"/>
  <c r="BE14" i="10"/>
  <c r="BD16" i="10"/>
  <c r="AJ16" i="10"/>
  <c r="BC20" i="10"/>
  <c r="AB21" i="10"/>
  <c r="AD22" i="10"/>
  <c r="AE22" i="10" s="1"/>
  <c r="R22" i="10"/>
  <c r="T22" i="10" s="1"/>
  <c r="R26" i="10"/>
  <c r="T26" i="10" s="1"/>
  <c r="AD26" i="10"/>
  <c r="AE26" i="10" s="1"/>
  <c r="AJ26" i="10"/>
  <c r="BE28" i="10"/>
  <c r="AZ30" i="10"/>
  <c r="BA30" i="10"/>
  <c r="BC30" i="10" s="1"/>
  <c r="AB36" i="10"/>
  <c r="P5" i="5"/>
  <c r="Q6" i="9"/>
  <c r="BO36" i="9"/>
  <c r="BC7" i="9"/>
  <c r="BF10" i="9"/>
  <c r="AJ11" i="9"/>
  <c r="BD11" i="9" s="1"/>
  <c r="AI11" i="9"/>
  <c r="AL11" i="9" s="1"/>
  <c r="Q14" i="9"/>
  <c r="BC15" i="9"/>
  <c r="BF18" i="9"/>
  <c r="AJ19" i="9"/>
  <c r="BD19" i="9" s="1"/>
  <c r="BF19" i="9" s="1"/>
  <c r="AI19" i="9"/>
  <c r="AL19" i="9" s="1"/>
  <c r="BC22" i="9"/>
  <c r="BF25" i="9"/>
  <c r="AJ26" i="9"/>
  <c r="BD26" i="9" s="1"/>
  <c r="BF26" i="9" s="1"/>
  <c r="AI26" i="9"/>
  <c r="AL26" i="9" s="1"/>
  <c r="Q29" i="9"/>
  <c r="T30" i="9"/>
  <c r="BA30" i="9"/>
  <c r="BC30" i="9" s="1"/>
  <c r="AZ30" i="9"/>
  <c r="T31" i="9"/>
  <c r="BE7" i="10"/>
  <c r="AK7" i="10"/>
  <c r="AJ8" i="10"/>
  <c r="AL8" i="10" s="1"/>
  <c r="BE15" i="10"/>
  <c r="BD17" i="10"/>
  <c r="AJ17" i="10"/>
  <c r="BC19" i="10"/>
  <c r="AB20" i="10"/>
  <c r="BB20" i="10"/>
  <c r="AD21" i="10"/>
  <c r="AE21" i="10" s="1"/>
  <c r="AI21" i="10" s="1"/>
  <c r="R21" i="10"/>
  <c r="T21" i="10" s="1"/>
  <c r="AK21" i="10"/>
  <c r="T25" i="10"/>
  <c r="AG28" i="10"/>
  <c r="AH28" i="10" s="1"/>
  <c r="AK28" i="10" s="1"/>
  <c r="S28" i="10"/>
  <c r="AZ31" i="10"/>
  <c r="BA31" i="10"/>
  <c r="BC31" i="10" s="1"/>
  <c r="E4" i="6"/>
  <c r="E34" i="6" s="1"/>
  <c r="G36" i="7"/>
  <c r="AB9" i="9"/>
  <c r="AL9" i="9" s="1"/>
  <c r="AJ9" i="9"/>
  <c r="BD9" i="9" s="1"/>
  <c r="BF9" i="9" s="1"/>
  <c r="AB10" i="9"/>
  <c r="AL10" i="9" s="1"/>
  <c r="AB17" i="9"/>
  <c r="AL17" i="9" s="1"/>
  <c r="AJ17" i="9"/>
  <c r="BD17" i="9" s="1"/>
  <c r="BF17" i="9" s="1"/>
  <c r="AB18" i="9"/>
  <c r="AL18" i="9" s="1"/>
  <c r="AB24" i="9"/>
  <c r="AL24" i="9" s="1"/>
  <c r="AJ24" i="9"/>
  <c r="BD24" i="9" s="1"/>
  <c r="BF24" i="9" s="1"/>
  <c r="AB25" i="9"/>
  <c r="AL25" i="9" s="1"/>
  <c r="AB32" i="9"/>
  <c r="AL32" i="9" s="1"/>
  <c r="AJ32" i="9"/>
  <c r="Q6" i="10"/>
  <c r="BE9" i="10"/>
  <c r="AK9" i="10"/>
  <c r="BD11" i="10"/>
  <c r="AJ11" i="10"/>
  <c r="AL11" i="10" s="1"/>
  <c r="AB16" i="10"/>
  <c r="BE17" i="10"/>
  <c r="AB31" i="10"/>
  <c r="AZ33" i="10"/>
  <c r="BA33" i="10"/>
  <c r="BC33" i="10" s="1"/>
  <c r="I34" i="6"/>
  <c r="I21" i="6"/>
  <c r="P36" i="7"/>
  <c r="T6" i="9"/>
  <c r="T8" i="9"/>
  <c r="T14" i="9"/>
  <c r="T16" i="9"/>
  <c r="T23" i="9"/>
  <c r="T29" i="9"/>
  <c r="BA29" i="9"/>
  <c r="BC29" i="9" s="1"/>
  <c r="AZ29" i="9"/>
  <c r="AB30" i="9"/>
  <c r="AL30" i="9" s="1"/>
  <c r="AS6" i="10"/>
  <c r="BE10" i="10"/>
  <c r="BD12" i="10"/>
  <c r="AJ12" i="10"/>
  <c r="BA12" i="10"/>
  <c r="BC12" i="10" s="1"/>
  <c r="AI16" i="10"/>
  <c r="BE20" i="10"/>
  <c r="AB32" i="10"/>
  <c r="AZ34" i="10"/>
  <c r="BA34" i="10"/>
  <c r="BC34" i="10" s="1"/>
  <c r="O33" i="9"/>
  <c r="Q33" i="9" s="1"/>
  <c r="M33" i="9"/>
  <c r="S33" i="9" s="1"/>
  <c r="T33" i="9" s="1"/>
  <c r="BJ36" i="9"/>
  <c r="AJ9" i="10"/>
  <c r="AL9" i="10" s="1"/>
  <c r="AI14" i="10"/>
  <c r="AJ18" i="10"/>
  <c r="AL18" i="10" s="1"/>
  <c r="AB18" i="10"/>
  <c r="AJ19" i="10"/>
  <c r="AL19" i="10" s="1"/>
  <c r="BE22" i="10"/>
  <c r="J35" i="4"/>
  <c r="Q36" i="7"/>
  <c r="BF6" i="9"/>
  <c r="AJ7" i="9"/>
  <c r="BD7" i="9" s="1"/>
  <c r="AI7" i="9"/>
  <c r="AL7" i="9" s="1"/>
  <c r="Q10" i="9"/>
  <c r="BC11" i="9"/>
  <c r="BF12" i="9"/>
  <c r="BF14" i="9"/>
  <c r="AJ15" i="9"/>
  <c r="BD15" i="9" s="1"/>
  <c r="AI15" i="9"/>
  <c r="AL15" i="9" s="1"/>
  <c r="Q18" i="9"/>
  <c r="BC19" i="9"/>
  <c r="AJ22" i="9"/>
  <c r="BD22" i="9" s="1"/>
  <c r="AI22" i="9"/>
  <c r="AL22" i="9" s="1"/>
  <c r="Q25" i="9"/>
  <c r="BC26" i="9"/>
  <c r="BF27" i="9"/>
  <c r="BD29" i="9"/>
  <c r="BF29" i="9" s="1"/>
  <c r="BC31" i="9"/>
  <c r="BD33" i="9"/>
  <c r="BF33" i="9" s="1"/>
  <c r="T7" i="10"/>
  <c r="AS7" i="10"/>
  <c r="BE11" i="10"/>
  <c r="BD13" i="10"/>
  <c r="AJ13" i="10"/>
  <c r="BA13" i="10"/>
  <c r="BC13" i="10" s="1"/>
  <c r="T14" i="10"/>
  <c r="AI17" i="10"/>
  <c r="Q24" i="10"/>
  <c r="AI24" i="10"/>
  <c r="BD24" i="10"/>
  <c r="BF24" i="10" s="1"/>
  <c r="AJ24" i="10"/>
  <c r="AL24" i="10" s="1"/>
  <c r="AJ29" i="10"/>
  <c r="AB29" i="10"/>
  <c r="BD29" i="10"/>
  <c r="BF29" i="10" s="1"/>
  <c r="AB33" i="10"/>
  <c r="AZ35" i="10"/>
  <c r="BA35" i="10"/>
  <c r="BC35" i="10" s="1"/>
  <c r="BA36" i="10"/>
  <c r="BC36" i="10" s="1"/>
  <c r="AZ36" i="10"/>
  <c r="BE8" i="10"/>
  <c r="AK8" i="10"/>
  <c r="BB9" i="10"/>
  <c r="BD10" i="10"/>
  <c r="BF10" i="10" s="1"/>
  <c r="AJ10" i="10"/>
  <c r="BE16" i="10"/>
  <c r="BD21" i="10"/>
  <c r="BF21" i="10" s="1"/>
  <c r="R34" i="6"/>
  <c r="U36" i="7"/>
  <c r="BE7" i="9"/>
  <c r="AL8" i="9"/>
  <c r="BE15" i="9"/>
  <c r="AL16" i="9"/>
  <c r="BE22" i="9"/>
  <c r="AL23" i="9"/>
  <c r="BE33" i="9"/>
  <c r="BU37" i="10"/>
  <c r="AB11" i="10"/>
  <c r="BE12" i="10"/>
  <c r="BD14" i="10"/>
  <c r="BF14" i="10" s="1"/>
  <c r="AJ14" i="10"/>
  <c r="BE29" i="10"/>
  <c r="AK29" i="10"/>
  <c r="AB34" i="10"/>
  <c r="BD34" i="10"/>
  <c r="BF34" i="10" s="1"/>
  <c r="BD30" i="9"/>
  <c r="BF30" i="9" s="1"/>
  <c r="BA10" i="10"/>
  <c r="BC10" i="10" s="1"/>
  <c r="AD20" i="10"/>
  <c r="AE20" i="10" s="1"/>
  <c r="R20" i="10"/>
  <c r="T20" i="10" s="1"/>
  <c r="AZ32" i="10"/>
  <c r="BA32" i="10"/>
  <c r="BC32" i="10" s="1"/>
  <c r="AB6" i="9"/>
  <c r="AL6" i="9" s="1"/>
  <c r="AB13" i="9"/>
  <c r="AL13" i="9" s="1"/>
  <c r="AJ13" i="9"/>
  <c r="BD13" i="9" s="1"/>
  <c r="BF13" i="9" s="1"/>
  <c r="AB14" i="9"/>
  <c r="AL14" i="9" s="1"/>
  <c r="AJ21" i="9"/>
  <c r="BD21" i="9" s="1"/>
  <c r="BF21" i="9" s="1"/>
  <c r="AB21" i="9"/>
  <c r="AL21" i="9" s="1"/>
  <c r="AB28" i="9"/>
  <c r="AL28" i="9" s="1"/>
  <c r="AJ28" i="9"/>
  <c r="BD28" i="9" s="1"/>
  <c r="BF28" i="9" s="1"/>
  <c r="AB29" i="9"/>
  <c r="AL29" i="9" s="1"/>
  <c r="AB31" i="9"/>
  <c r="AJ31" i="9"/>
  <c r="BD31" i="9" s="1"/>
  <c r="BF31" i="9" s="1"/>
  <c r="M32" i="9"/>
  <c r="S32" i="9" s="1"/>
  <c r="T32" i="9" s="1"/>
  <c r="BE32" i="9"/>
  <c r="BB6" i="10"/>
  <c r="T9" i="10"/>
  <c r="AS9" i="10"/>
  <c r="AI11" i="10"/>
  <c r="AB12" i="10"/>
  <c r="BE13" i="10"/>
  <c r="BD15" i="10"/>
  <c r="BF15" i="10" s="1"/>
  <c r="AJ15" i="10"/>
  <c r="BA15" i="10"/>
  <c r="BC15" i="10" s="1"/>
  <c r="T19" i="10"/>
  <c r="BC21" i="10"/>
  <c r="AJ22" i="10"/>
  <c r="AL22" i="10" s="1"/>
  <c r="AB22" i="10"/>
  <c r="BB22" i="10"/>
  <c r="BC22" i="10" s="1"/>
  <c r="AD23" i="10"/>
  <c r="AE23" i="10" s="1"/>
  <c r="R23" i="10"/>
  <c r="T23" i="10" s="1"/>
  <c r="BE23" i="10"/>
  <c r="AB23" i="10"/>
  <c r="AK23" i="10"/>
  <c r="BD28" i="10"/>
  <c r="BF28" i="10" s="1"/>
  <c r="AB35" i="10"/>
  <c r="BA32" i="9"/>
  <c r="BC32" i="9" s="1"/>
  <c r="AZ33" i="9"/>
  <c r="BA6" i="10"/>
  <c r="BC6" i="10" s="1"/>
  <c r="BA7" i="10"/>
  <c r="BC7" i="10" s="1"/>
  <c r="BA8" i="10"/>
  <c r="BC8" i="10" s="1"/>
  <c r="BA9" i="10"/>
  <c r="BC9" i="10" s="1"/>
  <c r="AZ10" i="10"/>
  <c r="AZ11" i="10"/>
  <c r="AZ12" i="10"/>
  <c r="AZ13" i="10"/>
  <c r="AZ14" i="10"/>
  <c r="AZ15" i="10"/>
  <c r="AZ16" i="10"/>
  <c r="AZ17" i="10"/>
  <c r="BA18" i="10"/>
  <c r="BC18" i="10" s="1"/>
  <c r="AB19" i="10"/>
  <c r="AI25" i="10"/>
  <c r="AG27" i="10"/>
  <c r="AH27" i="10" s="1"/>
  <c r="AI27" i="10" s="1"/>
  <c r="S27" i="10"/>
  <c r="T28" i="10"/>
  <c r="AZ28" i="10"/>
  <c r="AS29" i="10"/>
  <c r="AB6" i="10"/>
  <c r="AB7" i="10"/>
  <c r="AB8" i="10"/>
  <c r="AB9" i="10"/>
  <c r="AK10" i="10"/>
  <c r="AK11" i="10"/>
  <c r="AK12" i="10"/>
  <c r="AK13" i="10"/>
  <c r="AK14" i="10"/>
  <c r="AK15" i="10"/>
  <c r="AK16" i="10"/>
  <c r="AK17" i="10"/>
  <c r="AJ28" i="10"/>
  <c r="AB28" i="10"/>
  <c r="T30" i="10"/>
  <c r="BS30" i="10"/>
  <c r="BS37" i="10" s="1"/>
  <c r="BS31" i="10"/>
  <c r="BS32" i="10"/>
  <c r="BS33" i="10"/>
  <c r="BS34" i="10"/>
  <c r="BS35" i="10"/>
  <c r="F36" i="7"/>
  <c r="X36" i="7"/>
  <c r="S10" i="10"/>
  <c r="T10" i="10" s="1"/>
  <c r="S11" i="10"/>
  <c r="T11" i="10" s="1"/>
  <c r="S12" i="10"/>
  <c r="T12" i="10" s="1"/>
  <c r="S13" i="10"/>
  <c r="T13" i="10" s="1"/>
  <c r="S14" i="10"/>
  <c r="S15" i="10"/>
  <c r="T15" i="10" s="1"/>
  <c r="S16" i="10"/>
  <c r="T16" i="10" s="1"/>
  <c r="S17" i="10"/>
  <c r="T17" i="10" s="1"/>
  <c r="S18" i="10"/>
  <c r="T18" i="10" s="1"/>
  <c r="BE25" i="10"/>
  <c r="BA26" i="10"/>
  <c r="BC26" i="10" s="1"/>
  <c r="AZ26" i="10"/>
  <c r="AD31" i="10"/>
  <c r="AE31" i="10" s="1"/>
  <c r="R31" i="10"/>
  <c r="T31" i="10" s="1"/>
  <c r="AD32" i="10"/>
  <c r="AE32" i="10" s="1"/>
  <c r="AJ32" i="10" s="1"/>
  <c r="R32" i="10"/>
  <c r="T32" i="10" s="1"/>
  <c r="AD33" i="10"/>
  <c r="AE33" i="10" s="1"/>
  <c r="R33" i="10"/>
  <c r="T33" i="10" s="1"/>
  <c r="AD34" i="10"/>
  <c r="AE34" i="10" s="1"/>
  <c r="AI34" i="10" s="1"/>
  <c r="R34" i="10"/>
  <c r="T34" i="10" s="1"/>
  <c r="AD35" i="10"/>
  <c r="AE35" i="10" s="1"/>
  <c r="R35" i="10"/>
  <c r="T35" i="10" s="1"/>
  <c r="AD36" i="10"/>
  <c r="AE36" i="10" s="1"/>
  <c r="AJ36" i="10" s="1"/>
  <c r="R36" i="10"/>
  <c r="M6" i="10"/>
  <c r="BD25" i="10"/>
  <c r="BF25" i="10" s="1"/>
  <c r="BE26" i="10"/>
  <c r="T27" i="10"/>
  <c r="AG31" i="10"/>
  <c r="AH31" i="10" s="1"/>
  <c r="BE31" i="10" s="1"/>
  <c r="AG32" i="10"/>
  <c r="AH32" i="10" s="1"/>
  <c r="BE32" i="10" s="1"/>
  <c r="AG33" i="10"/>
  <c r="AH33" i="10" s="1"/>
  <c r="BE33" i="10" s="1"/>
  <c r="AG34" i="10"/>
  <c r="AH34" i="10" s="1"/>
  <c r="BE34" i="10" s="1"/>
  <c r="AG35" i="10"/>
  <c r="AH35" i="10" s="1"/>
  <c r="BE35" i="10" s="1"/>
  <c r="AG36" i="10"/>
  <c r="AH36" i="10" s="1"/>
  <c r="AK36" i="10" s="1"/>
  <c r="S36" i="10"/>
  <c r="BD27" i="10"/>
  <c r="AJ27" i="10"/>
  <c r="BN37" i="10"/>
  <c r="BC23" i="10"/>
  <c r="AS24" i="10"/>
  <c r="BA27" i="10"/>
  <c r="BC27" i="10" s="1"/>
  <c r="AZ27" i="10"/>
  <c r="T29" i="10"/>
  <c r="BA28" i="10"/>
  <c r="BC28" i="10" s="1"/>
  <c r="BA29" i="10"/>
  <c r="BC29" i="10" s="1"/>
  <c r="AB30" i="10"/>
  <c r="AJ25" i="10"/>
  <c r="AL25" i="10" s="1"/>
  <c r="AK26" i="10"/>
  <c r="AK27" i="10"/>
  <c r="BD30" i="10"/>
  <c r="BF30" i="10" s="1"/>
  <c r="R24" i="10"/>
  <c r="T24" i="10" s="1"/>
  <c r="AL35" i="9" l="1"/>
  <c r="AL31" i="9"/>
  <c r="BF11" i="9"/>
  <c r="BD32" i="9"/>
  <c r="BF32" i="9" s="1"/>
  <c r="AL36" i="10"/>
  <c r="AI20" i="10"/>
  <c r="BD20" i="10"/>
  <c r="BF20" i="10" s="1"/>
  <c r="AI35" i="10"/>
  <c r="AI31" i="10"/>
  <c r="BE27" i="10"/>
  <c r="BF27" i="10" s="1"/>
  <c r="AK33" i="10"/>
  <c r="AJ34" i="10"/>
  <c r="AK31" i="10"/>
  <c r="BF22" i="9"/>
  <c r="AI28" i="10"/>
  <c r="AJ21" i="10"/>
  <c r="AL21" i="10" s="1"/>
  <c r="AG6" i="10"/>
  <c r="AH6" i="10" s="1"/>
  <c r="S6" i="10"/>
  <c r="T6" i="10" s="1"/>
  <c r="AK32" i="10"/>
  <c r="AL32" i="10" s="1"/>
  <c r="BF7" i="9"/>
  <c r="AL12" i="10"/>
  <c r="BD31" i="10"/>
  <c r="BF31" i="10" s="1"/>
  <c r="BF11" i="10"/>
  <c r="AJ20" i="10"/>
  <c r="AL20" i="10" s="1"/>
  <c r="AL26" i="10"/>
  <c r="BF8" i="10"/>
  <c r="BE36" i="10"/>
  <c r="AL10" i="10"/>
  <c r="AL29" i="10"/>
  <c r="AL13" i="10"/>
  <c r="BD32" i="10"/>
  <c r="BF32" i="10" s="1"/>
  <c r="BF12" i="10"/>
  <c r="AJ31" i="10"/>
  <c r="AL31" i="10" s="1"/>
  <c r="BD36" i="10"/>
  <c r="BF36" i="10" s="1"/>
  <c r="AI26" i="10"/>
  <c r="BD26" i="10"/>
  <c r="BF26" i="10" s="1"/>
  <c r="AL16" i="10"/>
  <c r="BF7" i="10"/>
  <c r="AI33" i="10"/>
  <c r="AL28" i="10"/>
  <c r="BF13" i="10"/>
  <c r="BF15" i="9"/>
  <c r="BF16" i="10"/>
  <c r="T36" i="10"/>
  <c r="BD35" i="10"/>
  <c r="BF35" i="10" s="1"/>
  <c r="BD33" i="10"/>
  <c r="BF33" i="10" s="1"/>
  <c r="AK35" i="10"/>
  <c r="AL17" i="10"/>
  <c r="AK34" i="10"/>
  <c r="AL27" i="10"/>
  <c r="AI36" i="10"/>
  <c r="AI32" i="10"/>
  <c r="AJ35" i="10"/>
  <c r="AI23" i="10"/>
  <c r="AJ23" i="10"/>
  <c r="AL23" i="10" s="1"/>
  <c r="BD23" i="10"/>
  <c r="BF23" i="10" s="1"/>
  <c r="AL15" i="10"/>
  <c r="AL14" i="10"/>
  <c r="AJ33" i="10"/>
  <c r="AL33" i="10" s="1"/>
  <c r="BF17" i="10"/>
  <c r="AI22" i="10"/>
  <c r="BD22" i="10"/>
  <c r="BF22" i="10" s="1"/>
  <c r="AL7" i="10"/>
  <c r="BE6" i="10" l="1"/>
  <c r="BF6" i="10" s="1"/>
  <c r="AK6" i="10"/>
  <c r="AL6" i="10" s="1"/>
  <c r="AI6" i="10"/>
  <c r="AL34" i="10"/>
  <c r="AL3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400-000007000000}">
      <text>
        <r>
          <rPr>
            <sz val="10"/>
            <color rgb="FF000000"/>
            <rFont val="Arial"/>
            <scheme val="minor"/>
          </rPr>
          <t xml:space="preserve">레이아웃변경으로 출근
EOT출고
시스템에러이슈있었음
</t>
        </r>
      </text>
    </comment>
    <comment ref="C6" authorId="0" shapeId="0" xr:uid="{00000000-0006-0000-0400-000006000000}">
      <text>
        <r>
          <rPr>
            <sz val="10"/>
            <color rgb="FF000000"/>
            <rFont val="Arial"/>
            <scheme val="minor"/>
          </rPr>
          <t>레이아웃변경 및 랜선 전기작업
EOT출고</t>
        </r>
      </text>
    </comment>
    <comment ref="C7" authorId="0" shapeId="0" xr:uid="{00000000-0006-0000-0400-000005000000}">
      <text>
        <r>
          <rPr>
            <sz val="10"/>
            <color rgb="FF000000"/>
            <rFont val="Arial"/>
            <scheme val="minor"/>
          </rPr>
          <t>멀티패턴시스템오류로출고작업이슈</t>
        </r>
      </text>
    </comment>
    <comment ref="D9" authorId="0" shapeId="0" xr:uid="{00000000-0006-0000-0400-000004000000}">
      <text>
        <r>
          <rPr>
            <sz val="10"/>
            <color rgb="FF000000"/>
            <rFont val="Arial"/>
            <scheme val="minor"/>
          </rPr>
          <t xml:space="preserve">단기충원불가하여
13시 30분 부터 지원 </t>
        </r>
      </text>
    </comment>
    <comment ref="D10" authorId="0" shapeId="0" xr:uid="{00000000-0006-0000-0400-000003000000}">
      <text>
        <r>
          <rPr>
            <sz val="10"/>
            <color rgb="FF000000"/>
            <rFont val="Arial"/>
            <scheme val="minor"/>
          </rPr>
          <t>10시 30분 5명 지원 
13시 30분 5명 지원</t>
        </r>
      </text>
    </comment>
    <comment ref="D11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10시 30분 마곡지원
클레이코리아 랴벨임가공현황
12시반까지-2명작업(마곡지원인원)
1시반부터 3시까지- 3명작업(마곡지원인원)
</t>
        </r>
      </text>
    </comment>
    <comment ref="D15" authorId="0" shapeId="0" xr:uid="{00000000-0006-0000-0400-000001000000}">
      <text>
        <r>
          <rPr>
            <sz val="10"/>
            <color rgb="FF000000"/>
            <rFont val="Arial"/>
            <scheme val="minor"/>
          </rPr>
          <t xml:space="preserve">1명 10시 
6명 14시 지원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500-000004000000}">
      <text>
        <r>
          <rPr>
            <sz val="10"/>
            <color rgb="FF000000"/>
            <rFont val="Arial"/>
            <scheme val="minor"/>
          </rPr>
          <t>철야 근무 퇴근
오현님</t>
        </r>
      </text>
    </comment>
    <comment ref="C9" authorId="0" shapeId="0" xr:uid="{00000000-0006-0000-0500-000003000000}">
      <text>
        <r>
          <rPr>
            <sz val="10"/>
            <color rgb="FF000000"/>
            <rFont val="Arial"/>
            <scheme val="minor"/>
          </rPr>
          <t>철야 근무 퇴근
정상문님
김태윤님</t>
        </r>
      </text>
    </comment>
    <comment ref="K15" authorId="0" shapeId="0" xr:uid="{00000000-0006-0000-0500-000005000000}">
      <text>
        <r>
          <rPr>
            <sz val="10"/>
            <color rgb="FF000000"/>
            <rFont val="Arial"/>
            <scheme val="minor"/>
          </rPr>
          <t>라벨 : 브이티피엘 (대만 38차 수출건)</t>
        </r>
      </text>
    </comment>
    <comment ref="K18" authorId="0" shapeId="0" xr:uid="{00000000-0006-0000-0500-000002000000}">
      <text>
        <r>
          <rPr>
            <sz val="10"/>
            <color rgb="FF000000"/>
            <rFont val="Arial"/>
            <scheme val="minor"/>
          </rPr>
          <t>라벨 : 브이티피엘 (대만 38차 수출건)</t>
        </r>
      </text>
    </comment>
    <comment ref="K19" authorId="0" shapeId="0" xr:uid="{00000000-0006-0000-0500-000001000000}">
      <text>
        <r>
          <rPr>
            <sz val="10"/>
            <color rgb="FF000000"/>
            <rFont val="Arial"/>
            <scheme val="minor"/>
          </rPr>
          <t>라벨 : 브이티피엘 (대만 38차 수출건)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600-000001000000}">
      <text>
        <r>
          <rPr>
            <sz val="10"/>
            <color rgb="FF000000"/>
            <rFont val="Arial"/>
            <scheme val="minor"/>
          </rPr>
          <t>센터장 제외</t>
        </r>
      </text>
    </comment>
  </commentList>
</comments>
</file>

<file path=xl/sharedStrings.xml><?xml version="1.0" encoding="utf-8"?>
<sst xmlns="http://schemas.openxmlformats.org/spreadsheetml/2006/main" count="927" uniqueCount="236">
  <si>
    <t>일자</t>
  </si>
  <si>
    <t>요일</t>
  </si>
  <si>
    <t>운영 근무자</t>
  </si>
  <si>
    <t>운영 근무자 잔업</t>
  </si>
  <si>
    <t>영종ALL</t>
  </si>
  <si>
    <t>OPS 출하건수</t>
  </si>
  <si>
    <t>WMS 작업건수</t>
  </si>
  <si>
    <t>정직원</t>
  </si>
  <si>
    <t>B2B</t>
  </si>
  <si>
    <t>WMG</t>
  </si>
  <si>
    <t>협력사원</t>
  </si>
  <si>
    <t>비고</t>
  </si>
  <si>
    <t>단기충원사유</t>
  </si>
  <si>
    <t>센터장 및 지원</t>
  </si>
  <si>
    <t>입고</t>
  </si>
  <si>
    <t>QFC</t>
  </si>
  <si>
    <t>OPS</t>
  </si>
  <si>
    <t>예외</t>
  </si>
  <si>
    <t>드라이버</t>
  </si>
  <si>
    <t>합계</t>
  </si>
  <si>
    <t>장기협력사원</t>
  </si>
  <si>
    <t>단기협력사원</t>
  </si>
  <si>
    <t>OPS, QFC</t>
  </si>
  <si>
    <t xml:space="preserve">에러,입고,픽업 </t>
  </si>
  <si>
    <t>잔업시간(분)</t>
  </si>
  <si>
    <t>잔업사유</t>
  </si>
  <si>
    <t>KR-All</t>
  </si>
  <si>
    <t>KRKR</t>
  </si>
  <si>
    <t>KR-Oversea</t>
  </si>
  <si>
    <t>KRJP</t>
  </si>
  <si>
    <t>ALL</t>
  </si>
  <si>
    <t>출고 건수</t>
  </si>
  <si>
    <t>목</t>
  </si>
  <si>
    <t>입고건수</t>
  </si>
  <si>
    <t>출고건수</t>
  </si>
  <si>
    <t>반송</t>
  </si>
  <si>
    <t>미출고</t>
  </si>
  <si>
    <t>일</t>
  </si>
  <si>
    <t>화</t>
  </si>
  <si>
    <t>토</t>
  </si>
  <si>
    <t>재고 2 / 출고 1</t>
  </si>
  <si>
    <t>OPS출고</t>
  </si>
  <si>
    <t>금</t>
  </si>
  <si>
    <t>풀필먼트출고</t>
  </si>
  <si>
    <t>월</t>
  </si>
  <si>
    <t>수</t>
  </si>
  <si>
    <t>메가와리 출고</t>
  </si>
  <si>
    <t>메가와리출고</t>
  </si>
  <si>
    <t>정산</t>
  </si>
  <si>
    <t>출고 2</t>
  </si>
  <si>
    <t>라벨 1 / 출고 4</t>
  </si>
  <si>
    <t>풀필먼트출고
자동화 기기 고장</t>
  </si>
  <si>
    <t>라벨 2 / 출고 3</t>
  </si>
  <si>
    <t>라벨 3 / 출고 3</t>
  </si>
  <si>
    <t>라벨 12 / 출고 3</t>
  </si>
  <si>
    <t>라벨 12 / 출고 5</t>
  </si>
  <si>
    <t>재고조사/임가공/출고</t>
  </si>
  <si>
    <t>라벨 15 / 출고 5</t>
  </si>
  <si>
    <t>라벨 10 / 출고 4</t>
  </si>
  <si>
    <t>라벨 3 / 출고 2</t>
  </si>
  <si>
    <t>재고조사/출고</t>
  </si>
  <si>
    <t>출고 5</t>
  </si>
  <si>
    <t>전산 업무</t>
  </si>
  <si>
    <t>출고4</t>
  </si>
  <si>
    <t>ops 테스트</t>
  </si>
  <si>
    <t>라벨 9 / 출고 3</t>
  </si>
  <si>
    <t>출고 4</t>
  </si>
  <si>
    <t>출고 3</t>
  </si>
  <si>
    <t>VTPL_B2B작업</t>
  </si>
  <si>
    <t>▣ 참고사항 (단기 충원 사유)</t>
  </si>
  <si>
    <t>①  OPS 단기 1명 고정 투입 중(입고 홍순호과장 퇴사 후 OPS 김필재대리 입고파트로 전환 배치 후 정직원이 아닌 단기 인력 투입)</t>
  </si>
  <si>
    <t>②  월, 화 VTPL 출고 화물 (15시 기준) 당일 출고 (1~2명)</t>
  </si>
  <si>
    <t>③  VTPL 국내 행사 사전 공유 시 1~2명 투입</t>
  </si>
  <si>
    <t>④  B2B 출고 요청 작업 발생 시</t>
  </si>
  <si>
    <t>⑤ 정직원 휴가 시 등등</t>
  </si>
  <si>
    <t>마곡지원</t>
  </si>
  <si>
    <t>출고 1</t>
  </si>
  <si>
    <t>풀필먼트 출고</t>
  </si>
  <si>
    <t>풀필먼트출고/twms멀티패턴시스템오류</t>
  </si>
  <si>
    <t>풀필먼트 출고 / ops 출고</t>
  </si>
  <si>
    <t>출고 7</t>
  </si>
  <si>
    <t>출고 5 / 라벨 1</t>
  </si>
  <si>
    <t>출고 2 / 라벨 1</t>
  </si>
  <si>
    <t>WMG 작업</t>
  </si>
  <si>
    <t>출고 4 / 라벨 2</t>
  </si>
  <si>
    <t>출고 11</t>
  </si>
  <si>
    <t>출고 6 / 라벨 6</t>
  </si>
  <si>
    <t>출고 4 / 라벨 6</t>
  </si>
  <si>
    <t>출고 10 / 라벨 4</t>
  </si>
  <si>
    <t>야간</t>
  </si>
  <si>
    <t>직원단기</t>
  </si>
  <si>
    <t>120~300</t>
  </si>
  <si>
    <t>120~240</t>
  </si>
  <si>
    <t>120~270</t>
  </si>
  <si>
    <t>120~180</t>
  </si>
  <si>
    <t>120~450</t>
  </si>
  <si>
    <t>메가와리 출고 / 라벨 2</t>
  </si>
  <si>
    <t>90~210</t>
  </si>
  <si>
    <t>출고 8 / 라벨 2</t>
  </si>
  <si>
    <t>풀필먼트 잔업</t>
  </si>
  <si>
    <t>출고10/라벨 2</t>
  </si>
  <si>
    <t>출고8</t>
  </si>
  <si>
    <t>레이아웃 변경</t>
  </si>
  <si>
    <t>출고 7 / 라벨 2</t>
  </si>
  <si>
    <t>출고 6 / 라벨 2</t>
  </si>
  <si>
    <t>출고7/ 라벨2</t>
  </si>
  <si>
    <t>출고6/ 라벨1</t>
  </si>
  <si>
    <t>120~210</t>
  </si>
  <si>
    <t>풀필먼트 잔업 (쉽너지)</t>
  </si>
  <si>
    <t>출고 4 / 라벨2</t>
  </si>
  <si>
    <t>90~300</t>
  </si>
  <si>
    <t>출고 5 / 라벨2</t>
  </si>
  <si>
    <t>풀필먼트 / 퇴점 작업 / 정산</t>
  </si>
  <si>
    <t>WMS 작업건수 (Fulfillment)</t>
  </si>
  <si>
    <t>WMS</t>
  </si>
  <si>
    <t>이벗매니저</t>
  </si>
  <si>
    <t>메가포, 출고 5 / 라벨 2</t>
  </si>
  <si>
    <t>210~270</t>
  </si>
  <si>
    <t>풀필먼트 (입고 / 정산 / B2B)</t>
  </si>
  <si>
    <t xml:space="preserve">풀필먼트 / ops 출고 </t>
  </si>
  <si>
    <t>메가포</t>
  </si>
  <si>
    <t>출고 28 / (연휴 물량 처리)</t>
  </si>
  <si>
    <t>90~120</t>
  </si>
  <si>
    <t>출고 28</t>
  </si>
  <si>
    <t>풀필먼트</t>
  </si>
  <si>
    <t>출고 2 / 라벨 2</t>
  </si>
  <si>
    <t>디엑스엔브이엑스, 시온코스메틱 퇴점 작업 
상상인터내셔날 행사로 물량 증가 (776건)</t>
  </si>
  <si>
    <t>120~150</t>
  </si>
  <si>
    <t>출고 9</t>
  </si>
  <si>
    <t>90~</t>
  </si>
  <si>
    <t>출고 8</t>
  </si>
  <si>
    <t>120~</t>
  </si>
  <si>
    <t>B2B / 입고</t>
  </si>
  <si>
    <t>재고조사</t>
  </si>
  <si>
    <t>90~180</t>
  </si>
  <si>
    <t>구분</t>
  </si>
  <si>
    <t>인원 (H/C)</t>
  </si>
  <si>
    <t>정규 근무 시간 (M/H)</t>
  </si>
  <si>
    <t>연장 근무 시간 (M/H)</t>
  </si>
  <si>
    <t>총 근무 시간</t>
  </si>
  <si>
    <t>출고 물량 실적 (件)</t>
  </si>
  <si>
    <t>정규직</t>
  </si>
  <si>
    <t>출고 10</t>
  </si>
  <si>
    <t>파트너사</t>
  </si>
  <si>
    <t>TOTAL</t>
  </si>
  <si>
    <t>단기
 충원
 사유</t>
  </si>
  <si>
    <t>Fulfillment (WMS)</t>
  </si>
  <si>
    <t>Fulfillment</t>
  </si>
  <si>
    <t>SUM</t>
  </si>
  <si>
    <t>Fulfill</t>
  </si>
  <si>
    <t>장기
 (주)</t>
  </si>
  <si>
    <t>단기
 (주)</t>
  </si>
  <si>
    <t>단기
 (야)</t>
  </si>
  <si>
    <t>소계</t>
  </si>
  <si>
    <t>4H</t>
  </si>
  <si>
    <t>8H</t>
  </si>
  <si>
    <t>인원</t>
  </si>
  <si>
    <t>사유</t>
  </si>
  <si>
    <t>국내</t>
  </si>
  <si>
    <t>해외</t>
  </si>
  <si>
    <t>일본</t>
  </si>
  <si>
    <t>기타 -이벗</t>
  </si>
  <si>
    <t>메가포행사 출고작업
 출고 9</t>
  </si>
  <si>
    <t>출고 13 / 라벨(태남)2</t>
  </si>
  <si>
    <t>출고 19 / 행어 부수자재 재고조사 2</t>
  </si>
  <si>
    <t>출고 10.5/라벨0.5(VTPL)</t>
  </si>
  <si>
    <t>출고6명.라벨1명</t>
  </si>
  <si>
    <t>출고6명</t>
  </si>
  <si>
    <t>출고 6명 / 라벨 2명 (태남)</t>
  </si>
  <si>
    <t>재고조사 특근</t>
  </si>
  <si>
    <t>출고 13 / 임가공 2 (VTPL)</t>
  </si>
  <si>
    <t>출고 8 / 임가공 2 (VTPL)</t>
  </si>
  <si>
    <t>선반재고실사</t>
  </si>
  <si>
    <t>출고7</t>
  </si>
  <si>
    <t>출고 12 / 포테가르 선작업 4</t>
  </si>
  <si>
    <t xml:space="preserve">출고 12 </t>
  </si>
  <si>
    <t>출고 32</t>
  </si>
  <si>
    <t>출고 47 / 철야 13</t>
  </si>
  <si>
    <t>Fulfillment (이벗)</t>
  </si>
  <si>
    <t>WMS
+
이벗</t>
  </si>
  <si>
    <t>TOTAL
(①+②+③+④)</t>
  </si>
  <si>
    <t>Total</t>
  </si>
  <si>
    <t>4H
인원수</t>
  </si>
  <si>
    <t>7명</t>
  </si>
  <si>
    <t>8H
인원수</t>
  </si>
  <si>
    <t>3명</t>
  </si>
  <si>
    <t>QPS</t>
  </si>
  <si>
    <t>장기 파트너</t>
  </si>
  <si>
    <t>인원수</t>
  </si>
  <si>
    <t>연장
시간</t>
  </si>
  <si>
    <t>합계
시간</t>
  </si>
  <si>
    <t>김인호</t>
  </si>
  <si>
    <t>김국근</t>
  </si>
  <si>
    <t>이재욱</t>
  </si>
  <si>
    <t>김희진</t>
  </si>
  <si>
    <t>김태윤</t>
  </si>
  <si>
    <t>테페라</t>
  </si>
  <si>
    <t>김선빈</t>
  </si>
  <si>
    <t>기타
해외</t>
  </si>
  <si>
    <t>정연주</t>
  </si>
  <si>
    <t>소계
①</t>
  </si>
  <si>
    <t>국내
②</t>
  </si>
  <si>
    <t>김기형</t>
  </si>
  <si>
    <t>국내
③</t>
  </si>
  <si>
    <t>기타해외
④</t>
  </si>
  <si>
    <t>심승룡</t>
  </si>
  <si>
    <t>8명</t>
  </si>
  <si>
    <t>5명</t>
  </si>
  <si>
    <t>채은정</t>
  </si>
  <si>
    <t>이순영</t>
  </si>
  <si>
    <t>조아영</t>
  </si>
  <si>
    <t>박영애</t>
  </si>
  <si>
    <t>이범준</t>
  </si>
  <si>
    <t>김민영</t>
  </si>
  <si>
    <t>김인철</t>
  </si>
  <si>
    <t>정주라</t>
  </si>
  <si>
    <t>오현</t>
  </si>
  <si>
    <t>김상보</t>
  </si>
  <si>
    <t>정상문</t>
  </si>
  <si>
    <t>배슬아</t>
  </si>
  <si>
    <t>이동준</t>
  </si>
  <si>
    <t>출고 27</t>
  </si>
  <si>
    <t>서우혁</t>
  </si>
  <si>
    <t>출고건수</t>
    <phoneticPr fontId="18" type="noConversion"/>
  </si>
  <si>
    <t>OPS</t>
    <phoneticPr fontId="18" type="noConversion"/>
  </si>
  <si>
    <t>풀필</t>
    <phoneticPr fontId="18" type="noConversion"/>
  </si>
  <si>
    <t>6월</t>
    <phoneticPr fontId="18" type="noConversion"/>
  </si>
  <si>
    <t>7월</t>
  </si>
  <si>
    <t>8월</t>
  </si>
  <si>
    <t>9월</t>
  </si>
  <si>
    <t>10월</t>
  </si>
  <si>
    <t>11월</t>
  </si>
  <si>
    <t>12월</t>
  </si>
  <si>
    <t>합계</t>
    <phoneticPr fontId="18" type="noConversion"/>
  </si>
  <si>
    <t>월평균</t>
    <phoneticPr fontId="18" type="noConversion"/>
  </si>
  <si>
    <t>2025년도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</si>
</sst>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.0"/>
    <numFmt numFmtId="181" formatCode="#,##0_ "/>
  </numFmts>
  <fonts count="20">
    <font>
      <sz val="10"/>
      <color rgb="FF000000"/>
      <name val="Arial"/>
      <scheme val="minor"/>
    </font>
    <font>
      <sz val="9"/>
      <color rgb="FF000000"/>
      <name val="&quot;맑은 고딕&quot;"/>
      <family val="3"/>
      <charset val="129"/>
    </font>
    <font>
      <sz val="10"/>
      <name val="Arial"/>
      <family val="2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rgb="FF1155CC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9"/>
      <color theme="5"/>
      <name val="&quot;맑은 고딕&quot;"/>
      <family val="3"/>
      <charset val="129"/>
    </font>
    <font>
      <b/>
      <sz val="9"/>
      <color theme="5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sz val="10"/>
      <color rgb="FFC00000"/>
      <name val="&quot;맑은 고딕&quot;"/>
      <family val="3"/>
      <charset val="129"/>
    </font>
    <font>
      <b/>
      <sz val="10"/>
      <color rgb="FFFF0000"/>
      <name val="&quot;맑은 고딕&quot;"/>
      <family val="3"/>
      <charset val="129"/>
    </font>
    <font>
      <sz val="10"/>
      <color rgb="FFFF0000"/>
      <name val="&quot;맑은 고딕&quot;"/>
      <family val="3"/>
      <charset val="129"/>
    </font>
    <font>
      <b/>
      <sz val="10"/>
      <color rgb="FF0000FF"/>
      <name val="&quot;맑은 고딕&quot;"/>
      <family val="3"/>
      <charset val="129"/>
    </font>
    <font>
      <b/>
      <sz val="10"/>
      <color theme="1"/>
      <name val="Arial"/>
      <family val="2"/>
      <scheme val="minor"/>
    </font>
    <font>
      <sz val="10"/>
      <color rgb="FF0000FF"/>
      <name val="&quot;맑은 고딕&quot;"/>
      <family val="3"/>
      <charset val="129"/>
    </font>
    <font>
      <sz val="12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2"/>
      <color rgb="FF00000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AE9F8"/>
        <bgColor rgb="FFDAE9F8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CC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E599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DAE9F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B6D7A8"/>
      </patternFill>
    </fill>
    <fill>
      <patternFill patternType="solid">
        <fgColor rgb="FFFFFF00"/>
        <bgColor theme="0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3" fillId="0" borderId="0" xfId="0" applyFont="1"/>
    <xf numFmtId="0" fontId="1" fillId="2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176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177" fontId="3" fillId="3" borderId="13" xfId="0" applyNumberFormat="1" applyFont="1" applyFill="1" applyBorder="1"/>
    <xf numFmtId="176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77" fontId="4" fillId="3" borderId="13" xfId="0" applyNumberFormat="1" applyFont="1" applyFill="1" applyBorder="1"/>
    <xf numFmtId="177" fontId="4" fillId="0" borderId="13" xfId="0" applyNumberFormat="1" applyFont="1" applyBorder="1"/>
    <xf numFmtId="177" fontId="3" fillId="2" borderId="13" xfId="0" applyNumberFormat="1" applyFont="1" applyFill="1" applyBorder="1"/>
    <xf numFmtId="177" fontId="4" fillId="2" borderId="13" xfId="0" applyNumberFormat="1" applyFont="1" applyFill="1" applyBorder="1"/>
    <xf numFmtId="177" fontId="3" fillId="0" borderId="13" xfId="0" applyNumberFormat="1" applyFont="1" applyBorder="1"/>
    <xf numFmtId="3" fontId="4" fillId="2" borderId="13" xfId="0" applyNumberFormat="1" applyFont="1" applyFill="1" applyBorder="1"/>
    <xf numFmtId="3" fontId="3" fillId="3" borderId="13" xfId="0" applyNumberFormat="1" applyFont="1" applyFill="1" applyBorder="1"/>
    <xf numFmtId="3" fontId="4" fillId="3" borderId="13" xfId="0" applyNumberFormat="1" applyFont="1" applyFill="1" applyBorder="1" applyAlignment="1">
      <alignment horizontal="left"/>
    </xf>
    <xf numFmtId="3" fontId="3" fillId="3" borderId="13" xfId="0" applyNumberFormat="1" applyFont="1" applyFill="1" applyBorder="1" applyAlignment="1">
      <alignment horizontal="left"/>
    </xf>
    <xf numFmtId="3" fontId="4" fillId="0" borderId="13" xfId="0" applyNumberFormat="1" applyFont="1" applyBorder="1"/>
    <xf numFmtId="3" fontId="3" fillId="0" borderId="13" xfId="0" applyNumberFormat="1" applyFont="1" applyBorder="1"/>
    <xf numFmtId="3" fontId="4" fillId="3" borderId="13" xfId="0" applyNumberFormat="1" applyFont="1" applyFill="1" applyBorder="1"/>
    <xf numFmtId="0" fontId="3" fillId="0" borderId="13" xfId="0" applyFont="1" applyBorder="1"/>
    <xf numFmtId="176" fontId="4" fillId="4" borderId="13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77" fontId="3" fillId="3" borderId="13" xfId="0" applyNumberFormat="1" applyFont="1" applyFill="1" applyBorder="1" applyAlignment="1">
      <alignment vertical="center"/>
    </xf>
    <xf numFmtId="177" fontId="3" fillId="2" borderId="13" xfId="0" applyNumberFormat="1" applyFont="1" applyFill="1" applyBorder="1" applyAlignment="1">
      <alignment vertical="center"/>
    </xf>
    <xf numFmtId="0" fontId="4" fillId="5" borderId="13" xfId="0" applyFont="1" applyFill="1" applyBorder="1" applyAlignment="1">
      <alignment horizontal="center"/>
    </xf>
    <xf numFmtId="177" fontId="3" fillId="0" borderId="13" xfId="0" applyNumberFormat="1" applyFont="1" applyBorder="1" applyAlignment="1">
      <alignment vertical="center"/>
    </xf>
    <xf numFmtId="3" fontId="3" fillId="3" borderId="13" xfId="0" applyNumberFormat="1" applyFont="1" applyFill="1" applyBorder="1" applyAlignment="1">
      <alignment vertical="center"/>
    </xf>
    <xf numFmtId="176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3" fontId="3" fillId="3" borderId="13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horizontal="left"/>
    </xf>
    <xf numFmtId="3" fontId="4" fillId="0" borderId="13" xfId="0" applyNumberFormat="1" applyFont="1" applyBorder="1" applyAlignment="1">
      <alignment horizontal="left"/>
    </xf>
    <xf numFmtId="177" fontId="3" fillId="6" borderId="13" xfId="0" applyNumberFormat="1" applyFont="1" applyFill="1" applyBorder="1"/>
    <xf numFmtId="3" fontId="3" fillId="7" borderId="13" xfId="0" applyNumberFormat="1" applyFont="1" applyFill="1" applyBorder="1"/>
    <xf numFmtId="3" fontId="3" fillId="6" borderId="13" xfId="0" applyNumberFormat="1" applyFont="1" applyFill="1" applyBorder="1"/>
    <xf numFmtId="0" fontId="3" fillId="6" borderId="13" xfId="0" applyFont="1" applyFill="1" applyBorder="1"/>
    <xf numFmtId="0" fontId="3" fillId="3" borderId="13" xfId="0" applyFont="1" applyFill="1" applyBorder="1"/>
    <xf numFmtId="177" fontId="4" fillId="6" borderId="13" xfId="0" applyNumberFormat="1" applyFont="1" applyFill="1" applyBorder="1"/>
    <xf numFmtId="0" fontId="4" fillId="6" borderId="13" xfId="0" applyFont="1" applyFill="1" applyBorder="1"/>
    <xf numFmtId="3" fontId="4" fillId="6" borderId="13" xfId="0" applyNumberFormat="1" applyFont="1" applyFill="1" applyBorder="1"/>
    <xf numFmtId="0" fontId="5" fillId="0" borderId="0" xfId="0" applyFont="1"/>
    <xf numFmtId="3" fontId="3" fillId="3" borderId="13" xfId="0" applyNumberFormat="1" applyFont="1" applyFill="1" applyBorder="1" applyAlignment="1">
      <alignment horizontal="right"/>
    </xf>
    <xf numFmtId="0" fontId="1" fillId="2" borderId="13" xfId="0" applyFont="1" applyFill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77" fontId="3" fillId="8" borderId="13" xfId="0" applyNumberFormat="1" applyFont="1" applyFill="1" applyBorder="1"/>
    <xf numFmtId="0" fontId="8" fillId="2" borderId="13" xfId="0" applyFont="1" applyFill="1" applyBorder="1" applyAlignment="1">
      <alignment horizontal="center"/>
    </xf>
    <xf numFmtId="3" fontId="9" fillId="3" borderId="13" xfId="0" applyNumberFormat="1" applyFont="1" applyFill="1" applyBorder="1" applyAlignment="1">
      <alignment horizontal="right"/>
    </xf>
    <xf numFmtId="176" fontId="7" fillId="0" borderId="13" xfId="0" applyNumberFormat="1" applyFont="1" applyBorder="1" applyAlignment="1">
      <alignment horizontal="center"/>
    </xf>
    <xf numFmtId="0" fontId="3" fillId="3" borderId="13" xfId="0" applyFont="1" applyFill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right"/>
    </xf>
    <xf numFmtId="0" fontId="10" fillId="9" borderId="13" xfId="0" applyFont="1" applyFill="1" applyBorder="1" applyAlignment="1">
      <alignment horizontal="right"/>
    </xf>
    <xf numFmtId="0" fontId="10" fillId="0" borderId="13" xfId="0" applyFont="1" applyBorder="1" applyAlignment="1">
      <alignment horizontal="right"/>
    </xf>
    <xf numFmtId="3" fontId="9" fillId="6" borderId="13" xfId="0" applyNumberFormat="1" applyFont="1" applyFill="1" applyBorder="1"/>
    <xf numFmtId="0" fontId="10" fillId="8" borderId="13" xfId="0" applyFont="1" applyFill="1" applyBorder="1" applyAlignment="1">
      <alignment horizontal="right"/>
    </xf>
    <xf numFmtId="0" fontId="10" fillId="5" borderId="13" xfId="0" applyFont="1" applyFill="1" applyBorder="1" applyAlignment="1">
      <alignment horizontal="right"/>
    </xf>
    <xf numFmtId="0" fontId="10" fillId="0" borderId="13" xfId="0" applyFont="1" applyBorder="1" applyAlignment="1">
      <alignment horizontal="left"/>
    </xf>
    <xf numFmtId="0" fontId="9" fillId="0" borderId="0" xfId="0" applyFont="1"/>
    <xf numFmtId="3" fontId="11" fillId="0" borderId="13" xfId="0" applyNumberFormat="1" applyFont="1" applyBorder="1" applyAlignment="1">
      <alignment horizontal="right"/>
    </xf>
    <xf numFmtId="3" fontId="10" fillId="0" borderId="13" xfId="0" applyNumberFormat="1" applyFont="1" applyBorder="1" applyAlignment="1">
      <alignment horizontal="right"/>
    </xf>
    <xf numFmtId="0" fontId="12" fillId="3" borderId="13" xfId="0" applyFont="1" applyFill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0" fillId="10" borderId="13" xfId="0" applyFont="1" applyFill="1" applyBorder="1" applyAlignment="1">
      <alignment horizontal="right"/>
    </xf>
    <xf numFmtId="176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9" borderId="13" xfId="0" applyFont="1" applyFill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10" fillId="8" borderId="13" xfId="0" applyFont="1" applyFill="1" applyBorder="1" applyAlignment="1">
      <alignment horizontal="right" vertical="center"/>
    </xf>
    <xf numFmtId="0" fontId="10" fillId="5" borderId="13" xfId="0" applyFont="1" applyFill="1" applyBorder="1" applyAlignment="1">
      <alignment horizontal="right" vertical="center"/>
    </xf>
    <xf numFmtId="0" fontId="11" fillId="11" borderId="13" xfId="0" applyFont="1" applyFill="1" applyBorder="1" applyAlignment="1">
      <alignment horizontal="right"/>
    </xf>
    <xf numFmtId="176" fontId="13" fillId="4" borderId="13" xfId="0" applyNumberFormat="1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3" fontId="11" fillId="12" borderId="13" xfId="0" applyNumberFormat="1" applyFont="1" applyFill="1" applyBorder="1" applyAlignment="1">
      <alignment horizontal="right"/>
    </xf>
    <xf numFmtId="176" fontId="10" fillId="4" borderId="13" xfId="0" applyNumberFormat="1" applyFont="1" applyFill="1" applyBorder="1" applyAlignment="1">
      <alignment horizontal="center"/>
    </xf>
    <xf numFmtId="0" fontId="15" fillId="0" borderId="13" xfId="0" applyFont="1" applyBorder="1"/>
    <xf numFmtId="3" fontId="15" fillId="0" borderId="13" xfId="0" applyNumberFormat="1" applyFont="1" applyBorder="1"/>
    <xf numFmtId="0" fontId="17" fillId="0" borderId="0" xfId="0" applyFont="1"/>
    <xf numFmtId="0" fontId="4" fillId="13" borderId="13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 vertical="center"/>
    </xf>
    <xf numFmtId="0" fontId="4" fillId="3" borderId="0" xfId="0" applyFont="1" applyFill="1"/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12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3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4" fillId="6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0" borderId="0" xfId="0" applyFont="1"/>
    <xf numFmtId="0" fontId="1" fillId="2" borderId="7" xfId="0" applyFont="1" applyFill="1" applyBorder="1" applyAlignment="1">
      <alignment horizontal="center" vertical="center"/>
    </xf>
    <xf numFmtId="0" fontId="5" fillId="0" borderId="0" xfId="0" applyFont="1"/>
    <xf numFmtId="0" fontId="8" fillId="2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2" fillId="3" borderId="5" xfId="0" applyFont="1" applyFill="1" applyBorder="1" applyAlignment="1">
      <alignment horizontal="center" vertical="center"/>
    </xf>
    <xf numFmtId="3" fontId="0" fillId="0" borderId="0" xfId="0" applyNumberFormat="1"/>
    <xf numFmtId="0" fontId="1" fillId="14" borderId="6" xfId="0" applyFont="1" applyFill="1" applyBorder="1" applyAlignment="1">
      <alignment horizontal="center" vertical="center"/>
    </xf>
    <xf numFmtId="0" fontId="2" fillId="15" borderId="6" xfId="0" applyFont="1" applyFill="1" applyBorder="1"/>
    <xf numFmtId="0" fontId="2" fillId="15" borderId="7" xfId="0" applyFont="1" applyFill="1" applyBorder="1"/>
    <xf numFmtId="0" fontId="2" fillId="15" borderId="10" xfId="0" applyFont="1" applyFill="1" applyBorder="1"/>
    <xf numFmtId="0" fontId="2" fillId="15" borderId="11" xfId="0" applyFont="1" applyFill="1" applyBorder="1"/>
    <xf numFmtId="0" fontId="1" fillId="14" borderId="13" xfId="0" applyFont="1" applyFill="1" applyBorder="1" applyAlignment="1">
      <alignment horizontal="center"/>
    </xf>
    <xf numFmtId="3" fontId="4" fillId="16" borderId="13" xfId="0" applyNumberFormat="1" applyFont="1" applyFill="1" applyBorder="1"/>
    <xf numFmtId="0" fontId="1" fillId="14" borderId="5" xfId="0" applyFont="1" applyFill="1" applyBorder="1" applyAlignment="1">
      <alignment horizontal="center" vertical="center"/>
    </xf>
    <xf numFmtId="0" fontId="2" fillId="15" borderId="9" xfId="0" applyFont="1" applyFill="1" applyBorder="1"/>
    <xf numFmtId="3" fontId="3" fillId="16" borderId="13" xfId="0" applyNumberFormat="1" applyFont="1" applyFill="1" applyBorder="1"/>
    <xf numFmtId="3" fontId="3" fillId="15" borderId="13" xfId="0" applyNumberFormat="1" applyFont="1" applyFill="1" applyBorder="1"/>
    <xf numFmtId="3" fontId="3" fillId="15" borderId="13" xfId="0" applyNumberFormat="1" applyFont="1" applyFill="1" applyBorder="1" applyAlignment="1">
      <alignment vertical="center"/>
    </xf>
    <xf numFmtId="3" fontId="3" fillId="17" borderId="13" xfId="0" applyNumberFormat="1" applyFont="1" applyFill="1" applyBorder="1"/>
    <xf numFmtId="3" fontId="3" fillId="0" borderId="13" xfId="0" applyNumberFormat="1" applyFont="1" applyFill="1" applyBorder="1"/>
    <xf numFmtId="0" fontId="10" fillId="17" borderId="5" xfId="0" applyFont="1" applyFill="1" applyBorder="1" applyAlignment="1">
      <alignment horizontal="center" vertical="center"/>
    </xf>
    <xf numFmtId="0" fontId="10" fillId="17" borderId="13" xfId="0" applyFont="1" applyFill="1" applyBorder="1" applyAlignment="1">
      <alignment horizontal="center" vertical="center"/>
    </xf>
    <xf numFmtId="3" fontId="15" fillId="15" borderId="13" xfId="0" applyNumberFormat="1" applyFont="1" applyFill="1" applyBorder="1"/>
    <xf numFmtId="0" fontId="10" fillId="18" borderId="13" xfId="0" applyFont="1" applyFill="1" applyBorder="1" applyAlignment="1">
      <alignment horizontal="center" vertical="center"/>
    </xf>
    <xf numFmtId="0" fontId="10" fillId="19" borderId="13" xfId="0" applyFont="1" applyFill="1" applyBorder="1" applyAlignment="1">
      <alignment horizontal="center" vertical="center"/>
    </xf>
    <xf numFmtId="3" fontId="11" fillId="20" borderId="13" xfId="0" applyNumberFormat="1" applyFont="1" applyFill="1" applyBorder="1" applyAlignment="1">
      <alignment horizontal="right"/>
    </xf>
    <xf numFmtId="3" fontId="10" fillId="20" borderId="13" xfId="0" applyNumberFormat="1" applyFont="1" applyFill="1" applyBorder="1" applyAlignment="1">
      <alignment horizontal="right" vertical="center"/>
    </xf>
    <xf numFmtId="3" fontId="11" fillId="21" borderId="13" xfId="0" applyNumberFormat="1" applyFont="1" applyFill="1" applyBorder="1" applyAlignment="1">
      <alignment horizontal="right"/>
    </xf>
    <xf numFmtId="3" fontId="10" fillId="20" borderId="13" xfId="0" applyNumberFormat="1" applyFont="1" applyFill="1" applyBorder="1" applyAlignment="1">
      <alignment horizontal="right"/>
    </xf>
    <xf numFmtId="3" fontId="11" fillId="22" borderId="13" xfId="0" applyNumberFormat="1" applyFont="1" applyFill="1" applyBorder="1" applyAlignment="1">
      <alignment horizontal="right"/>
    </xf>
    <xf numFmtId="0" fontId="10" fillId="23" borderId="5" xfId="0" applyFont="1" applyFill="1" applyBorder="1" applyAlignment="1">
      <alignment horizontal="center" vertical="center"/>
    </xf>
    <xf numFmtId="0" fontId="2" fillId="24" borderId="6" xfId="0" applyFont="1" applyFill="1" applyBorder="1"/>
    <xf numFmtId="0" fontId="2" fillId="24" borderId="7" xfId="0" applyFont="1" applyFill="1" applyBorder="1"/>
    <xf numFmtId="0" fontId="2" fillId="24" borderId="9" xfId="0" applyFont="1" applyFill="1" applyBorder="1"/>
    <xf numFmtId="0" fontId="2" fillId="24" borderId="10" xfId="0" applyFont="1" applyFill="1" applyBorder="1"/>
    <xf numFmtId="0" fontId="2" fillId="24" borderId="11" xfId="0" applyFont="1" applyFill="1" applyBorder="1"/>
    <xf numFmtId="0" fontId="10" fillId="23" borderId="13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2" fillId="20" borderId="7" xfId="0" applyFont="1" applyFill="1" applyBorder="1"/>
    <xf numFmtId="0" fontId="2" fillId="20" borderId="6" xfId="0" applyFont="1" applyFill="1" applyBorder="1"/>
    <xf numFmtId="0" fontId="14" fillId="18" borderId="5" xfId="0" applyFont="1" applyFill="1" applyBorder="1" applyAlignment="1">
      <alignment horizontal="center" vertical="center"/>
    </xf>
    <xf numFmtId="0" fontId="0" fillId="20" borderId="0" xfId="0" applyFill="1"/>
    <xf numFmtId="0" fontId="2" fillId="20" borderId="9" xfId="0" applyFont="1" applyFill="1" applyBorder="1"/>
    <xf numFmtId="0" fontId="2" fillId="20" borderId="11" xfId="0" applyFont="1" applyFill="1" applyBorder="1"/>
    <xf numFmtId="0" fontId="2" fillId="20" borderId="10" xfId="0" applyFont="1" applyFill="1" applyBorder="1"/>
    <xf numFmtId="0" fontId="2" fillId="20" borderId="14" xfId="0" applyFont="1" applyFill="1" applyBorder="1"/>
    <xf numFmtId="0" fontId="0" fillId="20" borderId="0" xfId="0" applyFill="1"/>
    <xf numFmtId="0" fontId="2" fillId="20" borderId="15" xfId="0" applyFont="1" applyFill="1" applyBorder="1"/>
    <xf numFmtId="0" fontId="10" fillId="18" borderId="1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6" borderId="2" xfId="0" applyFont="1" applyFill="1" applyBorder="1" applyAlignment="1">
      <alignment horizontal="center" vertical="center"/>
    </xf>
    <xf numFmtId="0" fontId="2" fillId="20" borderId="3" xfId="0" applyFont="1" applyFill="1" applyBorder="1"/>
    <xf numFmtId="0" fontId="2" fillId="20" borderId="4" xfId="0" applyFont="1" applyFill="1" applyBorder="1"/>
    <xf numFmtId="0" fontId="10" fillId="21" borderId="5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2" fillId="20" borderId="8" xfId="0" applyFont="1" applyFill="1" applyBorder="1"/>
    <xf numFmtId="0" fontId="2" fillId="20" borderId="12" xfId="0" applyFont="1" applyFill="1" applyBorder="1"/>
    <xf numFmtId="0" fontId="10" fillId="25" borderId="13" xfId="0" applyFont="1" applyFill="1" applyBorder="1" applyAlignment="1">
      <alignment horizontal="center" vertical="center"/>
    </xf>
    <xf numFmtId="0" fontId="13" fillId="18" borderId="13" xfId="0" applyFont="1" applyFill="1" applyBorder="1" applyAlignment="1">
      <alignment horizontal="center" vertical="center"/>
    </xf>
    <xf numFmtId="0" fontId="16" fillId="18" borderId="13" xfId="0" applyFont="1" applyFill="1" applyBorder="1" applyAlignment="1">
      <alignment horizontal="center" vertical="center"/>
    </xf>
    <xf numFmtId="0" fontId="10" fillId="26" borderId="13" xfId="0" applyFont="1" applyFill="1" applyBorder="1" applyAlignment="1">
      <alignment horizontal="center" vertical="center"/>
    </xf>
    <xf numFmtId="0" fontId="10" fillId="21" borderId="13" xfId="0" applyFont="1" applyFill="1" applyBorder="1" applyAlignment="1">
      <alignment horizontal="center" vertical="center"/>
    </xf>
    <xf numFmtId="0" fontId="14" fillId="18" borderId="13" xfId="0" applyFont="1" applyFill="1" applyBorder="1" applyAlignment="1">
      <alignment horizontal="center" vertical="center"/>
    </xf>
    <xf numFmtId="176" fontId="10" fillId="27" borderId="13" xfId="0" applyNumberFormat="1" applyFont="1" applyFill="1" applyBorder="1" applyAlignment="1">
      <alignment horizontal="center"/>
    </xf>
    <xf numFmtId="0" fontId="10" fillId="20" borderId="13" xfId="0" applyFont="1" applyFill="1" applyBorder="1" applyAlignment="1">
      <alignment horizontal="center"/>
    </xf>
    <xf numFmtId="3" fontId="10" fillId="25" borderId="13" xfId="0" applyNumberFormat="1" applyFont="1" applyFill="1" applyBorder="1" applyAlignment="1">
      <alignment horizontal="right"/>
    </xf>
    <xf numFmtId="3" fontId="13" fillId="20" borderId="13" xfId="0" applyNumberFormat="1" applyFont="1" applyFill="1" applyBorder="1" applyAlignment="1">
      <alignment horizontal="right"/>
    </xf>
    <xf numFmtId="3" fontId="16" fillId="20" borderId="13" xfId="0" applyNumberFormat="1" applyFont="1" applyFill="1" applyBorder="1" applyAlignment="1">
      <alignment horizontal="right"/>
    </xf>
    <xf numFmtId="3" fontId="10" fillId="26" borderId="13" xfId="0" applyNumberFormat="1" applyFont="1" applyFill="1" applyBorder="1" applyAlignment="1">
      <alignment horizontal="right"/>
    </xf>
    <xf numFmtId="3" fontId="10" fillId="21" borderId="13" xfId="0" applyNumberFormat="1" applyFont="1" applyFill="1" applyBorder="1" applyAlignment="1">
      <alignment horizontal="right"/>
    </xf>
    <xf numFmtId="0" fontId="10" fillId="20" borderId="13" xfId="0" applyFont="1" applyFill="1" applyBorder="1" applyAlignment="1">
      <alignment horizontal="left"/>
    </xf>
    <xf numFmtId="177" fontId="10" fillId="20" borderId="13" xfId="0" applyNumberFormat="1" applyFont="1" applyFill="1" applyBorder="1" applyAlignment="1">
      <alignment horizontal="right"/>
    </xf>
    <xf numFmtId="177" fontId="10" fillId="21" borderId="13" xfId="0" applyNumberFormat="1" applyFont="1" applyFill="1" applyBorder="1" applyAlignment="1">
      <alignment horizontal="right"/>
    </xf>
    <xf numFmtId="177" fontId="10" fillId="28" borderId="13" xfId="0" applyNumberFormat="1" applyFont="1" applyFill="1" applyBorder="1" applyAlignment="1">
      <alignment horizontal="right"/>
    </xf>
    <xf numFmtId="177" fontId="14" fillId="28" borderId="13" xfId="0" applyNumberFormat="1" applyFont="1" applyFill="1" applyBorder="1" applyAlignment="1">
      <alignment horizontal="right"/>
    </xf>
    <xf numFmtId="3" fontId="10" fillId="25" borderId="13" xfId="0" applyNumberFormat="1" applyFont="1" applyFill="1" applyBorder="1" applyAlignment="1">
      <alignment horizontal="right" vertical="center"/>
    </xf>
    <xf numFmtId="3" fontId="13" fillId="20" borderId="13" xfId="0" applyNumberFormat="1" applyFont="1" applyFill="1" applyBorder="1" applyAlignment="1">
      <alignment horizontal="right" vertical="center"/>
    </xf>
    <xf numFmtId="3" fontId="16" fillId="20" borderId="13" xfId="0" applyNumberFormat="1" applyFont="1" applyFill="1" applyBorder="1" applyAlignment="1">
      <alignment horizontal="right" vertical="center"/>
    </xf>
    <xf numFmtId="3" fontId="10" fillId="26" borderId="13" xfId="0" applyNumberFormat="1" applyFont="1" applyFill="1" applyBorder="1" applyAlignment="1">
      <alignment horizontal="right" vertical="center"/>
    </xf>
    <xf numFmtId="3" fontId="10" fillId="21" borderId="13" xfId="0" applyNumberFormat="1" applyFont="1" applyFill="1" applyBorder="1" applyAlignment="1">
      <alignment horizontal="right" vertical="center"/>
    </xf>
    <xf numFmtId="3" fontId="11" fillId="18" borderId="13" xfId="0" applyNumberFormat="1" applyFont="1" applyFill="1" applyBorder="1" applyAlignment="1">
      <alignment horizontal="right"/>
    </xf>
    <xf numFmtId="176" fontId="13" fillId="27" borderId="13" xfId="0" applyNumberFormat="1" applyFont="1" applyFill="1" applyBorder="1" applyAlignment="1">
      <alignment horizontal="center"/>
    </xf>
    <xf numFmtId="0" fontId="13" fillId="20" borderId="13" xfId="0" applyFont="1" applyFill="1" applyBorder="1" applyAlignment="1">
      <alignment horizontal="center"/>
    </xf>
    <xf numFmtId="176" fontId="10" fillId="18" borderId="13" xfId="0" applyNumberFormat="1" applyFont="1" applyFill="1" applyBorder="1" applyAlignment="1">
      <alignment horizontal="center"/>
    </xf>
    <xf numFmtId="176" fontId="10" fillId="20" borderId="13" xfId="0" applyNumberFormat="1" applyFont="1" applyFill="1" applyBorder="1" applyAlignment="1">
      <alignment horizontal="center"/>
    </xf>
    <xf numFmtId="176" fontId="13" fillId="20" borderId="13" xfId="0" applyNumberFormat="1" applyFont="1" applyFill="1" applyBorder="1" applyAlignment="1">
      <alignment horizontal="center"/>
    </xf>
    <xf numFmtId="0" fontId="15" fillId="20" borderId="13" xfId="0" applyFont="1" applyFill="1" applyBorder="1"/>
    <xf numFmtId="3" fontId="15" fillId="20" borderId="13" xfId="0" applyNumberFormat="1" applyFont="1" applyFill="1" applyBorder="1"/>
    <xf numFmtId="0" fontId="17" fillId="20" borderId="0" xfId="0" applyFont="1" applyFill="1"/>
    <xf numFmtId="0" fontId="4" fillId="21" borderId="13" xfId="0" applyFont="1" applyFill="1" applyBorder="1" applyAlignment="1">
      <alignment horizontal="center"/>
    </xf>
    <xf numFmtId="0" fontId="4" fillId="29" borderId="13" xfId="0" applyFont="1" applyFill="1" applyBorder="1" applyAlignment="1">
      <alignment horizontal="center"/>
    </xf>
    <xf numFmtId="0" fontId="10" fillId="18" borderId="13" xfId="0" applyFont="1" applyFill="1" applyBorder="1" applyAlignment="1">
      <alignment horizontal="center"/>
    </xf>
    <xf numFmtId="0" fontId="4" fillId="20" borderId="13" xfId="0" applyFont="1" applyFill="1" applyBorder="1" applyAlignment="1">
      <alignment horizontal="center"/>
    </xf>
    <xf numFmtId="0" fontId="4" fillId="18" borderId="0" xfId="0" applyFont="1" applyFill="1"/>
    <xf numFmtId="0" fontId="10" fillId="30" borderId="13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181" fontId="19" fillId="0" borderId="16" xfId="0" applyNumberFormat="1" applyFont="1" applyBorder="1" applyAlignment="1">
      <alignment horizontal="right" vertical="center" shrinkToFit="1"/>
    </xf>
    <xf numFmtId="0" fontId="19" fillId="15" borderId="16" xfId="0" applyFont="1" applyFill="1" applyBorder="1" applyAlignment="1">
      <alignment horizontal="center" vertical="center" shrinkToFit="1"/>
    </xf>
    <xf numFmtId="181" fontId="19" fillId="15" borderId="16" xfId="0" applyNumberFormat="1" applyFont="1" applyFill="1" applyBorder="1" applyAlignment="1">
      <alignment horizontal="right" vertical="center" shrinkToFit="1"/>
    </xf>
    <xf numFmtId="0" fontId="19" fillId="31" borderId="16" xfId="0" applyFont="1" applyFill="1" applyBorder="1" applyAlignment="1">
      <alignment horizontal="center" vertical="center" shrinkToFit="1"/>
    </xf>
    <xf numFmtId="181" fontId="19" fillId="31" borderId="16" xfId="0" applyNumberFormat="1" applyFont="1" applyFill="1" applyBorder="1" applyAlignment="1">
      <alignment horizontal="righ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663F-616F-4728-BD86-4709C2151129}">
  <dimension ref="B2:L4"/>
  <sheetViews>
    <sheetView tabSelected="1" workbookViewId="0">
      <selection activeCell="M16" sqref="M16"/>
    </sheetView>
  </sheetViews>
  <sheetFormatPr defaultRowHeight="17.25"/>
  <cols>
    <col min="1" max="1" width="10.7109375" style="219" customWidth="1"/>
    <col min="2" max="12" width="12.7109375" style="219" customWidth="1"/>
    <col min="13" max="15" width="10.7109375" style="219" customWidth="1"/>
    <col min="16" max="16384" width="9.140625" style="219"/>
  </cols>
  <sheetData>
    <row r="2" spans="2:12">
      <c r="B2" s="217" t="s">
        <v>235</v>
      </c>
      <c r="C2" s="217"/>
      <c r="D2" s="218" t="s">
        <v>226</v>
      </c>
      <c r="E2" s="218" t="s">
        <v>227</v>
      </c>
      <c r="F2" s="218" t="s">
        <v>228</v>
      </c>
      <c r="G2" s="218" t="s">
        <v>229</v>
      </c>
      <c r="H2" s="218" t="s">
        <v>230</v>
      </c>
      <c r="I2" s="218" t="s">
        <v>231</v>
      </c>
      <c r="J2" s="218" t="s">
        <v>232</v>
      </c>
      <c r="K2" s="221" t="s">
        <v>233</v>
      </c>
      <c r="L2" s="223" t="s">
        <v>234</v>
      </c>
    </row>
    <row r="3" spans="2:12">
      <c r="B3" s="217" t="s">
        <v>223</v>
      </c>
      <c r="C3" s="218" t="s">
        <v>224</v>
      </c>
      <c r="D3" s="220">
        <f>'6월'!T34</f>
        <v>256567</v>
      </c>
      <c r="E3" s="220">
        <f>'7월'!U35</f>
        <v>106633</v>
      </c>
      <c r="F3" s="220">
        <f>'8월'!Q35</f>
        <v>113192</v>
      </c>
      <c r="G3" s="220">
        <f>'9월'!S34</f>
        <v>415484</v>
      </c>
      <c r="H3" s="220">
        <f>'10월'!Q36</f>
        <v>95914</v>
      </c>
      <c r="I3" s="220">
        <f>'11월'!BJ36</f>
        <v>355106</v>
      </c>
      <c r="J3" s="220">
        <f>'12월'!BJ37</f>
        <v>277268</v>
      </c>
      <c r="K3" s="222">
        <f>SUM(D3:J3)</f>
        <v>1620164</v>
      </c>
      <c r="L3" s="224">
        <f>K3/7</f>
        <v>231452</v>
      </c>
    </row>
    <row r="4" spans="2:12">
      <c r="B4" s="217"/>
      <c r="C4" s="218" t="s">
        <v>225</v>
      </c>
      <c r="D4" s="220">
        <f>'6월'!X34</f>
        <v>93535</v>
      </c>
      <c r="E4" s="220">
        <f>'7월'!Y35</f>
        <v>59743</v>
      </c>
      <c r="F4" s="220">
        <f>'8월'!U35</f>
        <v>54057</v>
      </c>
      <c r="G4" s="220">
        <f>'9월'!W34</f>
        <v>91925</v>
      </c>
      <c r="H4" s="220">
        <f>'10월'!U36</f>
        <v>50947</v>
      </c>
      <c r="I4" s="220">
        <f>'11월'!BO36</f>
        <v>122307</v>
      </c>
      <c r="J4" s="220">
        <f>'12월'!BN37+'12월'!BR37</f>
        <v>92081</v>
      </c>
      <c r="K4" s="222">
        <f>SUM(D4:J4)</f>
        <v>564595</v>
      </c>
      <c r="L4" s="224">
        <f>K4/7</f>
        <v>80656.428571428565</v>
      </c>
    </row>
  </sheetData>
  <mergeCells count="2">
    <mergeCell ref="B3:B4"/>
    <mergeCell ref="B2:C2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003"/>
  <sheetViews>
    <sheetView workbookViewId="0">
      <selection activeCell="S25" sqref="S25"/>
    </sheetView>
  </sheetViews>
  <sheetFormatPr defaultColWidth="12.5703125" defaultRowHeight="15.75" customHeight="1"/>
  <cols>
    <col min="1" max="1" width="6" customWidth="1"/>
    <col min="2" max="2" width="4.42578125" customWidth="1"/>
    <col min="3" max="9" width="11.28515625" customWidth="1"/>
    <col min="10" max="12" width="9.85546875" customWidth="1"/>
    <col min="13" max="13" width="17" customWidth="1"/>
    <col min="14" max="18" width="9.28515625" customWidth="1"/>
    <col min="19" max="19" width="13.140625" customWidth="1"/>
    <col min="20" max="28" width="10.85546875" customWidth="1"/>
    <col min="29" max="33" width="8.85546875" customWidth="1"/>
  </cols>
  <sheetData>
    <row r="1" spans="1:33" ht="15.75" customHeight="1">
      <c r="A1" s="109" t="s">
        <v>0</v>
      </c>
      <c r="B1" s="109" t="s">
        <v>1</v>
      </c>
      <c r="C1" s="110" t="s">
        <v>2</v>
      </c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11" t="s">
        <v>3</v>
      </c>
      <c r="O1" s="95"/>
      <c r="P1" s="95"/>
      <c r="Q1" s="95"/>
      <c r="R1" s="95"/>
      <c r="S1" s="96"/>
      <c r="T1" s="128" t="s">
        <v>5</v>
      </c>
      <c r="U1" s="129"/>
      <c r="V1" s="129"/>
      <c r="W1" s="130"/>
      <c r="X1" s="135" t="s">
        <v>6</v>
      </c>
      <c r="Y1" s="129"/>
      <c r="Z1" s="129"/>
      <c r="AA1" s="130"/>
      <c r="AB1" s="100" t="s">
        <v>8</v>
      </c>
      <c r="AC1" s="94" t="s">
        <v>9</v>
      </c>
      <c r="AD1" s="95"/>
      <c r="AE1" s="95"/>
      <c r="AF1" s="96"/>
      <c r="AG1" s="100" t="s">
        <v>11</v>
      </c>
    </row>
    <row r="2" spans="1:33" ht="15.75" customHeight="1">
      <c r="A2" s="101"/>
      <c r="B2" s="101"/>
      <c r="C2" s="103" t="s">
        <v>7</v>
      </c>
      <c r="D2" s="104"/>
      <c r="E2" s="104"/>
      <c r="F2" s="104"/>
      <c r="G2" s="104"/>
      <c r="H2" s="104"/>
      <c r="I2" s="104"/>
      <c r="J2" s="105" t="s">
        <v>10</v>
      </c>
      <c r="K2" s="106"/>
      <c r="L2" s="107"/>
      <c r="M2" s="112" t="s">
        <v>12</v>
      </c>
      <c r="N2" s="97"/>
      <c r="O2" s="98"/>
      <c r="P2" s="98"/>
      <c r="Q2" s="98"/>
      <c r="R2" s="98"/>
      <c r="S2" s="99"/>
      <c r="T2" s="131"/>
      <c r="U2" s="131"/>
      <c r="V2" s="131"/>
      <c r="W2" s="132"/>
      <c r="X2" s="136"/>
      <c r="Y2" s="131"/>
      <c r="Z2" s="131"/>
      <c r="AA2" s="132"/>
      <c r="AB2" s="102"/>
      <c r="AC2" s="97"/>
      <c r="AD2" s="98"/>
      <c r="AE2" s="98"/>
      <c r="AF2" s="99"/>
      <c r="AG2" s="101"/>
    </row>
    <row r="3" spans="1:33" ht="15.75" customHeight="1">
      <c r="A3" s="102"/>
      <c r="B3" s="102"/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19</v>
      </c>
      <c r="M3" s="102"/>
      <c r="N3" s="2" t="s">
        <v>22</v>
      </c>
      <c r="O3" s="2" t="s">
        <v>23</v>
      </c>
      <c r="P3" s="2" t="s">
        <v>20</v>
      </c>
      <c r="Q3" s="2" t="s">
        <v>21</v>
      </c>
      <c r="R3" s="2" t="s">
        <v>24</v>
      </c>
      <c r="S3" s="2" t="s">
        <v>25</v>
      </c>
      <c r="T3" s="133" t="s">
        <v>26</v>
      </c>
      <c r="U3" s="2" t="s">
        <v>27</v>
      </c>
      <c r="V3" s="2" t="s">
        <v>28</v>
      </c>
      <c r="W3" s="2" t="s">
        <v>29</v>
      </c>
      <c r="X3" s="133" t="s">
        <v>26</v>
      </c>
      <c r="Y3" s="2" t="s">
        <v>27</v>
      </c>
      <c r="Z3" s="2" t="s">
        <v>28</v>
      </c>
      <c r="AA3" s="2" t="s">
        <v>29</v>
      </c>
      <c r="AB3" s="3" t="s">
        <v>31</v>
      </c>
      <c r="AC3" s="3" t="s">
        <v>33</v>
      </c>
      <c r="AD3" s="3" t="s">
        <v>34</v>
      </c>
      <c r="AE3" s="6" t="s">
        <v>35</v>
      </c>
      <c r="AF3" s="6" t="s">
        <v>36</v>
      </c>
      <c r="AG3" s="102"/>
    </row>
    <row r="4" spans="1:33" ht="15.75" customHeight="1">
      <c r="A4" s="8">
        <v>45809</v>
      </c>
      <c r="B4" s="9" t="s">
        <v>37</v>
      </c>
      <c r="C4" s="10">
        <v>3</v>
      </c>
      <c r="D4" s="10">
        <v>2</v>
      </c>
      <c r="E4" s="11">
        <v>7</v>
      </c>
      <c r="F4" s="11">
        <v>4</v>
      </c>
      <c r="G4" s="11">
        <v>2</v>
      </c>
      <c r="H4" s="10">
        <v>2</v>
      </c>
      <c r="I4" s="13">
        <f t="shared" ref="I4:I33" si="0">C4+D4+E4+F4+G4+H4</f>
        <v>20</v>
      </c>
      <c r="J4" s="10">
        <v>7</v>
      </c>
      <c r="K4" s="10">
        <v>1</v>
      </c>
      <c r="L4" s="15">
        <f t="shared" ref="L4:L33" si="1">J4+K4</f>
        <v>8</v>
      </c>
      <c r="M4" s="17" t="s">
        <v>41</v>
      </c>
      <c r="N4" s="19"/>
      <c r="O4" s="19"/>
      <c r="P4" s="19">
        <v>0</v>
      </c>
      <c r="Q4" s="19">
        <v>0</v>
      </c>
      <c r="R4" s="19">
        <v>0</v>
      </c>
      <c r="S4" s="19"/>
      <c r="T4" s="19">
        <f t="shared" ref="T4:T33" si="2">U4+V4+W4</f>
        <v>4484</v>
      </c>
      <c r="U4" s="19">
        <v>0</v>
      </c>
      <c r="V4" s="19">
        <v>3</v>
      </c>
      <c r="W4" s="19">
        <v>4481</v>
      </c>
      <c r="X4" s="19">
        <f t="shared" ref="X4:X33" si="3">Y4+Z4+AA4</f>
        <v>4182</v>
      </c>
      <c r="Y4" s="21">
        <v>0</v>
      </c>
      <c r="Z4" s="21">
        <v>0</v>
      </c>
      <c r="AA4" s="21">
        <v>4182</v>
      </c>
      <c r="AB4" s="19">
        <v>0</v>
      </c>
      <c r="AC4" s="19">
        <v>0</v>
      </c>
      <c r="AD4" s="19">
        <v>0</v>
      </c>
      <c r="AE4" s="19">
        <v>0</v>
      </c>
      <c r="AF4" s="19">
        <f>AC4-AD4-AE4</f>
        <v>0</v>
      </c>
      <c r="AG4" s="22"/>
    </row>
    <row r="5" spans="1:33" ht="15.75" customHeight="1">
      <c r="A5" s="23">
        <v>45810</v>
      </c>
      <c r="B5" s="24" t="s">
        <v>44</v>
      </c>
      <c r="C5" s="10">
        <v>3</v>
      </c>
      <c r="D5" s="10">
        <v>2</v>
      </c>
      <c r="E5" s="11">
        <v>7</v>
      </c>
      <c r="F5" s="11">
        <v>4</v>
      </c>
      <c r="G5" s="11">
        <v>2</v>
      </c>
      <c r="H5" s="10">
        <v>2</v>
      </c>
      <c r="I5" s="13">
        <f t="shared" si="0"/>
        <v>20</v>
      </c>
      <c r="J5" s="10">
        <v>7</v>
      </c>
      <c r="K5" s="10">
        <v>40.5</v>
      </c>
      <c r="L5" s="15">
        <f t="shared" si="1"/>
        <v>47.5</v>
      </c>
      <c r="M5" s="17" t="s">
        <v>46</v>
      </c>
      <c r="N5" s="19">
        <v>20</v>
      </c>
      <c r="O5" s="19"/>
      <c r="P5" s="19">
        <v>7</v>
      </c>
      <c r="Q5" s="19">
        <v>15</v>
      </c>
      <c r="R5" s="19">
        <v>180</v>
      </c>
      <c r="S5" s="19" t="s">
        <v>47</v>
      </c>
      <c r="T5" s="19">
        <f t="shared" si="2"/>
        <v>18464</v>
      </c>
      <c r="U5" s="19">
        <v>0</v>
      </c>
      <c r="V5" s="19">
        <v>10</v>
      </c>
      <c r="W5" s="19">
        <v>18454</v>
      </c>
      <c r="X5" s="19">
        <f t="shared" si="3"/>
        <v>8508</v>
      </c>
      <c r="Y5" s="21">
        <v>2346</v>
      </c>
      <c r="Z5" s="21">
        <v>48</v>
      </c>
      <c r="AA5" s="21">
        <v>6114</v>
      </c>
      <c r="AB5" s="19">
        <v>56</v>
      </c>
      <c r="AC5" s="19">
        <v>0</v>
      </c>
      <c r="AD5" s="19">
        <v>0</v>
      </c>
      <c r="AE5" s="19">
        <v>0</v>
      </c>
      <c r="AF5" s="19">
        <f t="shared" ref="AF5:AF33" si="4">AF4+AC5-AD5-AE5</f>
        <v>0</v>
      </c>
      <c r="AG5" s="22"/>
    </row>
    <row r="6" spans="1:33" ht="15.75" customHeight="1">
      <c r="A6" s="23">
        <v>45811</v>
      </c>
      <c r="B6" s="24" t="s">
        <v>38</v>
      </c>
      <c r="C6" s="10">
        <v>3</v>
      </c>
      <c r="D6" s="10">
        <v>2</v>
      </c>
      <c r="E6" s="11">
        <v>7</v>
      </c>
      <c r="F6" s="11">
        <v>4</v>
      </c>
      <c r="G6" s="11">
        <v>2</v>
      </c>
      <c r="H6" s="10">
        <v>2</v>
      </c>
      <c r="I6" s="13">
        <f t="shared" si="0"/>
        <v>20</v>
      </c>
      <c r="J6" s="10">
        <v>7</v>
      </c>
      <c r="K6" s="10">
        <v>21</v>
      </c>
      <c r="L6" s="15">
        <f t="shared" si="1"/>
        <v>28</v>
      </c>
      <c r="M6" s="17" t="s">
        <v>46</v>
      </c>
      <c r="N6" s="19"/>
      <c r="O6" s="19"/>
      <c r="P6" s="19">
        <v>0</v>
      </c>
      <c r="Q6" s="19">
        <v>0</v>
      </c>
      <c r="R6" s="19">
        <v>0</v>
      </c>
      <c r="S6" s="19"/>
      <c r="T6" s="19">
        <f t="shared" si="2"/>
        <v>8346</v>
      </c>
      <c r="U6" s="19">
        <v>0</v>
      </c>
      <c r="V6" s="19">
        <v>0</v>
      </c>
      <c r="W6" s="19">
        <v>8346</v>
      </c>
      <c r="X6" s="19">
        <f t="shared" si="3"/>
        <v>4039</v>
      </c>
      <c r="Y6" s="21">
        <v>0</v>
      </c>
      <c r="Z6" s="21">
        <v>0</v>
      </c>
      <c r="AA6" s="21">
        <v>4039</v>
      </c>
      <c r="AB6" s="19">
        <v>0</v>
      </c>
      <c r="AC6" s="19">
        <v>0</v>
      </c>
      <c r="AD6" s="19">
        <v>0</v>
      </c>
      <c r="AE6" s="19">
        <v>0</v>
      </c>
      <c r="AF6" s="19">
        <f t="shared" si="4"/>
        <v>0</v>
      </c>
      <c r="AG6" s="22"/>
    </row>
    <row r="7" spans="1:33" ht="15.75" customHeight="1">
      <c r="A7" s="23">
        <v>45812</v>
      </c>
      <c r="B7" s="24" t="s">
        <v>45</v>
      </c>
      <c r="C7" s="10">
        <v>3</v>
      </c>
      <c r="D7" s="10">
        <v>2</v>
      </c>
      <c r="E7" s="11">
        <v>7</v>
      </c>
      <c r="F7" s="11">
        <v>5</v>
      </c>
      <c r="G7" s="11">
        <v>2</v>
      </c>
      <c r="H7" s="10">
        <v>2</v>
      </c>
      <c r="I7" s="13">
        <f t="shared" si="0"/>
        <v>21</v>
      </c>
      <c r="J7" s="10">
        <v>7</v>
      </c>
      <c r="K7" s="10">
        <v>43</v>
      </c>
      <c r="L7" s="15">
        <f t="shared" si="1"/>
        <v>50</v>
      </c>
      <c r="M7" s="17" t="s">
        <v>46</v>
      </c>
      <c r="N7" s="19">
        <v>21</v>
      </c>
      <c r="O7" s="19"/>
      <c r="P7" s="19">
        <v>7</v>
      </c>
      <c r="Q7" s="19">
        <v>38</v>
      </c>
      <c r="R7" s="19">
        <v>180</v>
      </c>
      <c r="S7" s="19" t="s">
        <v>47</v>
      </c>
      <c r="T7" s="19">
        <f t="shared" si="2"/>
        <v>28227</v>
      </c>
      <c r="U7" s="19">
        <v>0</v>
      </c>
      <c r="V7" s="19">
        <v>22</v>
      </c>
      <c r="W7" s="19">
        <v>28205</v>
      </c>
      <c r="X7" s="19">
        <f t="shared" si="3"/>
        <v>7787</v>
      </c>
      <c r="Y7" s="21">
        <v>1657</v>
      </c>
      <c r="Z7" s="21">
        <v>47</v>
      </c>
      <c r="AA7" s="21">
        <v>6083</v>
      </c>
      <c r="AB7" s="19">
        <v>2</v>
      </c>
      <c r="AC7" s="19">
        <v>0</v>
      </c>
      <c r="AD7" s="19">
        <v>0</v>
      </c>
      <c r="AE7" s="19">
        <v>0</v>
      </c>
      <c r="AF7" s="19">
        <f t="shared" si="4"/>
        <v>0</v>
      </c>
      <c r="AG7" s="22"/>
    </row>
    <row r="8" spans="1:33" ht="15.75" customHeight="1">
      <c r="A8" s="23">
        <v>45813</v>
      </c>
      <c r="B8" s="24" t="s">
        <v>32</v>
      </c>
      <c r="C8" s="10">
        <v>3</v>
      </c>
      <c r="D8" s="10">
        <v>2</v>
      </c>
      <c r="E8" s="11">
        <v>7</v>
      </c>
      <c r="F8" s="11">
        <v>5</v>
      </c>
      <c r="G8" s="11">
        <v>2</v>
      </c>
      <c r="H8" s="10">
        <v>2</v>
      </c>
      <c r="I8" s="13">
        <f t="shared" si="0"/>
        <v>21</v>
      </c>
      <c r="J8" s="10">
        <v>7</v>
      </c>
      <c r="K8" s="10">
        <v>44.5</v>
      </c>
      <c r="L8" s="15">
        <f t="shared" si="1"/>
        <v>51.5</v>
      </c>
      <c r="M8" s="17" t="s">
        <v>46</v>
      </c>
      <c r="N8" s="19">
        <v>21</v>
      </c>
      <c r="O8" s="19"/>
      <c r="P8" s="19">
        <v>7</v>
      </c>
      <c r="Q8" s="19">
        <v>38</v>
      </c>
      <c r="R8" s="19">
        <v>180</v>
      </c>
      <c r="S8" s="19" t="s">
        <v>47</v>
      </c>
      <c r="T8" s="19">
        <f t="shared" si="2"/>
        <v>30920</v>
      </c>
      <c r="U8" s="19">
        <v>0</v>
      </c>
      <c r="V8" s="19">
        <v>66</v>
      </c>
      <c r="W8" s="19">
        <v>30854</v>
      </c>
      <c r="X8" s="19">
        <f t="shared" si="3"/>
        <v>6902</v>
      </c>
      <c r="Y8" s="21">
        <v>976</v>
      </c>
      <c r="Z8" s="21">
        <v>11</v>
      </c>
      <c r="AA8" s="21">
        <v>5915</v>
      </c>
      <c r="AB8" s="19">
        <v>13</v>
      </c>
      <c r="AC8" s="19">
        <v>0</v>
      </c>
      <c r="AD8" s="19">
        <v>0</v>
      </c>
      <c r="AE8" s="19">
        <v>0</v>
      </c>
      <c r="AF8" s="19">
        <f t="shared" si="4"/>
        <v>0</v>
      </c>
      <c r="AG8" s="22"/>
    </row>
    <row r="9" spans="1:33" ht="15.75" customHeight="1">
      <c r="A9" s="23">
        <v>45814</v>
      </c>
      <c r="B9" s="24" t="s">
        <v>42</v>
      </c>
      <c r="C9" s="10">
        <v>3</v>
      </c>
      <c r="D9" s="10">
        <v>2</v>
      </c>
      <c r="E9" s="11">
        <v>7</v>
      </c>
      <c r="F9" s="11">
        <v>4</v>
      </c>
      <c r="G9" s="11">
        <v>2</v>
      </c>
      <c r="H9" s="10">
        <v>1</v>
      </c>
      <c r="I9" s="13">
        <f t="shared" si="0"/>
        <v>19</v>
      </c>
      <c r="J9" s="10">
        <v>7</v>
      </c>
      <c r="K9" s="10">
        <v>33</v>
      </c>
      <c r="L9" s="15">
        <f t="shared" si="1"/>
        <v>40</v>
      </c>
      <c r="M9" s="17" t="s">
        <v>46</v>
      </c>
      <c r="N9" s="19">
        <v>0</v>
      </c>
      <c r="O9" s="19"/>
      <c r="P9" s="19">
        <v>0</v>
      </c>
      <c r="Q9" s="19">
        <v>0</v>
      </c>
      <c r="R9" s="19">
        <v>0</v>
      </c>
      <c r="S9" s="19"/>
      <c r="T9" s="19">
        <f t="shared" si="2"/>
        <v>8461</v>
      </c>
      <c r="U9" s="19">
        <v>0</v>
      </c>
      <c r="V9" s="19">
        <v>46</v>
      </c>
      <c r="W9" s="19">
        <v>8415</v>
      </c>
      <c r="X9" s="19">
        <f t="shared" si="3"/>
        <v>3752</v>
      </c>
      <c r="Y9" s="21">
        <v>0</v>
      </c>
      <c r="Z9" s="21">
        <v>0</v>
      </c>
      <c r="AA9" s="21">
        <v>3752</v>
      </c>
      <c r="AB9" s="19">
        <v>0</v>
      </c>
      <c r="AC9" s="19">
        <v>0</v>
      </c>
      <c r="AD9" s="19">
        <v>0</v>
      </c>
      <c r="AE9" s="19">
        <v>0</v>
      </c>
      <c r="AF9" s="19">
        <f t="shared" si="4"/>
        <v>0</v>
      </c>
      <c r="AG9" s="22"/>
    </row>
    <row r="10" spans="1:33" ht="15.75" customHeight="1">
      <c r="A10" s="23">
        <v>45815</v>
      </c>
      <c r="B10" s="24" t="s">
        <v>39</v>
      </c>
      <c r="C10" s="10">
        <v>3</v>
      </c>
      <c r="D10" s="10">
        <v>2</v>
      </c>
      <c r="E10" s="11">
        <v>7</v>
      </c>
      <c r="F10" s="11">
        <v>4</v>
      </c>
      <c r="G10" s="11">
        <v>2</v>
      </c>
      <c r="H10" s="10">
        <v>2</v>
      </c>
      <c r="I10" s="13">
        <f t="shared" si="0"/>
        <v>20</v>
      </c>
      <c r="J10" s="10">
        <v>6.5</v>
      </c>
      <c r="K10" s="10">
        <v>1</v>
      </c>
      <c r="L10" s="15">
        <f t="shared" si="1"/>
        <v>7.5</v>
      </c>
      <c r="M10" s="17" t="s">
        <v>41</v>
      </c>
      <c r="N10" s="19">
        <v>0</v>
      </c>
      <c r="O10" s="19"/>
      <c r="P10" s="19">
        <v>0</v>
      </c>
      <c r="Q10" s="19">
        <v>0</v>
      </c>
      <c r="R10" s="19">
        <v>0</v>
      </c>
      <c r="S10" s="19"/>
      <c r="T10" s="19">
        <f t="shared" si="2"/>
        <v>6145</v>
      </c>
      <c r="U10" s="19">
        <v>0</v>
      </c>
      <c r="V10" s="19">
        <v>41</v>
      </c>
      <c r="W10" s="19">
        <v>6104</v>
      </c>
      <c r="X10" s="19">
        <f t="shared" si="3"/>
        <v>1664</v>
      </c>
      <c r="Y10" s="21">
        <v>0</v>
      </c>
      <c r="Z10" s="21">
        <v>1</v>
      </c>
      <c r="AA10" s="21">
        <v>1663</v>
      </c>
      <c r="AB10" s="19">
        <v>0</v>
      </c>
      <c r="AC10" s="19">
        <v>0</v>
      </c>
      <c r="AD10" s="19">
        <v>0</v>
      </c>
      <c r="AE10" s="19">
        <v>0</v>
      </c>
      <c r="AF10" s="19">
        <f t="shared" si="4"/>
        <v>0</v>
      </c>
      <c r="AG10" s="22"/>
    </row>
    <row r="11" spans="1:33" ht="15.75" customHeight="1">
      <c r="A11" s="23">
        <v>45816</v>
      </c>
      <c r="B11" s="24" t="s">
        <v>37</v>
      </c>
      <c r="C11" s="10">
        <v>3</v>
      </c>
      <c r="D11" s="10">
        <v>2</v>
      </c>
      <c r="E11" s="11">
        <v>7</v>
      </c>
      <c r="F11" s="11">
        <v>4</v>
      </c>
      <c r="G11" s="11">
        <v>2</v>
      </c>
      <c r="H11" s="10">
        <v>2</v>
      </c>
      <c r="I11" s="13">
        <f t="shared" si="0"/>
        <v>20</v>
      </c>
      <c r="J11" s="10">
        <v>5</v>
      </c>
      <c r="K11" s="10">
        <v>1</v>
      </c>
      <c r="L11" s="15">
        <f t="shared" si="1"/>
        <v>6</v>
      </c>
      <c r="M11" s="17" t="s">
        <v>41</v>
      </c>
      <c r="N11" s="19">
        <v>0</v>
      </c>
      <c r="O11" s="19"/>
      <c r="P11" s="19">
        <v>0</v>
      </c>
      <c r="Q11" s="19">
        <v>0</v>
      </c>
      <c r="R11" s="19">
        <v>0</v>
      </c>
      <c r="S11" s="19"/>
      <c r="T11" s="19">
        <f t="shared" si="2"/>
        <v>3290</v>
      </c>
      <c r="U11" s="19">
        <v>0</v>
      </c>
      <c r="V11" s="19">
        <v>0</v>
      </c>
      <c r="W11" s="19">
        <v>3290</v>
      </c>
      <c r="X11" s="19">
        <f t="shared" si="3"/>
        <v>1407</v>
      </c>
      <c r="Y11" s="21">
        <v>0</v>
      </c>
      <c r="Z11" s="21">
        <v>0</v>
      </c>
      <c r="AA11" s="21">
        <v>1407</v>
      </c>
      <c r="AB11" s="19">
        <v>0</v>
      </c>
      <c r="AC11" s="19">
        <v>0</v>
      </c>
      <c r="AD11" s="19">
        <v>0</v>
      </c>
      <c r="AE11" s="19">
        <v>0</v>
      </c>
      <c r="AF11" s="19">
        <f t="shared" si="4"/>
        <v>0</v>
      </c>
      <c r="AG11" s="34"/>
    </row>
    <row r="12" spans="1:33" ht="15.75" customHeight="1">
      <c r="A12" s="23">
        <v>45817</v>
      </c>
      <c r="B12" s="24" t="s">
        <v>44</v>
      </c>
      <c r="C12" s="10">
        <v>3</v>
      </c>
      <c r="D12" s="10">
        <v>2</v>
      </c>
      <c r="E12" s="11">
        <v>7</v>
      </c>
      <c r="F12" s="11">
        <v>4</v>
      </c>
      <c r="G12" s="11">
        <v>2</v>
      </c>
      <c r="H12" s="10">
        <v>2</v>
      </c>
      <c r="I12" s="13">
        <f t="shared" si="0"/>
        <v>20</v>
      </c>
      <c r="J12" s="10">
        <v>7</v>
      </c>
      <c r="K12" s="10">
        <v>23</v>
      </c>
      <c r="L12" s="15">
        <f t="shared" si="1"/>
        <v>30</v>
      </c>
      <c r="M12" s="17" t="s">
        <v>46</v>
      </c>
      <c r="N12" s="19">
        <v>20</v>
      </c>
      <c r="O12" s="19"/>
      <c r="P12" s="19">
        <v>6</v>
      </c>
      <c r="Q12" s="19">
        <v>23</v>
      </c>
      <c r="R12" s="19">
        <v>180</v>
      </c>
      <c r="S12" s="19" t="s">
        <v>47</v>
      </c>
      <c r="T12" s="19">
        <f t="shared" si="2"/>
        <v>15305</v>
      </c>
      <c r="U12" s="19">
        <v>0</v>
      </c>
      <c r="V12" s="19">
        <v>161</v>
      </c>
      <c r="W12" s="19">
        <v>15144</v>
      </c>
      <c r="X12" s="19">
        <f t="shared" si="3"/>
        <v>8479</v>
      </c>
      <c r="Y12" s="21">
        <v>2868</v>
      </c>
      <c r="Z12" s="21">
        <v>199</v>
      </c>
      <c r="AA12" s="21">
        <v>5412</v>
      </c>
      <c r="AB12" s="19">
        <v>3</v>
      </c>
      <c r="AC12" s="19">
        <v>0</v>
      </c>
      <c r="AD12" s="19">
        <v>0</v>
      </c>
      <c r="AE12" s="19">
        <v>0</v>
      </c>
      <c r="AF12" s="19">
        <f t="shared" si="4"/>
        <v>0</v>
      </c>
      <c r="AG12" s="22"/>
    </row>
    <row r="13" spans="1:33" ht="15.75" customHeight="1">
      <c r="A13" s="23">
        <v>45818</v>
      </c>
      <c r="B13" s="24" t="s">
        <v>38</v>
      </c>
      <c r="C13" s="10">
        <v>3</v>
      </c>
      <c r="D13" s="10">
        <v>2</v>
      </c>
      <c r="E13" s="11">
        <v>7</v>
      </c>
      <c r="F13" s="11">
        <v>4</v>
      </c>
      <c r="G13" s="11">
        <v>2</v>
      </c>
      <c r="H13" s="10">
        <v>2</v>
      </c>
      <c r="I13" s="13">
        <f t="shared" si="0"/>
        <v>20</v>
      </c>
      <c r="J13" s="10">
        <v>7</v>
      </c>
      <c r="K13" s="10">
        <v>38</v>
      </c>
      <c r="L13" s="15">
        <f t="shared" si="1"/>
        <v>45</v>
      </c>
      <c r="M13" s="17" t="s">
        <v>46</v>
      </c>
      <c r="N13" s="19">
        <v>20</v>
      </c>
      <c r="O13" s="19"/>
      <c r="P13" s="19">
        <v>6</v>
      </c>
      <c r="Q13" s="19">
        <v>37</v>
      </c>
      <c r="R13" s="19">
        <v>180</v>
      </c>
      <c r="S13" s="19" t="s">
        <v>47</v>
      </c>
      <c r="T13" s="19">
        <f t="shared" si="2"/>
        <v>31244</v>
      </c>
      <c r="U13" s="19">
        <v>0</v>
      </c>
      <c r="V13" s="19">
        <v>50</v>
      </c>
      <c r="W13" s="19">
        <v>31194</v>
      </c>
      <c r="X13" s="19">
        <f t="shared" si="3"/>
        <v>7406</v>
      </c>
      <c r="Y13" s="21">
        <v>905</v>
      </c>
      <c r="Z13" s="21">
        <v>55</v>
      </c>
      <c r="AA13" s="21">
        <v>6446</v>
      </c>
      <c r="AB13" s="19">
        <v>5</v>
      </c>
      <c r="AC13" s="19">
        <v>0</v>
      </c>
      <c r="AD13" s="19">
        <v>0</v>
      </c>
      <c r="AE13" s="19">
        <v>0</v>
      </c>
      <c r="AF13" s="19">
        <f t="shared" si="4"/>
        <v>0</v>
      </c>
      <c r="AG13" s="22"/>
    </row>
    <row r="14" spans="1:33" ht="15.75" customHeight="1">
      <c r="A14" s="23">
        <v>45819</v>
      </c>
      <c r="B14" s="24" t="s">
        <v>45</v>
      </c>
      <c r="C14" s="10">
        <v>3</v>
      </c>
      <c r="D14" s="10">
        <v>2</v>
      </c>
      <c r="E14" s="11">
        <v>7</v>
      </c>
      <c r="F14" s="11">
        <v>4</v>
      </c>
      <c r="G14" s="11">
        <v>2</v>
      </c>
      <c r="H14" s="10">
        <v>2</v>
      </c>
      <c r="I14" s="13">
        <f t="shared" si="0"/>
        <v>20</v>
      </c>
      <c r="J14" s="10">
        <v>7</v>
      </c>
      <c r="K14" s="10">
        <v>36</v>
      </c>
      <c r="L14" s="15">
        <f t="shared" si="1"/>
        <v>43</v>
      </c>
      <c r="M14" s="17" t="s">
        <v>46</v>
      </c>
      <c r="N14" s="19">
        <v>0</v>
      </c>
      <c r="O14" s="19"/>
      <c r="P14" s="19">
        <v>0</v>
      </c>
      <c r="Q14" s="19">
        <v>0</v>
      </c>
      <c r="R14" s="19">
        <v>0</v>
      </c>
      <c r="S14" s="19"/>
      <c r="T14" s="19">
        <f t="shared" si="2"/>
        <v>15262</v>
      </c>
      <c r="U14" s="19">
        <v>0</v>
      </c>
      <c r="V14" s="19">
        <v>78</v>
      </c>
      <c r="W14" s="19">
        <v>15184</v>
      </c>
      <c r="X14" s="19">
        <f t="shared" si="3"/>
        <v>3662</v>
      </c>
      <c r="Y14" s="21">
        <v>866</v>
      </c>
      <c r="Z14" s="21">
        <v>22</v>
      </c>
      <c r="AA14" s="21">
        <v>2774</v>
      </c>
      <c r="AB14" s="19">
        <v>0</v>
      </c>
      <c r="AC14" s="19">
        <v>0</v>
      </c>
      <c r="AD14" s="19">
        <v>0</v>
      </c>
      <c r="AE14" s="19">
        <v>0</v>
      </c>
      <c r="AF14" s="19">
        <f t="shared" si="4"/>
        <v>0</v>
      </c>
      <c r="AG14" s="22"/>
    </row>
    <row r="15" spans="1:33" ht="15.75" customHeight="1">
      <c r="A15" s="23">
        <v>45820</v>
      </c>
      <c r="B15" s="24" t="s">
        <v>32</v>
      </c>
      <c r="C15" s="10">
        <v>3</v>
      </c>
      <c r="D15" s="10">
        <v>2</v>
      </c>
      <c r="E15" s="11">
        <v>7</v>
      </c>
      <c r="F15" s="11">
        <v>4</v>
      </c>
      <c r="G15" s="11">
        <v>2</v>
      </c>
      <c r="H15" s="10">
        <v>2</v>
      </c>
      <c r="I15" s="13">
        <f t="shared" si="0"/>
        <v>20</v>
      </c>
      <c r="J15" s="10">
        <v>5.5</v>
      </c>
      <c r="K15" s="10">
        <v>26</v>
      </c>
      <c r="L15" s="15">
        <f t="shared" si="1"/>
        <v>31.5</v>
      </c>
      <c r="M15" s="17" t="s">
        <v>46</v>
      </c>
      <c r="N15" s="19">
        <v>20</v>
      </c>
      <c r="O15" s="19"/>
      <c r="P15" s="19">
        <v>4</v>
      </c>
      <c r="Q15" s="19">
        <v>24</v>
      </c>
      <c r="R15" s="19">
        <v>180</v>
      </c>
      <c r="S15" s="19" t="s">
        <v>47</v>
      </c>
      <c r="T15" s="19">
        <f t="shared" si="2"/>
        <v>15450</v>
      </c>
      <c r="U15" s="19">
        <v>0</v>
      </c>
      <c r="V15" s="19">
        <v>64</v>
      </c>
      <c r="W15" s="19">
        <v>15386</v>
      </c>
      <c r="X15" s="19">
        <f t="shared" si="3"/>
        <v>4842</v>
      </c>
      <c r="Y15" s="21">
        <v>1732</v>
      </c>
      <c r="Z15" s="21">
        <v>17</v>
      </c>
      <c r="AA15" s="21">
        <v>3093</v>
      </c>
      <c r="AB15" s="19">
        <v>3</v>
      </c>
      <c r="AC15" s="19">
        <v>0</v>
      </c>
      <c r="AD15" s="19">
        <v>0</v>
      </c>
      <c r="AE15" s="19">
        <v>0</v>
      </c>
      <c r="AF15" s="19">
        <f t="shared" si="4"/>
        <v>0</v>
      </c>
      <c r="AG15" s="22"/>
    </row>
    <row r="16" spans="1:33" ht="15.75" customHeight="1">
      <c r="A16" s="23">
        <v>45821</v>
      </c>
      <c r="B16" s="24" t="s">
        <v>42</v>
      </c>
      <c r="C16" s="10">
        <v>3</v>
      </c>
      <c r="D16" s="10">
        <v>2</v>
      </c>
      <c r="E16" s="11">
        <v>7</v>
      </c>
      <c r="F16" s="11">
        <v>4</v>
      </c>
      <c r="G16" s="11">
        <v>2</v>
      </c>
      <c r="H16" s="10">
        <v>2</v>
      </c>
      <c r="I16" s="13">
        <f t="shared" si="0"/>
        <v>20</v>
      </c>
      <c r="J16" s="10">
        <v>7</v>
      </c>
      <c r="K16" s="10">
        <v>24</v>
      </c>
      <c r="L16" s="15">
        <f t="shared" si="1"/>
        <v>31</v>
      </c>
      <c r="M16" s="17" t="s">
        <v>46</v>
      </c>
      <c r="N16" s="19">
        <v>20</v>
      </c>
      <c r="O16" s="19"/>
      <c r="P16" s="19">
        <v>7</v>
      </c>
      <c r="Q16" s="19">
        <v>20</v>
      </c>
      <c r="R16" s="19">
        <v>90</v>
      </c>
      <c r="S16" s="19" t="s">
        <v>47</v>
      </c>
      <c r="T16" s="19">
        <f t="shared" si="2"/>
        <v>15035</v>
      </c>
      <c r="U16" s="19">
        <v>0</v>
      </c>
      <c r="V16" s="19">
        <v>49</v>
      </c>
      <c r="W16" s="19">
        <v>14986</v>
      </c>
      <c r="X16" s="19">
        <f t="shared" si="3"/>
        <v>5969</v>
      </c>
      <c r="Y16" s="21">
        <v>840</v>
      </c>
      <c r="Z16" s="21">
        <v>23</v>
      </c>
      <c r="AA16" s="21">
        <v>5106</v>
      </c>
      <c r="AB16" s="19">
        <v>58</v>
      </c>
      <c r="AC16" s="19">
        <v>0</v>
      </c>
      <c r="AD16" s="19">
        <v>0</v>
      </c>
      <c r="AE16" s="19">
        <v>0</v>
      </c>
      <c r="AF16" s="19">
        <f t="shared" si="4"/>
        <v>0</v>
      </c>
      <c r="AG16" s="22"/>
    </row>
    <row r="17" spans="1:33" ht="15.75" customHeight="1">
      <c r="A17" s="8">
        <v>45822</v>
      </c>
      <c r="B17" s="9" t="s">
        <v>39</v>
      </c>
      <c r="C17" s="10">
        <v>3</v>
      </c>
      <c r="D17" s="10">
        <v>2</v>
      </c>
      <c r="E17" s="11">
        <v>7</v>
      </c>
      <c r="F17" s="11">
        <v>4</v>
      </c>
      <c r="G17" s="11">
        <v>2</v>
      </c>
      <c r="H17" s="10">
        <v>2</v>
      </c>
      <c r="I17" s="13">
        <f t="shared" si="0"/>
        <v>20</v>
      </c>
      <c r="J17" s="10">
        <v>5</v>
      </c>
      <c r="K17" s="10">
        <v>1</v>
      </c>
      <c r="L17" s="15">
        <f t="shared" si="1"/>
        <v>6</v>
      </c>
      <c r="M17" s="17" t="s">
        <v>41</v>
      </c>
      <c r="N17" s="19">
        <v>0</v>
      </c>
      <c r="O17" s="19"/>
      <c r="P17" s="19">
        <v>0</v>
      </c>
      <c r="Q17" s="19">
        <v>0</v>
      </c>
      <c r="R17" s="19">
        <v>0</v>
      </c>
      <c r="S17" s="19"/>
      <c r="T17" s="19">
        <f t="shared" si="2"/>
        <v>7081</v>
      </c>
      <c r="U17" s="19">
        <v>0</v>
      </c>
      <c r="V17" s="19">
        <v>23</v>
      </c>
      <c r="W17" s="19">
        <v>7058</v>
      </c>
      <c r="X17" s="19">
        <f t="shared" si="3"/>
        <v>453</v>
      </c>
      <c r="Y17" s="21">
        <v>1</v>
      </c>
      <c r="Z17" s="21">
        <v>0</v>
      </c>
      <c r="AA17" s="21">
        <v>452</v>
      </c>
      <c r="AB17" s="19">
        <v>0</v>
      </c>
      <c r="AC17" s="19">
        <v>0</v>
      </c>
      <c r="AD17" s="19">
        <v>0</v>
      </c>
      <c r="AE17" s="19">
        <v>0</v>
      </c>
      <c r="AF17" s="19">
        <f t="shared" si="4"/>
        <v>0</v>
      </c>
      <c r="AG17" s="22"/>
    </row>
    <row r="18" spans="1:33" ht="15.75" customHeight="1">
      <c r="A18" s="8">
        <v>45823</v>
      </c>
      <c r="B18" s="9" t="s">
        <v>37</v>
      </c>
      <c r="C18" s="10">
        <v>2</v>
      </c>
      <c r="D18" s="10">
        <v>0</v>
      </c>
      <c r="E18" s="11">
        <v>1</v>
      </c>
      <c r="F18" s="11">
        <v>1</v>
      </c>
      <c r="G18" s="11">
        <v>0</v>
      </c>
      <c r="H18" s="10">
        <v>0</v>
      </c>
      <c r="I18" s="13">
        <f t="shared" si="0"/>
        <v>4</v>
      </c>
      <c r="J18" s="10">
        <v>0</v>
      </c>
      <c r="K18" s="10">
        <v>0</v>
      </c>
      <c r="L18" s="15">
        <f t="shared" si="1"/>
        <v>0</v>
      </c>
      <c r="M18" s="17"/>
      <c r="N18" s="19">
        <v>0</v>
      </c>
      <c r="O18" s="19"/>
      <c r="P18" s="19">
        <v>0</v>
      </c>
      <c r="Q18" s="19">
        <v>0</v>
      </c>
      <c r="R18" s="19">
        <v>0</v>
      </c>
      <c r="S18" s="19"/>
      <c r="T18" s="19">
        <f t="shared" si="2"/>
        <v>0</v>
      </c>
      <c r="U18" s="19">
        <v>0</v>
      </c>
      <c r="V18" s="19">
        <v>0</v>
      </c>
      <c r="W18" s="19">
        <v>0</v>
      </c>
      <c r="X18" s="19">
        <f t="shared" si="3"/>
        <v>0</v>
      </c>
      <c r="Y18" s="21">
        <v>0</v>
      </c>
      <c r="Z18" s="21">
        <v>0</v>
      </c>
      <c r="AA18" s="21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f t="shared" si="4"/>
        <v>0</v>
      </c>
      <c r="AG18" s="22"/>
    </row>
    <row r="19" spans="1:33" ht="15.75" customHeight="1">
      <c r="A19" s="8">
        <v>45824</v>
      </c>
      <c r="B19" s="9" t="s">
        <v>44</v>
      </c>
      <c r="C19" s="10">
        <v>3</v>
      </c>
      <c r="D19" s="10">
        <v>1</v>
      </c>
      <c r="E19" s="11">
        <v>7</v>
      </c>
      <c r="F19" s="11">
        <v>4</v>
      </c>
      <c r="G19" s="11">
        <v>2</v>
      </c>
      <c r="H19" s="10">
        <v>2</v>
      </c>
      <c r="I19" s="13">
        <f t="shared" si="0"/>
        <v>19</v>
      </c>
      <c r="J19" s="10">
        <v>7</v>
      </c>
      <c r="K19" s="10">
        <v>16</v>
      </c>
      <c r="L19" s="15">
        <f t="shared" si="1"/>
        <v>23</v>
      </c>
      <c r="M19" s="17"/>
      <c r="N19" s="19">
        <v>19</v>
      </c>
      <c r="O19" s="19"/>
      <c r="P19" s="19">
        <v>7</v>
      </c>
      <c r="Q19" s="19">
        <v>14</v>
      </c>
      <c r="R19" s="19">
        <v>120</v>
      </c>
      <c r="S19" s="19" t="s">
        <v>47</v>
      </c>
      <c r="T19" s="19">
        <f t="shared" si="2"/>
        <v>10943</v>
      </c>
      <c r="U19" s="19">
        <v>0</v>
      </c>
      <c r="V19" s="19">
        <v>87</v>
      </c>
      <c r="W19" s="19">
        <v>10856</v>
      </c>
      <c r="X19" s="19">
        <f t="shared" si="3"/>
        <v>3575</v>
      </c>
      <c r="Y19" s="19">
        <v>3061</v>
      </c>
      <c r="Z19" s="19">
        <v>144</v>
      </c>
      <c r="AA19" s="19">
        <v>370</v>
      </c>
      <c r="AB19" s="19">
        <v>4</v>
      </c>
      <c r="AC19" s="19">
        <v>0</v>
      </c>
      <c r="AD19" s="19">
        <v>0</v>
      </c>
      <c r="AE19" s="19">
        <v>0</v>
      </c>
      <c r="AF19" s="19">
        <f t="shared" si="4"/>
        <v>0</v>
      </c>
      <c r="AG19" s="22"/>
    </row>
    <row r="20" spans="1:33" ht="15.75" customHeight="1">
      <c r="A20" s="8">
        <v>45825</v>
      </c>
      <c r="B20" s="9" t="s">
        <v>38</v>
      </c>
      <c r="C20" s="10">
        <v>3</v>
      </c>
      <c r="D20" s="10">
        <v>2</v>
      </c>
      <c r="E20" s="11">
        <v>7</v>
      </c>
      <c r="F20" s="11">
        <v>3</v>
      </c>
      <c r="G20" s="11">
        <v>2</v>
      </c>
      <c r="H20" s="11">
        <v>2</v>
      </c>
      <c r="I20" s="13">
        <f t="shared" si="0"/>
        <v>19</v>
      </c>
      <c r="J20" s="10">
        <v>7</v>
      </c>
      <c r="K20" s="11">
        <v>15</v>
      </c>
      <c r="L20" s="15">
        <f t="shared" si="1"/>
        <v>22</v>
      </c>
      <c r="M20" s="37"/>
      <c r="N20" s="19">
        <v>0</v>
      </c>
      <c r="O20" s="19"/>
      <c r="P20" s="19">
        <v>0</v>
      </c>
      <c r="Q20" s="19">
        <v>0</v>
      </c>
      <c r="R20" s="19">
        <v>0</v>
      </c>
      <c r="S20" s="19"/>
      <c r="T20" s="19">
        <f t="shared" si="2"/>
        <v>7893</v>
      </c>
      <c r="U20" s="19">
        <v>0</v>
      </c>
      <c r="V20" s="19">
        <v>183</v>
      </c>
      <c r="W20" s="19">
        <v>7710</v>
      </c>
      <c r="X20" s="19">
        <f t="shared" si="3"/>
        <v>3457</v>
      </c>
      <c r="Y20" s="19">
        <v>1011</v>
      </c>
      <c r="Z20" s="19">
        <v>85</v>
      </c>
      <c r="AA20" s="19">
        <v>2361</v>
      </c>
      <c r="AB20" s="19">
        <v>1</v>
      </c>
      <c r="AC20" s="19">
        <v>0</v>
      </c>
      <c r="AD20" s="19">
        <v>0</v>
      </c>
      <c r="AE20" s="19">
        <v>0</v>
      </c>
      <c r="AF20" s="19">
        <f t="shared" si="4"/>
        <v>0</v>
      </c>
      <c r="AG20" s="22"/>
    </row>
    <row r="21" spans="1:33" ht="15.75" customHeight="1">
      <c r="A21" s="8">
        <v>45826</v>
      </c>
      <c r="B21" s="9" t="s">
        <v>45</v>
      </c>
      <c r="C21" s="10">
        <v>3</v>
      </c>
      <c r="D21" s="10">
        <v>2</v>
      </c>
      <c r="E21" s="11">
        <v>6.5</v>
      </c>
      <c r="F21" s="11">
        <v>4</v>
      </c>
      <c r="G21" s="11">
        <v>2</v>
      </c>
      <c r="H21" s="11">
        <v>2</v>
      </c>
      <c r="I21" s="13">
        <f t="shared" si="0"/>
        <v>19.5</v>
      </c>
      <c r="J21" s="10">
        <v>6</v>
      </c>
      <c r="K21" s="11">
        <v>6</v>
      </c>
      <c r="L21" s="15">
        <f t="shared" si="1"/>
        <v>12</v>
      </c>
      <c r="M21" s="37" t="s">
        <v>56</v>
      </c>
      <c r="N21" s="19">
        <v>0</v>
      </c>
      <c r="O21" s="19"/>
      <c r="P21" s="19">
        <v>0</v>
      </c>
      <c r="Q21" s="19">
        <v>0</v>
      </c>
      <c r="R21" s="19">
        <v>0</v>
      </c>
      <c r="S21" s="19"/>
      <c r="T21" s="19">
        <f t="shared" si="2"/>
        <v>3894</v>
      </c>
      <c r="U21" s="19">
        <v>0</v>
      </c>
      <c r="V21" s="19">
        <v>55</v>
      </c>
      <c r="W21" s="19">
        <v>3839</v>
      </c>
      <c r="X21" s="19">
        <f t="shared" si="3"/>
        <v>1543</v>
      </c>
      <c r="Y21" s="19">
        <v>861</v>
      </c>
      <c r="Z21" s="19">
        <v>53</v>
      </c>
      <c r="AA21" s="19">
        <v>629</v>
      </c>
      <c r="AB21" s="19">
        <v>23</v>
      </c>
      <c r="AC21" s="19">
        <v>0</v>
      </c>
      <c r="AD21" s="19">
        <v>0</v>
      </c>
      <c r="AE21" s="19">
        <v>0</v>
      </c>
      <c r="AF21" s="19">
        <f t="shared" si="4"/>
        <v>0</v>
      </c>
      <c r="AG21" s="22"/>
    </row>
    <row r="22" spans="1:33" ht="15.75" customHeight="1">
      <c r="A22" s="8">
        <v>45827</v>
      </c>
      <c r="B22" s="9" t="s">
        <v>32</v>
      </c>
      <c r="C22" s="11">
        <v>3</v>
      </c>
      <c r="D22" s="11">
        <v>2</v>
      </c>
      <c r="E22" s="11">
        <v>7</v>
      </c>
      <c r="F22" s="11">
        <v>4</v>
      </c>
      <c r="G22" s="11">
        <v>2</v>
      </c>
      <c r="H22" s="11">
        <v>2</v>
      </c>
      <c r="I22" s="13">
        <f t="shared" si="0"/>
        <v>20</v>
      </c>
      <c r="J22" s="11">
        <v>6</v>
      </c>
      <c r="K22" s="11">
        <v>7</v>
      </c>
      <c r="L22" s="15">
        <f t="shared" si="1"/>
        <v>13</v>
      </c>
      <c r="M22" s="37" t="s">
        <v>56</v>
      </c>
      <c r="N22" s="19">
        <v>0</v>
      </c>
      <c r="O22" s="19"/>
      <c r="P22" s="19">
        <v>0</v>
      </c>
      <c r="Q22" s="19">
        <v>0</v>
      </c>
      <c r="R22" s="19">
        <v>0</v>
      </c>
      <c r="S22" s="19"/>
      <c r="T22" s="19">
        <f t="shared" si="2"/>
        <v>2780</v>
      </c>
      <c r="U22" s="19">
        <v>0</v>
      </c>
      <c r="V22" s="19">
        <v>45</v>
      </c>
      <c r="W22" s="19">
        <v>2735</v>
      </c>
      <c r="X22" s="19">
        <f t="shared" si="3"/>
        <v>1224</v>
      </c>
      <c r="Y22" s="19">
        <v>741</v>
      </c>
      <c r="Z22" s="19">
        <v>52</v>
      </c>
      <c r="AA22" s="19">
        <v>431</v>
      </c>
      <c r="AB22" s="19">
        <v>24</v>
      </c>
      <c r="AC22" s="19">
        <v>0</v>
      </c>
      <c r="AD22" s="19">
        <v>0</v>
      </c>
      <c r="AE22" s="19">
        <v>0</v>
      </c>
      <c r="AF22" s="19">
        <f t="shared" si="4"/>
        <v>0</v>
      </c>
      <c r="AG22" s="22"/>
    </row>
    <row r="23" spans="1:33" ht="15.75" customHeight="1">
      <c r="A23" s="8">
        <v>45828</v>
      </c>
      <c r="B23" s="9" t="s">
        <v>42</v>
      </c>
      <c r="C23" s="11">
        <v>2</v>
      </c>
      <c r="D23" s="11">
        <v>2</v>
      </c>
      <c r="E23" s="11">
        <v>7</v>
      </c>
      <c r="F23" s="11">
        <v>4</v>
      </c>
      <c r="G23" s="11">
        <v>2</v>
      </c>
      <c r="H23" s="11">
        <v>2</v>
      </c>
      <c r="I23" s="13">
        <f t="shared" si="0"/>
        <v>19</v>
      </c>
      <c r="J23" s="11">
        <v>5</v>
      </c>
      <c r="K23" s="11">
        <v>7</v>
      </c>
      <c r="L23" s="15">
        <f t="shared" si="1"/>
        <v>12</v>
      </c>
      <c r="M23" s="37" t="s">
        <v>56</v>
      </c>
      <c r="N23" s="19">
        <v>0</v>
      </c>
      <c r="O23" s="19"/>
      <c r="P23" s="19">
        <v>0</v>
      </c>
      <c r="Q23" s="19">
        <v>0</v>
      </c>
      <c r="R23" s="19">
        <v>0</v>
      </c>
      <c r="S23" s="19"/>
      <c r="T23" s="19">
        <f t="shared" si="2"/>
        <v>2330</v>
      </c>
      <c r="U23" s="19">
        <v>0</v>
      </c>
      <c r="V23" s="19">
        <v>34</v>
      </c>
      <c r="W23" s="19">
        <v>2296</v>
      </c>
      <c r="X23" s="19">
        <f t="shared" si="3"/>
        <v>1223</v>
      </c>
      <c r="Y23" s="19">
        <v>727</v>
      </c>
      <c r="Z23" s="19">
        <v>15</v>
      </c>
      <c r="AA23" s="19">
        <v>481</v>
      </c>
      <c r="AB23" s="19">
        <v>36</v>
      </c>
      <c r="AC23" s="19">
        <v>0</v>
      </c>
      <c r="AD23" s="19">
        <v>0</v>
      </c>
      <c r="AE23" s="19">
        <v>0</v>
      </c>
      <c r="AF23" s="19">
        <f t="shared" si="4"/>
        <v>0</v>
      </c>
      <c r="AG23" s="22"/>
    </row>
    <row r="24" spans="1:33" ht="15.75" customHeight="1">
      <c r="A24" s="8">
        <v>45829</v>
      </c>
      <c r="B24" s="9" t="s">
        <v>39</v>
      </c>
      <c r="C24" s="11">
        <v>0</v>
      </c>
      <c r="D24" s="11">
        <v>0</v>
      </c>
      <c r="E24" s="11">
        <v>3</v>
      </c>
      <c r="F24" s="11">
        <v>1</v>
      </c>
      <c r="G24" s="11">
        <v>1</v>
      </c>
      <c r="H24" s="11">
        <v>0</v>
      </c>
      <c r="I24" s="13">
        <f t="shared" si="0"/>
        <v>5</v>
      </c>
      <c r="J24" s="11">
        <v>0</v>
      </c>
      <c r="K24" s="11">
        <v>0</v>
      </c>
      <c r="L24" s="15">
        <f t="shared" si="1"/>
        <v>0</v>
      </c>
      <c r="M24" s="37"/>
      <c r="N24" s="19">
        <v>0</v>
      </c>
      <c r="O24" s="19"/>
      <c r="P24" s="19">
        <v>0</v>
      </c>
      <c r="Q24" s="19">
        <v>0</v>
      </c>
      <c r="R24" s="19">
        <v>0</v>
      </c>
      <c r="S24" s="19"/>
      <c r="T24" s="19">
        <f t="shared" si="2"/>
        <v>347</v>
      </c>
      <c r="U24" s="19">
        <v>0</v>
      </c>
      <c r="V24" s="19">
        <v>2</v>
      </c>
      <c r="W24" s="19">
        <v>345</v>
      </c>
      <c r="X24" s="19">
        <f t="shared" si="3"/>
        <v>85</v>
      </c>
      <c r="Y24" s="19">
        <v>0</v>
      </c>
      <c r="Z24" s="19">
        <v>0</v>
      </c>
      <c r="AA24" s="19">
        <v>85</v>
      </c>
      <c r="AB24" s="19">
        <v>0</v>
      </c>
      <c r="AC24" s="19">
        <v>0</v>
      </c>
      <c r="AD24" s="19">
        <v>0</v>
      </c>
      <c r="AE24" s="19">
        <v>0</v>
      </c>
      <c r="AF24" s="19">
        <f t="shared" si="4"/>
        <v>0</v>
      </c>
      <c r="AG24" s="22"/>
    </row>
    <row r="25" spans="1:33" ht="15.75" customHeight="1">
      <c r="A25" s="8">
        <v>45830</v>
      </c>
      <c r="B25" s="9" t="s">
        <v>37</v>
      </c>
      <c r="C25" s="11">
        <v>0</v>
      </c>
      <c r="D25" s="11">
        <v>0</v>
      </c>
      <c r="E25" s="11">
        <v>2</v>
      </c>
      <c r="F25" s="11">
        <v>1</v>
      </c>
      <c r="G25" s="11">
        <v>1</v>
      </c>
      <c r="H25" s="11">
        <v>1</v>
      </c>
      <c r="I25" s="13">
        <f t="shared" si="0"/>
        <v>5</v>
      </c>
      <c r="J25" s="11">
        <v>0</v>
      </c>
      <c r="K25" s="11">
        <v>0</v>
      </c>
      <c r="L25" s="15">
        <f t="shared" si="1"/>
        <v>0</v>
      </c>
      <c r="M25" s="37"/>
      <c r="N25" s="19">
        <v>0</v>
      </c>
      <c r="O25" s="19"/>
      <c r="P25" s="19">
        <v>0</v>
      </c>
      <c r="Q25" s="19">
        <v>0</v>
      </c>
      <c r="R25" s="19">
        <v>0</v>
      </c>
      <c r="S25" s="19"/>
      <c r="T25" s="19">
        <f t="shared" si="2"/>
        <v>436</v>
      </c>
      <c r="U25" s="19">
        <v>0</v>
      </c>
      <c r="V25" s="19">
        <v>7</v>
      </c>
      <c r="W25" s="19">
        <v>429</v>
      </c>
      <c r="X25" s="19">
        <f t="shared" si="3"/>
        <v>102</v>
      </c>
      <c r="Y25" s="19">
        <v>0</v>
      </c>
      <c r="Z25" s="19">
        <v>0</v>
      </c>
      <c r="AA25" s="19">
        <v>102</v>
      </c>
      <c r="AB25" s="19">
        <v>0</v>
      </c>
      <c r="AC25" s="19">
        <v>0</v>
      </c>
      <c r="AD25" s="19">
        <v>0</v>
      </c>
      <c r="AE25" s="19">
        <v>0</v>
      </c>
      <c r="AF25" s="19">
        <f t="shared" si="4"/>
        <v>0</v>
      </c>
      <c r="AG25" s="22"/>
    </row>
    <row r="26" spans="1:33" ht="15.75" customHeight="1">
      <c r="A26" s="8">
        <v>45831</v>
      </c>
      <c r="B26" s="9" t="s">
        <v>44</v>
      </c>
      <c r="C26" s="11">
        <v>3</v>
      </c>
      <c r="D26" s="11">
        <v>2</v>
      </c>
      <c r="E26" s="11">
        <v>7</v>
      </c>
      <c r="F26" s="11">
        <v>4</v>
      </c>
      <c r="G26" s="11">
        <v>2</v>
      </c>
      <c r="H26" s="11">
        <v>1</v>
      </c>
      <c r="I26" s="13">
        <f t="shared" si="0"/>
        <v>19</v>
      </c>
      <c r="J26" s="11">
        <v>7</v>
      </c>
      <c r="K26" s="11">
        <v>8</v>
      </c>
      <c r="L26" s="15">
        <f t="shared" si="1"/>
        <v>15</v>
      </c>
      <c r="M26" s="37" t="s">
        <v>60</v>
      </c>
      <c r="N26" s="19">
        <v>0</v>
      </c>
      <c r="O26" s="19"/>
      <c r="P26" s="19">
        <v>0</v>
      </c>
      <c r="Q26" s="19">
        <v>0</v>
      </c>
      <c r="R26" s="19">
        <v>0</v>
      </c>
      <c r="S26" s="19"/>
      <c r="T26" s="19">
        <f t="shared" si="2"/>
        <v>2429</v>
      </c>
      <c r="U26" s="19">
        <v>0</v>
      </c>
      <c r="V26" s="19">
        <v>56</v>
      </c>
      <c r="W26" s="19">
        <v>2373</v>
      </c>
      <c r="X26" s="19">
        <f t="shared" si="3"/>
        <v>3460</v>
      </c>
      <c r="Y26" s="19">
        <v>2269</v>
      </c>
      <c r="Z26" s="19">
        <v>64</v>
      </c>
      <c r="AA26" s="19">
        <v>1127</v>
      </c>
      <c r="AB26" s="19">
        <v>2</v>
      </c>
      <c r="AC26" s="19">
        <v>0</v>
      </c>
      <c r="AD26" s="19">
        <v>0</v>
      </c>
      <c r="AE26" s="19">
        <v>0</v>
      </c>
      <c r="AF26" s="19">
        <f t="shared" si="4"/>
        <v>0</v>
      </c>
      <c r="AG26" s="22"/>
    </row>
    <row r="27" spans="1:33" ht="15.75" customHeight="1">
      <c r="A27" s="8">
        <v>45832</v>
      </c>
      <c r="B27" s="9" t="s">
        <v>38</v>
      </c>
      <c r="C27" s="11">
        <v>3</v>
      </c>
      <c r="D27" s="11">
        <v>2</v>
      </c>
      <c r="E27" s="11">
        <v>7</v>
      </c>
      <c r="F27" s="11">
        <v>3</v>
      </c>
      <c r="G27" s="11">
        <v>2</v>
      </c>
      <c r="H27" s="11">
        <v>2</v>
      </c>
      <c r="I27" s="13">
        <f t="shared" si="0"/>
        <v>19</v>
      </c>
      <c r="J27" s="11">
        <v>7</v>
      </c>
      <c r="K27" s="11">
        <v>4</v>
      </c>
      <c r="L27" s="15">
        <f t="shared" si="1"/>
        <v>11</v>
      </c>
      <c r="M27" s="37" t="s">
        <v>60</v>
      </c>
      <c r="N27" s="19">
        <v>0</v>
      </c>
      <c r="O27" s="19"/>
      <c r="P27" s="19">
        <v>0</v>
      </c>
      <c r="Q27" s="19">
        <v>0</v>
      </c>
      <c r="R27" s="19">
        <v>0</v>
      </c>
      <c r="S27" s="19"/>
      <c r="T27" s="19">
        <f t="shared" si="2"/>
        <v>4319</v>
      </c>
      <c r="U27" s="19">
        <v>0</v>
      </c>
      <c r="V27" s="19">
        <v>72</v>
      </c>
      <c r="W27" s="19">
        <v>4247</v>
      </c>
      <c r="X27" s="19">
        <f t="shared" si="3"/>
        <v>1474</v>
      </c>
      <c r="Y27" s="19">
        <v>770</v>
      </c>
      <c r="Z27" s="19">
        <v>180</v>
      </c>
      <c r="AA27" s="19">
        <v>524</v>
      </c>
      <c r="AB27" s="19">
        <v>1</v>
      </c>
      <c r="AC27" s="19">
        <v>0</v>
      </c>
      <c r="AD27" s="19">
        <v>0</v>
      </c>
      <c r="AE27" s="19">
        <v>0</v>
      </c>
      <c r="AF27" s="19">
        <f t="shared" si="4"/>
        <v>0</v>
      </c>
      <c r="AG27" s="22"/>
    </row>
    <row r="28" spans="1:33" ht="15.75" customHeight="1">
      <c r="A28" s="8">
        <v>45833</v>
      </c>
      <c r="B28" s="9" t="s">
        <v>45</v>
      </c>
      <c r="C28" s="11">
        <v>3</v>
      </c>
      <c r="D28" s="11">
        <v>2</v>
      </c>
      <c r="E28" s="11">
        <v>7</v>
      </c>
      <c r="F28" s="11">
        <v>3</v>
      </c>
      <c r="G28" s="11">
        <v>2</v>
      </c>
      <c r="H28" s="11">
        <v>2</v>
      </c>
      <c r="I28" s="13">
        <f t="shared" si="0"/>
        <v>19</v>
      </c>
      <c r="J28" s="11">
        <v>6</v>
      </c>
      <c r="K28" s="11">
        <v>4</v>
      </c>
      <c r="L28" s="15">
        <f t="shared" si="1"/>
        <v>10</v>
      </c>
      <c r="M28" s="37" t="s">
        <v>60</v>
      </c>
      <c r="N28" s="19">
        <v>0</v>
      </c>
      <c r="O28" s="19"/>
      <c r="P28" s="19">
        <v>0</v>
      </c>
      <c r="Q28" s="19">
        <v>0</v>
      </c>
      <c r="R28" s="19">
        <v>0</v>
      </c>
      <c r="S28" s="19"/>
      <c r="T28" s="19">
        <f t="shared" si="2"/>
        <v>3361</v>
      </c>
      <c r="U28" s="19">
        <v>0</v>
      </c>
      <c r="V28" s="19">
        <v>73</v>
      </c>
      <c r="W28" s="19">
        <v>3288</v>
      </c>
      <c r="X28" s="19">
        <f t="shared" si="3"/>
        <v>1393</v>
      </c>
      <c r="Y28" s="19">
        <v>789</v>
      </c>
      <c r="Z28" s="19">
        <v>38</v>
      </c>
      <c r="AA28" s="19">
        <v>566</v>
      </c>
      <c r="AB28" s="19">
        <v>3</v>
      </c>
      <c r="AC28" s="19">
        <v>0</v>
      </c>
      <c r="AD28" s="19">
        <v>0</v>
      </c>
      <c r="AE28" s="19">
        <v>0</v>
      </c>
      <c r="AF28" s="19">
        <f t="shared" si="4"/>
        <v>0</v>
      </c>
      <c r="AG28" s="22"/>
    </row>
    <row r="29" spans="1:33" ht="15.75" customHeight="1">
      <c r="A29" s="8">
        <v>45834</v>
      </c>
      <c r="B29" s="9" t="s">
        <v>32</v>
      </c>
      <c r="C29" s="11">
        <v>2.5</v>
      </c>
      <c r="D29" s="11">
        <v>2</v>
      </c>
      <c r="E29" s="11">
        <v>5.5</v>
      </c>
      <c r="F29" s="11">
        <v>4</v>
      </c>
      <c r="G29" s="11">
        <v>2</v>
      </c>
      <c r="H29" s="11">
        <v>1</v>
      </c>
      <c r="I29" s="13">
        <f t="shared" si="0"/>
        <v>17</v>
      </c>
      <c r="J29" s="11">
        <v>6.5</v>
      </c>
      <c r="K29" s="11">
        <v>3</v>
      </c>
      <c r="L29" s="15">
        <f t="shared" si="1"/>
        <v>9.5</v>
      </c>
      <c r="M29" s="37" t="s">
        <v>60</v>
      </c>
      <c r="N29" s="19">
        <v>0</v>
      </c>
      <c r="O29" s="19"/>
      <c r="P29" s="19">
        <v>0</v>
      </c>
      <c r="Q29" s="19">
        <v>0</v>
      </c>
      <c r="R29" s="19">
        <v>0</v>
      </c>
      <c r="S29" s="19"/>
      <c r="T29" s="19">
        <f t="shared" si="2"/>
        <v>3848</v>
      </c>
      <c r="U29" s="19">
        <v>0</v>
      </c>
      <c r="V29" s="19">
        <v>59</v>
      </c>
      <c r="W29" s="19">
        <v>3789</v>
      </c>
      <c r="X29" s="19">
        <f t="shared" si="3"/>
        <v>2326</v>
      </c>
      <c r="Y29" s="19">
        <v>900</v>
      </c>
      <c r="Z29" s="19">
        <v>40</v>
      </c>
      <c r="AA29" s="19">
        <v>1386</v>
      </c>
      <c r="AB29" s="19">
        <v>29</v>
      </c>
      <c r="AC29" s="19">
        <v>0</v>
      </c>
      <c r="AD29" s="19">
        <v>0</v>
      </c>
      <c r="AE29" s="19">
        <v>0</v>
      </c>
      <c r="AF29" s="19">
        <f t="shared" si="4"/>
        <v>0</v>
      </c>
      <c r="AG29" s="22"/>
    </row>
    <row r="30" spans="1:33" ht="15.75" customHeight="1">
      <c r="A30" s="8">
        <v>45835</v>
      </c>
      <c r="B30" s="9" t="s">
        <v>42</v>
      </c>
      <c r="C30" s="11">
        <v>3</v>
      </c>
      <c r="D30" s="11">
        <v>2</v>
      </c>
      <c r="E30" s="11">
        <v>4</v>
      </c>
      <c r="F30" s="11">
        <v>4</v>
      </c>
      <c r="G30" s="11">
        <v>2</v>
      </c>
      <c r="H30" s="11">
        <v>2</v>
      </c>
      <c r="I30" s="13">
        <f t="shared" si="0"/>
        <v>17</v>
      </c>
      <c r="J30" s="11">
        <v>6</v>
      </c>
      <c r="K30" s="11">
        <v>4</v>
      </c>
      <c r="L30" s="15">
        <f t="shared" si="1"/>
        <v>10</v>
      </c>
      <c r="M30" s="37" t="s">
        <v>60</v>
      </c>
      <c r="N30" s="19">
        <v>0</v>
      </c>
      <c r="O30" s="19"/>
      <c r="P30" s="19">
        <v>0</v>
      </c>
      <c r="Q30" s="19">
        <v>0</v>
      </c>
      <c r="R30" s="19">
        <v>0</v>
      </c>
      <c r="S30" s="19"/>
      <c r="T30" s="19">
        <f t="shared" si="2"/>
        <v>2390</v>
      </c>
      <c r="U30" s="19">
        <v>0</v>
      </c>
      <c r="V30" s="19">
        <v>44</v>
      </c>
      <c r="W30" s="19">
        <v>2346</v>
      </c>
      <c r="X30" s="19">
        <f t="shared" si="3"/>
        <v>1294</v>
      </c>
      <c r="Y30" s="19">
        <v>848</v>
      </c>
      <c r="Z30" s="19">
        <v>38</v>
      </c>
      <c r="AA30" s="19">
        <v>408</v>
      </c>
      <c r="AB30" s="19">
        <v>7</v>
      </c>
      <c r="AC30" s="20">
        <v>69</v>
      </c>
      <c r="AD30" s="19">
        <v>0</v>
      </c>
      <c r="AE30" s="19">
        <v>3</v>
      </c>
      <c r="AF30" s="19">
        <f t="shared" si="4"/>
        <v>66</v>
      </c>
      <c r="AG30" s="22"/>
    </row>
    <row r="31" spans="1:33" ht="15.75" customHeight="1">
      <c r="A31" s="8">
        <v>45836</v>
      </c>
      <c r="B31" s="9" t="s">
        <v>39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3">
        <f t="shared" si="0"/>
        <v>0</v>
      </c>
      <c r="J31" s="11">
        <v>0</v>
      </c>
      <c r="K31" s="11">
        <v>0</v>
      </c>
      <c r="L31" s="15">
        <f t="shared" si="1"/>
        <v>0</v>
      </c>
      <c r="M31" s="37"/>
      <c r="N31" s="19">
        <v>0</v>
      </c>
      <c r="O31" s="19"/>
      <c r="P31" s="19">
        <v>0</v>
      </c>
      <c r="Q31" s="19">
        <v>0</v>
      </c>
      <c r="R31" s="19">
        <v>0</v>
      </c>
      <c r="S31" s="19"/>
      <c r="T31" s="19">
        <f t="shared" si="2"/>
        <v>0</v>
      </c>
      <c r="U31" s="19">
        <v>0</v>
      </c>
      <c r="V31" s="19">
        <v>0</v>
      </c>
      <c r="W31" s="19">
        <v>0</v>
      </c>
      <c r="X31" s="19">
        <f t="shared" si="3"/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f t="shared" si="4"/>
        <v>66</v>
      </c>
      <c r="AG31" s="22"/>
    </row>
    <row r="32" spans="1:33" ht="15.75" customHeight="1">
      <c r="A32" s="8">
        <v>45837</v>
      </c>
      <c r="B32" s="9" t="s">
        <v>37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3">
        <f t="shared" si="0"/>
        <v>0</v>
      </c>
      <c r="J32" s="11">
        <v>0</v>
      </c>
      <c r="K32" s="11">
        <v>0</v>
      </c>
      <c r="L32" s="15">
        <f t="shared" si="1"/>
        <v>0</v>
      </c>
      <c r="M32" s="37"/>
      <c r="N32" s="19">
        <v>0</v>
      </c>
      <c r="O32" s="19"/>
      <c r="P32" s="19">
        <v>0</v>
      </c>
      <c r="Q32" s="19">
        <v>0</v>
      </c>
      <c r="R32" s="19">
        <v>0</v>
      </c>
      <c r="S32" s="19"/>
      <c r="T32" s="19">
        <f t="shared" si="2"/>
        <v>0</v>
      </c>
      <c r="U32" s="19">
        <v>0</v>
      </c>
      <c r="V32" s="19">
        <v>0</v>
      </c>
      <c r="W32" s="19">
        <v>0</v>
      </c>
      <c r="X32" s="19">
        <f t="shared" si="3"/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f t="shared" si="4"/>
        <v>66</v>
      </c>
      <c r="AG32" s="22"/>
    </row>
    <row r="33" spans="1:33" ht="15.75" customHeight="1">
      <c r="A33" s="8">
        <v>45838</v>
      </c>
      <c r="B33" s="9" t="s">
        <v>44</v>
      </c>
      <c r="C33" s="11">
        <v>3</v>
      </c>
      <c r="D33" s="11">
        <v>2</v>
      </c>
      <c r="E33" s="11">
        <v>7</v>
      </c>
      <c r="F33" s="11">
        <v>4</v>
      </c>
      <c r="G33" s="11">
        <v>2</v>
      </c>
      <c r="H33" s="11">
        <v>2</v>
      </c>
      <c r="I33" s="13">
        <f t="shared" si="0"/>
        <v>20</v>
      </c>
      <c r="J33" s="11">
        <v>7</v>
      </c>
      <c r="K33" s="11">
        <v>5</v>
      </c>
      <c r="L33" s="15">
        <f t="shared" si="1"/>
        <v>12</v>
      </c>
      <c r="M33" s="37" t="s">
        <v>60</v>
      </c>
      <c r="N33" s="19">
        <v>0</v>
      </c>
      <c r="O33" s="19"/>
      <c r="P33" s="19">
        <v>0</v>
      </c>
      <c r="Q33" s="19">
        <v>0</v>
      </c>
      <c r="R33" s="19">
        <v>0</v>
      </c>
      <c r="S33" s="19"/>
      <c r="T33" s="19">
        <f t="shared" si="2"/>
        <v>3883</v>
      </c>
      <c r="U33" s="19">
        <v>0</v>
      </c>
      <c r="V33" s="19">
        <v>48</v>
      </c>
      <c r="W33" s="19">
        <v>3835</v>
      </c>
      <c r="X33" s="19">
        <f t="shared" si="3"/>
        <v>3327</v>
      </c>
      <c r="Y33" s="19">
        <v>2252</v>
      </c>
      <c r="Z33" s="19">
        <v>95</v>
      </c>
      <c r="AA33" s="19">
        <v>980</v>
      </c>
      <c r="AB33" s="19">
        <v>0</v>
      </c>
      <c r="AC33" s="20">
        <v>19</v>
      </c>
      <c r="AD33" s="19">
        <v>0</v>
      </c>
      <c r="AE33" s="19">
        <v>0</v>
      </c>
      <c r="AF33" s="19">
        <f t="shared" si="4"/>
        <v>85</v>
      </c>
      <c r="AG33" s="22"/>
    </row>
    <row r="34" spans="1:33" ht="15.75" customHeight="1">
      <c r="A34" s="108" t="s">
        <v>19</v>
      </c>
      <c r="B34" s="107"/>
      <c r="C34" s="43">
        <f t="shared" ref="C34:L34" si="5">SUM(C4:C33)</f>
        <v>75.5</v>
      </c>
      <c r="D34" s="43">
        <f t="shared" si="5"/>
        <v>49</v>
      </c>
      <c r="E34" s="43">
        <f t="shared" si="5"/>
        <v>176</v>
      </c>
      <c r="F34" s="43">
        <f t="shared" si="5"/>
        <v>102</v>
      </c>
      <c r="G34" s="43">
        <f t="shared" si="5"/>
        <v>52</v>
      </c>
      <c r="H34" s="43">
        <f t="shared" si="5"/>
        <v>48</v>
      </c>
      <c r="I34" s="43">
        <f t="shared" si="5"/>
        <v>502.5</v>
      </c>
      <c r="J34" s="43">
        <f t="shared" si="5"/>
        <v>162.5</v>
      </c>
      <c r="K34" s="43">
        <f t="shared" si="5"/>
        <v>412</v>
      </c>
      <c r="L34" s="43">
        <f t="shared" si="5"/>
        <v>574.5</v>
      </c>
      <c r="M34" s="44"/>
      <c r="N34" s="44"/>
      <c r="O34" s="44"/>
      <c r="P34" s="44"/>
      <c r="Q34" s="44"/>
      <c r="R34" s="44"/>
      <c r="S34" s="44"/>
      <c r="T34" s="134">
        <f t="shared" ref="T34:AE34" si="6">SUM(T4:T33)</f>
        <v>256567</v>
      </c>
      <c r="U34" s="45">
        <f t="shared" si="6"/>
        <v>0</v>
      </c>
      <c r="V34" s="45">
        <f t="shared" si="6"/>
        <v>1378</v>
      </c>
      <c r="W34" s="45">
        <f t="shared" si="6"/>
        <v>255189</v>
      </c>
      <c r="X34" s="134">
        <f t="shared" si="6"/>
        <v>93535</v>
      </c>
      <c r="Y34" s="45">
        <f t="shared" si="6"/>
        <v>26420</v>
      </c>
      <c r="Z34" s="45">
        <f t="shared" si="6"/>
        <v>1227</v>
      </c>
      <c r="AA34" s="45">
        <f t="shared" si="6"/>
        <v>65888</v>
      </c>
      <c r="AB34" s="45">
        <f t="shared" si="6"/>
        <v>270</v>
      </c>
      <c r="AC34" s="45">
        <f t="shared" si="6"/>
        <v>88</v>
      </c>
      <c r="AD34" s="45">
        <f t="shared" si="6"/>
        <v>0</v>
      </c>
      <c r="AE34" s="45">
        <f t="shared" si="6"/>
        <v>3</v>
      </c>
      <c r="AF34" s="41"/>
      <c r="AG34" s="41"/>
    </row>
    <row r="36" spans="1:33" ht="15.75" customHeight="1">
      <c r="T36" s="127"/>
    </row>
    <row r="44" spans="1:33" ht="12.75">
      <c r="AC44" s="1"/>
      <c r="AD44" s="1"/>
      <c r="AE44" s="1"/>
      <c r="AF44" s="1"/>
      <c r="AG44" s="1"/>
    </row>
    <row r="45" spans="1:33" ht="12.75">
      <c r="AC45" s="1"/>
      <c r="AD45" s="1"/>
      <c r="AE45" s="1"/>
      <c r="AF45" s="1"/>
      <c r="AG45" s="1"/>
    </row>
    <row r="46" spans="1:33" ht="12.75">
      <c r="AC46" s="1"/>
      <c r="AD46" s="1"/>
      <c r="AE46" s="1"/>
      <c r="AF46" s="1"/>
      <c r="AG46" s="1"/>
    </row>
    <row r="47" spans="1:33" ht="12.75">
      <c r="AC47" s="1"/>
      <c r="AD47" s="1"/>
      <c r="AE47" s="1"/>
      <c r="AF47" s="1"/>
      <c r="AG47" s="1"/>
    </row>
    <row r="48" spans="1:33" ht="12.75">
      <c r="AC48" s="1"/>
      <c r="AD48" s="1"/>
      <c r="AE48" s="1"/>
      <c r="AF48" s="1"/>
      <c r="AG48" s="1"/>
    </row>
    <row r="49" spans="29:33" ht="12.75">
      <c r="AC49" s="1"/>
      <c r="AD49" s="1"/>
      <c r="AE49" s="1"/>
      <c r="AF49" s="1"/>
      <c r="AG49" s="1"/>
    </row>
    <row r="50" spans="29:33" ht="12.75">
      <c r="AC50" s="1"/>
      <c r="AD50" s="1"/>
      <c r="AE50" s="1"/>
      <c r="AF50" s="1"/>
      <c r="AG50" s="1"/>
    </row>
    <row r="51" spans="29:33" ht="12.75">
      <c r="AC51" s="1"/>
      <c r="AD51" s="1"/>
      <c r="AE51" s="1"/>
      <c r="AF51" s="1"/>
      <c r="AG51" s="1"/>
    </row>
    <row r="52" spans="29:33" ht="12.75">
      <c r="AC52" s="1"/>
      <c r="AD52" s="1"/>
      <c r="AE52" s="1"/>
      <c r="AF52" s="1"/>
      <c r="AG52" s="1"/>
    </row>
    <row r="53" spans="29:33" ht="12.75">
      <c r="AC53" s="1"/>
      <c r="AD53" s="1"/>
      <c r="AE53" s="1"/>
      <c r="AF53" s="1"/>
      <c r="AG53" s="1"/>
    </row>
    <row r="54" spans="29:33" ht="12.75">
      <c r="AC54" s="1"/>
      <c r="AD54" s="1"/>
      <c r="AE54" s="1"/>
      <c r="AF54" s="1"/>
      <c r="AG54" s="1"/>
    </row>
    <row r="55" spans="29:33" ht="12.75">
      <c r="AC55" s="1"/>
      <c r="AD55" s="1"/>
      <c r="AE55" s="1"/>
      <c r="AF55" s="1"/>
      <c r="AG55" s="1"/>
    </row>
    <row r="56" spans="29:33" ht="12.75">
      <c r="AC56" s="1"/>
      <c r="AD56" s="1"/>
      <c r="AE56" s="1"/>
      <c r="AF56" s="1"/>
      <c r="AG56" s="1"/>
    </row>
    <row r="57" spans="29:33" ht="12.75">
      <c r="AC57" s="1"/>
      <c r="AD57" s="1"/>
      <c r="AE57" s="1"/>
      <c r="AF57" s="1"/>
      <c r="AG57" s="1"/>
    </row>
    <row r="58" spans="29:33" ht="12.75">
      <c r="AC58" s="1"/>
      <c r="AD58" s="1"/>
      <c r="AE58" s="1"/>
      <c r="AF58" s="1"/>
      <c r="AG58" s="1"/>
    </row>
    <row r="59" spans="29:33" ht="12.75">
      <c r="AC59" s="1"/>
      <c r="AD59" s="1"/>
      <c r="AE59" s="1"/>
      <c r="AF59" s="1"/>
      <c r="AG59" s="1"/>
    </row>
    <row r="60" spans="29:33" ht="12.75">
      <c r="AC60" s="1"/>
      <c r="AD60" s="1"/>
      <c r="AE60" s="1"/>
      <c r="AF60" s="1"/>
      <c r="AG60" s="1"/>
    </row>
    <row r="61" spans="29:33" ht="12.75">
      <c r="AC61" s="1"/>
      <c r="AD61" s="1"/>
      <c r="AE61" s="1"/>
      <c r="AF61" s="1"/>
      <c r="AG61" s="1"/>
    </row>
    <row r="62" spans="29:33" ht="12.75">
      <c r="AC62" s="1"/>
      <c r="AD62" s="1"/>
      <c r="AE62" s="1"/>
      <c r="AF62" s="1"/>
      <c r="AG62" s="1"/>
    </row>
    <row r="63" spans="29:33" ht="12.75">
      <c r="AC63" s="1"/>
      <c r="AD63" s="1"/>
      <c r="AE63" s="1"/>
      <c r="AF63" s="1"/>
      <c r="AG63" s="1"/>
    </row>
    <row r="64" spans="29:33" ht="12.75">
      <c r="AC64" s="1"/>
      <c r="AD64" s="1"/>
      <c r="AE64" s="1"/>
      <c r="AF64" s="1"/>
      <c r="AG64" s="1"/>
    </row>
    <row r="65" spans="29:33" ht="12.75">
      <c r="AC65" s="1"/>
      <c r="AD65" s="1"/>
      <c r="AE65" s="1"/>
      <c r="AF65" s="1"/>
      <c r="AG65" s="1"/>
    </row>
    <row r="66" spans="29:33" ht="12.75">
      <c r="AC66" s="1"/>
      <c r="AD66" s="1"/>
      <c r="AE66" s="1"/>
      <c r="AF66" s="1"/>
      <c r="AG66" s="1"/>
    </row>
    <row r="67" spans="29:33" ht="12.75">
      <c r="AC67" s="1"/>
      <c r="AD67" s="1"/>
      <c r="AE67" s="1"/>
      <c r="AF67" s="1"/>
      <c r="AG67" s="1"/>
    </row>
    <row r="68" spans="29:33" ht="12.75">
      <c r="AC68" s="1"/>
      <c r="AD68" s="1"/>
      <c r="AE68" s="1"/>
      <c r="AF68" s="1"/>
      <c r="AG68" s="1"/>
    </row>
    <row r="69" spans="29:33" ht="12.75">
      <c r="AC69" s="1"/>
      <c r="AD69" s="1"/>
      <c r="AE69" s="1"/>
      <c r="AF69" s="1"/>
      <c r="AG69" s="1"/>
    </row>
    <row r="70" spans="29:33" ht="12.75">
      <c r="AC70" s="1"/>
      <c r="AD70" s="1"/>
      <c r="AE70" s="1"/>
      <c r="AF70" s="1"/>
      <c r="AG70" s="1"/>
    </row>
    <row r="71" spans="29:33" ht="12.75">
      <c r="AC71" s="1"/>
      <c r="AD71" s="1"/>
      <c r="AE71" s="1"/>
      <c r="AF71" s="1"/>
      <c r="AG71" s="1"/>
    </row>
    <row r="72" spans="29:33" ht="12.75">
      <c r="AC72" s="1"/>
      <c r="AD72" s="1"/>
      <c r="AE72" s="1"/>
      <c r="AF72" s="1"/>
      <c r="AG72" s="1"/>
    </row>
    <row r="73" spans="29:33" ht="12.75">
      <c r="AC73" s="1"/>
      <c r="AD73" s="1"/>
      <c r="AE73" s="1"/>
      <c r="AF73" s="1"/>
      <c r="AG73" s="1"/>
    </row>
    <row r="74" spans="29:33" ht="12.75">
      <c r="AC74" s="1"/>
      <c r="AD74" s="1"/>
      <c r="AE74" s="1"/>
      <c r="AF74" s="1"/>
      <c r="AG74" s="1"/>
    </row>
    <row r="75" spans="29:33" ht="12.75">
      <c r="AC75" s="1"/>
      <c r="AD75" s="1"/>
      <c r="AE75" s="1"/>
      <c r="AF75" s="1"/>
      <c r="AG75" s="1"/>
    </row>
    <row r="76" spans="29:33" ht="12.75">
      <c r="AC76" s="1"/>
      <c r="AD76" s="1"/>
      <c r="AE76" s="1"/>
      <c r="AF76" s="1"/>
      <c r="AG76" s="1"/>
    </row>
    <row r="77" spans="29:33" ht="12.75">
      <c r="AC77" s="1"/>
      <c r="AD77" s="1"/>
      <c r="AE77" s="1"/>
      <c r="AF77" s="1"/>
      <c r="AG77" s="1"/>
    </row>
    <row r="78" spans="29:33" ht="12.75">
      <c r="AC78" s="1"/>
      <c r="AD78" s="1"/>
      <c r="AE78" s="1"/>
      <c r="AF78" s="1"/>
      <c r="AG78" s="1"/>
    </row>
    <row r="79" spans="29:33" ht="12.75">
      <c r="AC79" s="1"/>
      <c r="AD79" s="1"/>
      <c r="AE79" s="1"/>
      <c r="AF79" s="1"/>
      <c r="AG79" s="1"/>
    </row>
    <row r="80" spans="29:33" ht="12.75">
      <c r="AC80" s="1"/>
      <c r="AD80" s="1"/>
      <c r="AE80" s="1"/>
      <c r="AF80" s="1"/>
      <c r="AG80" s="1"/>
    </row>
    <row r="81" spans="29:33" ht="12.75">
      <c r="AC81" s="1"/>
      <c r="AD81" s="1"/>
      <c r="AE81" s="1"/>
      <c r="AF81" s="1"/>
      <c r="AG81" s="1"/>
    </row>
    <row r="82" spans="29:33" ht="12.75">
      <c r="AC82" s="1"/>
      <c r="AD82" s="1"/>
      <c r="AE82" s="1"/>
      <c r="AF82" s="1"/>
      <c r="AG82" s="1"/>
    </row>
    <row r="83" spans="29:33" ht="12.75">
      <c r="AC83" s="1"/>
      <c r="AD83" s="1"/>
      <c r="AE83" s="1"/>
      <c r="AF83" s="1"/>
      <c r="AG83" s="1"/>
    </row>
    <row r="84" spans="29:33" ht="12.75">
      <c r="AC84" s="1"/>
      <c r="AD84" s="1"/>
      <c r="AE84" s="1"/>
      <c r="AF84" s="1"/>
      <c r="AG84" s="1"/>
    </row>
    <row r="85" spans="29:33" ht="12.75">
      <c r="AC85" s="1"/>
      <c r="AD85" s="1"/>
      <c r="AE85" s="1"/>
      <c r="AF85" s="1"/>
      <c r="AG85" s="1"/>
    </row>
    <row r="86" spans="29:33" ht="12.75">
      <c r="AC86" s="1"/>
      <c r="AD86" s="1"/>
      <c r="AE86" s="1"/>
      <c r="AF86" s="1"/>
      <c r="AG86" s="1"/>
    </row>
    <row r="87" spans="29:33" ht="12.75">
      <c r="AC87" s="1"/>
      <c r="AD87" s="1"/>
      <c r="AE87" s="1"/>
      <c r="AF87" s="1"/>
      <c r="AG87" s="1"/>
    </row>
    <row r="88" spans="29:33" ht="12.75">
      <c r="AC88" s="1"/>
      <c r="AD88" s="1"/>
      <c r="AE88" s="1"/>
      <c r="AF88" s="1"/>
      <c r="AG88" s="1"/>
    </row>
    <row r="89" spans="29:33" ht="12.75">
      <c r="AC89" s="1"/>
      <c r="AD89" s="1"/>
      <c r="AE89" s="1"/>
      <c r="AF89" s="1"/>
      <c r="AG89" s="1"/>
    </row>
    <row r="90" spans="29:33" ht="12.75">
      <c r="AC90" s="1"/>
      <c r="AD90" s="1"/>
      <c r="AE90" s="1"/>
      <c r="AF90" s="1"/>
      <c r="AG90" s="1"/>
    </row>
    <row r="91" spans="29:33" ht="12.75">
      <c r="AC91" s="1"/>
      <c r="AD91" s="1"/>
      <c r="AE91" s="1"/>
      <c r="AF91" s="1"/>
      <c r="AG91" s="1"/>
    </row>
    <row r="92" spans="29:33" ht="12.75">
      <c r="AC92" s="1"/>
      <c r="AD92" s="1"/>
      <c r="AE92" s="1"/>
      <c r="AF92" s="1"/>
      <c r="AG92" s="1"/>
    </row>
    <row r="93" spans="29:33" ht="12.75">
      <c r="AC93" s="1"/>
      <c r="AD93" s="1"/>
      <c r="AE93" s="1"/>
      <c r="AF93" s="1"/>
      <c r="AG93" s="1"/>
    </row>
    <row r="94" spans="29:33" ht="12.75">
      <c r="AC94" s="1"/>
      <c r="AD94" s="1"/>
      <c r="AE94" s="1"/>
      <c r="AF94" s="1"/>
      <c r="AG94" s="1"/>
    </row>
    <row r="95" spans="29:33" ht="12.75">
      <c r="AC95" s="1"/>
      <c r="AD95" s="1"/>
      <c r="AE95" s="1"/>
      <c r="AF95" s="1"/>
      <c r="AG95" s="1"/>
    </row>
    <row r="96" spans="29:33" ht="12.75">
      <c r="AC96" s="1"/>
      <c r="AD96" s="1"/>
      <c r="AE96" s="1"/>
      <c r="AF96" s="1"/>
      <c r="AG96" s="1"/>
    </row>
    <row r="97" spans="29:33" ht="12.75">
      <c r="AC97" s="1"/>
      <c r="AD97" s="1"/>
      <c r="AE97" s="1"/>
      <c r="AF97" s="1"/>
      <c r="AG97" s="1"/>
    </row>
    <row r="98" spans="29:33" ht="12.75">
      <c r="AC98" s="1"/>
      <c r="AD98" s="1"/>
      <c r="AE98" s="1"/>
      <c r="AF98" s="1"/>
      <c r="AG98" s="1"/>
    </row>
    <row r="99" spans="29:33" ht="12.75">
      <c r="AC99" s="1"/>
      <c r="AD99" s="1"/>
      <c r="AE99" s="1"/>
      <c r="AF99" s="1"/>
      <c r="AG99" s="1"/>
    </row>
    <row r="100" spans="29:33" ht="12.75">
      <c r="AC100" s="1"/>
      <c r="AD100" s="1"/>
      <c r="AE100" s="1"/>
      <c r="AF100" s="1"/>
      <c r="AG100" s="1"/>
    </row>
    <row r="101" spans="29:33" ht="12.75">
      <c r="AC101" s="1"/>
      <c r="AD101" s="1"/>
      <c r="AE101" s="1"/>
      <c r="AF101" s="1"/>
      <c r="AG101" s="1"/>
    </row>
    <row r="102" spans="29:33" ht="12.75">
      <c r="AC102" s="1"/>
      <c r="AD102" s="1"/>
      <c r="AE102" s="1"/>
      <c r="AF102" s="1"/>
      <c r="AG102" s="1"/>
    </row>
    <row r="103" spans="29:33" ht="12.75">
      <c r="AC103" s="1"/>
      <c r="AD103" s="1"/>
      <c r="AE103" s="1"/>
      <c r="AF103" s="1"/>
      <c r="AG103" s="1"/>
    </row>
    <row r="104" spans="29:33" ht="12.75">
      <c r="AC104" s="1"/>
      <c r="AD104" s="1"/>
      <c r="AE104" s="1"/>
      <c r="AF104" s="1"/>
      <c r="AG104" s="1"/>
    </row>
    <row r="105" spans="29:33" ht="12.75">
      <c r="AC105" s="1"/>
      <c r="AD105" s="1"/>
      <c r="AE105" s="1"/>
      <c r="AF105" s="1"/>
      <c r="AG105" s="1"/>
    </row>
    <row r="106" spans="29:33" ht="12.75">
      <c r="AC106" s="1"/>
      <c r="AD106" s="1"/>
      <c r="AE106" s="1"/>
      <c r="AF106" s="1"/>
      <c r="AG106" s="1"/>
    </row>
    <row r="107" spans="29:33" ht="12.75">
      <c r="AC107" s="1"/>
      <c r="AD107" s="1"/>
      <c r="AE107" s="1"/>
      <c r="AF107" s="1"/>
      <c r="AG107" s="1"/>
    </row>
    <row r="108" spans="29:33" ht="12.75">
      <c r="AC108" s="1"/>
      <c r="AD108" s="1"/>
      <c r="AE108" s="1"/>
      <c r="AF108" s="1"/>
      <c r="AG108" s="1"/>
    </row>
    <row r="109" spans="29:33" ht="12.75">
      <c r="AC109" s="1"/>
      <c r="AD109" s="1"/>
      <c r="AE109" s="1"/>
      <c r="AF109" s="1"/>
      <c r="AG109" s="1"/>
    </row>
    <row r="110" spans="29:33" ht="12.75">
      <c r="AC110" s="1"/>
      <c r="AD110" s="1"/>
      <c r="AE110" s="1"/>
      <c r="AF110" s="1"/>
      <c r="AG110" s="1"/>
    </row>
    <row r="111" spans="29:33" ht="12.75">
      <c r="AC111" s="1"/>
      <c r="AD111" s="1"/>
      <c r="AE111" s="1"/>
      <c r="AF111" s="1"/>
      <c r="AG111" s="1"/>
    </row>
    <row r="112" spans="29:33" ht="12.75">
      <c r="AC112" s="1"/>
      <c r="AD112" s="1"/>
      <c r="AE112" s="1"/>
      <c r="AF112" s="1"/>
      <c r="AG112" s="1"/>
    </row>
    <row r="113" spans="29:33" ht="12.75">
      <c r="AC113" s="1"/>
      <c r="AD113" s="1"/>
      <c r="AE113" s="1"/>
      <c r="AF113" s="1"/>
      <c r="AG113" s="1"/>
    </row>
    <row r="114" spans="29:33" ht="12.75">
      <c r="AC114" s="1"/>
      <c r="AD114" s="1"/>
      <c r="AE114" s="1"/>
      <c r="AF114" s="1"/>
      <c r="AG114" s="1"/>
    </row>
    <row r="115" spans="29:33" ht="12.75">
      <c r="AC115" s="1"/>
      <c r="AD115" s="1"/>
      <c r="AE115" s="1"/>
      <c r="AF115" s="1"/>
      <c r="AG115" s="1"/>
    </row>
    <row r="116" spans="29:33" ht="12.75">
      <c r="AC116" s="1"/>
      <c r="AD116" s="1"/>
      <c r="AE116" s="1"/>
      <c r="AF116" s="1"/>
      <c r="AG116" s="1"/>
    </row>
    <row r="117" spans="29:33" ht="12.75">
      <c r="AC117" s="1"/>
      <c r="AD117" s="1"/>
      <c r="AE117" s="1"/>
      <c r="AF117" s="1"/>
      <c r="AG117" s="1"/>
    </row>
    <row r="118" spans="29:33" ht="12.75">
      <c r="AC118" s="1"/>
      <c r="AD118" s="1"/>
      <c r="AE118" s="1"/>
      <c r="AF118" s="1"/>
      <c r="AG118" s="1"/>
    </row>
    <row r="119" spans="29:33" ht="12.75">
      <c r="AC119" s="1"/>
      <c r="AD119" s="1"/>
      <c r="AE119" s="1"/>
      <c r="AF119" s="1"/>
      <c r="AG119" s="1"/>
    </row>
    <row r="120" spans="29:33" ht="12.75">
      <c r="AC120" s="1"/>
      <c r="AD120" s="1"/>
      <c r="AE120" s="1"/>
      <c r="AF120" s="1"/>
      <c r="AG120" s="1"/>
    </row>
    <row r="121" spans="29:33" ht="12.75">
      <c r="AC121" s="1"/>
      <c r="AD121" s="1"/>
      <c r="AE121" s="1"/>
      <c r="AF121" s="1"/>
      <c r="AG121" s="1"/>
    </row>
    <row r="122" spans="29:33" ht="12.75">
      <c r="AC122" s="1"/>
      <c r="AD122" s="1"/>
      <c r="AE122" s="1"/>
      <c r="AF122" s="1"/>
      <c r="AG122" s="1"/>
    </row>
    <row r="123" spans="29:33" ht="12.75">
      <c r="AC123" s="1"/>
      <c r="AD123" s="1"/>
      <c r="AE123" s="1"/>
      <c r="AF123" s="1"/>
      <c r="AG123" s="1"/>
    </row>
    <row r="124" spans="29:33" ht="12.75">
      <c r="AC124" s="1"/>
      <c r="AD124" s="1"/>
      <c r="AE124" s="1"/>
      <c r="AF124" s="1"/>
      <c r="AG124" s="1"/>
    </row>
    <row r="125" spans="29:33" ht="12.75">
      <c r="AC125" s="1"/>
      <c r="AD125" s="1"/>
      <c r="AE125" s="1"/>
      <c r="AF125" s="1"/>
      <c r="AG125" s="1"/>
    </row>
    <row r="126" spans="29:33" ht="12.75">
      <c r="AC126" s="1"/>
      <c r="AD126" s="1"/>
      <c r="AE126" s="1"/>
      <c r="AF126" s="1"/>
      <c r="AG126" s="1"/>
    </row>
    <row r="127" spans="29:33" ht="12.75">
      <c r="AC127" s="1"/>
      <c r="AD127" s="1"/>
      <c r="AE127" s="1"/>
      <c r="AF127" s="1"/>
      <c r="AG127" s="1"/>
    </row>
    <row r="128" spans="29:33" ht="12.75">
      <c r="AC128" s="1"/>
      <c r="AD128" s="1"/>
      <c r="AE128" s="1"/>
      <c r="AF128" s="1"/>
      <c r="AG128" s="1"/>
    </row>
    <row r="129" spans="29:33" ht="12.75">
      <c r="AC129" s="1"/>
      <c r="AD129" s="1"/>
      <c r="AE129" s="1"/>
      <c r="AF129" s="1"/>
      <c r="AG129" s="1"/>
    </row>
    <row r="130" spans="29:33" ht="12.75">
      <c r="AC130" s="1"/>
      <c r="AD130" s="1"/>
      <c r="AE130" s="1"/>
      <c r="AF130" s="1"/>
      <c r="AG130" s="1"/>
    </row>
    <row r="131" spans="29:33" ht="12.75">
      <c r="AC131" s="1"/>
      <c r="AD131" s="1"/>
      <c r="AE131" s="1"/>
      <c r="AF131" s="1"/>
      <c r="AG131" s="1"/>
    </row>
    <row r="132" spans="29:33" ht="12.75">
      <c r="AC132" s="1"/>
      <c r="AD132" s="1"/>
      <c r="AE132" s="1"/>
      <c r="AF132" s="1"/>
      <c r="AG132" s="1"/>
    </row>
    <row r="133" spans="29:33" ht="12.75">
      <c r="AC133" s="1"/>
      <c r="AD133" s="1"/>
      <c r="AE133" s="1"/>
      <c r="AF133" s="1"/>
      <c r="AG133" s="1"/>
    </row>
    <row r="134" spans="29:33" ht="12.75">
      <c r="AC134" s="1"/>
      <c r="AD134" s="1"/>
      <c r="AE134" s="1"/>
      <c r="AF134" s="1"/>
      <c r="AG134" s="1"/>
    </row>
    <row r="135" spans="29:33" ht="12.75">
      <c r="AC135" s="1"/>
      <c r="AD135" s="1"/>
      <c r="AE135" s="1"/>
      <c r="AF135" s="1"/>
      <c r="AG135" s="1"/>
    </row>
    <row r="136" spans="29:33" ht="12.75">
      <c r="AC136" s="1"/>
      <c r="AD136" s="1"/>
      <c r="AE136" s="1"/>
      <c r="AF136" s="1"/>
      <c r="AG136" s="1"/>
    </row>
    <row r="137" spans="29:33" ht="12.75">
      <c r="AC137" s="1"/>
      <c r="AD137" s="1"/>
      <c r="AE137" s="1"/>
      <c r="AF137" s="1"/>
      <c r="AG137" s="1"/>
    </row>
    <row r="138" spans="29:33" ht="12.75">
      <c r="AC138" s="1"/>
      <c r="AD138" s="1"/>
      <c r="AE138" s="1"/>
      <c r="AF138" s="1"/>
      <c r="AG138" s="1"/>
    </row>
    <row r="139" spans="29:33" ht="12.75">
      <c r="AC139" s="1"/>
      <c r="AD139" s="1"/>
      <c r="AE139" s="1"/>
      <c r="AF139" s="1"/>
      <c r="AG139" s="1"/>
    </row>
    <row r="140" spans="29:33" ht="12.75">
      <c r="AC140" s="1"/>
      <c r="AD140" s="1"/>
      <c r="AE140" s="1"/>
      <c r="AF140" s="1"/>
      <c r="AG140" s="1"/>
    </row>
    <row r="141" spans="29:33" ht="12.75">
      <c r="AC141" s="1"/>
      <c r="AD141" s="1"/>
      <c r="AE141" s="1"/>
      <c r="AF141" s="1"/>
      <c r="AG141" s="1"/>
    </row>
    <row r="142" spans="29:33" ht="12.75">
      <c r="AC142" s="1"/>
      <c r="AD142" s="1"/>
      <c r="AE142" s="1"/>
      <c r="AF142" s="1"/>
      <c r="AG142" s="1"/>
    </row>
    <row r="143" spans="29:33" ht="12.75">
      <c r="AC143" s="1"/>
      <c r="AD143" s="1"/>
      <c r="AE143" s="1"/>
      <c r="AF143" s="1"/>
      <c r="AG143" s="1"/>
    </row>
    <row r="144" spans="29:33" ht="12.75">
      <c r="AC144" s="1"/>
      <c r="AD144" s="1"/>
      <c r="AE144" s="1"/>
      <c r="AF144" s="1"/>
      <c r="AG144" s="1"/>
    </row>
    <row r="145" spans="29:33" ht="12.75">
      <c r="AC145" s="1"/>
      <c r="AD145" s="1"/>
      <c r="AE145" s="1"/>
      <c r="AF145" s="1"/>
      <c r="AG145" s="1"/>
    </row>
    <row r="146" spans="29:33" ht="12.75">
      <c r="AC146" s="1"/>
      <c r="AD146" s="1"/>
      <c r="AE146" s="1"/>
      <c r="AF146" s="1"/>
      <c r="AG146" s="1"/>
    </row>
    <row r="147" spans="29:33" ht="12.75">
      <c r="AC147" s="1"/>
      <c r="AD147" s="1"/>
      <c r="AE147" s="1"/>
      <c r="AF147" s="1"/>
      <c r="AG147" s="1"/>
    </row>
    <row r="148" spans="29:33" ht="12.75">
      <c r="AC148" s="1"/>
      <c r="AD148" s="1"/>
      <c r="AE148" s="1"/>
      <c r="AF148" s="1"/>
      <c r="AG148" s="1"/>
    </row>
    <row r="149" spans="29:33" ht="12.75">
      <c r="AC149" s="1"/>
      <c r="AD149" s="1"/>
      <c r="AE149" s="1"/>
      <c r="AF149" s="1"/>
      <c r="AG149" s="1"/>
    </row>
    <row r="150" spans="29:33" ht="12.75">
      <c r="AC150" s="1"/>
      <c r="AD150" s="1"/>
      <c r="AE150" s="1"/>
      <c r="AF150" s="1"/>
      <c r="AG150" s="1"/>
    </row>
    <row r="151" spans="29:33" ht="12.75">
      <c r="AC151" s="1"/>
      <c r="AD151" s="1"/>
      <c r="AE151" s="1"/>
      <c r="AF151" s="1"/>
      <c r="AG151" s="1"/>
    </row>
    <row r="152" spans="29:33" ht="12.75">
      <c r="AC152" s="1"/>
      <c r="AD152" s="1"/>
      <c r="AE152" s="1"/>
      <c r="AF152" s="1"/>
      <c r="AG152" s="1"/>
    </row>
    <row r="153" spans="29:33" ht="12.75">
      <c r="AC153" s="1"/>
      <c r="AD153" s="1"/>
      <c r="AE153" s="1"/>
      <c r="AF153" s="1"/>
      <c r="AG153" s="1"/>
    </row>
    <row r="154" spans="29:33" ht="12.75">
      <c r="AC154" s="1"/>
      <c r="AD154" s="1"/>
      <c r="AE154" s="1"/>
      <c r="AF154" s="1"/>
      <c r="AG154" s="1"/>
    </row>
    <row r="155" spans="29:33" ht="12.75">
      <c r="AC155" s="1"/>
      <c r="AD155" s="1"/>
      <c r="AE155" s="1"/>
      <c r="AF155" s="1"/>
      <c r="AG155" s="1"/>
    </row>
    <row r="156" spans="29:33" ht="12.75">
      <c r="AC156" s="1"/>
      <c r="AD156" s="1"/>
      <c r="AE156" s="1"/>
      <c r="AF156" s="1"/>
      <c r="AG156" s="1"/>
    </row>
    <row r="157" spans="29:33" ht="12.75">
      <c r="AC157" s="1"/>
      <c r="AD157" s="1"/>
      <c r="AE157" s="1"/>
      <c r="AF157" s="1"/>
      <c r="AG157" s="1"/>
    </row>
    <row r="158" spans="29:33" ht="12.75">
      <c r="AC158" s="1"/>
      <c r="AD158" s="1"/>
      <c r="AE158" s="1"/>
      <c r="AF158" s="1"/>
      <c r="AG158" s="1"/>
    </row>
    <row r="159" spans="29:33" ht="12.75">
      <c r="AC159" s="1"/>
      <c r="AD159" s="1"/>
      <c r="AE159" s="1"/>
      <c r="AF159" s="1"/>
      <c r="AG159" s="1"/>
    </row>
    <row r="160" spans="29:33" ht="12.75">
      <c r="AC160" s="1"/>
      <c r="AD160" s="1"/>
      <c r="AE160" s="1"/>
      <c r="AF160" s="1"/>
      <c r="AG160" s="1"/>
    </row>
    <row r="161" spans="29:33" ht="12.75">
      <c r="AC161" s="1"/>
      <c r="AD161" s="1"/>
      <c r="AE161" s="1"/>
      <c r="AF161" s="1"/>
      <c r="AG161" s="1"/>
    </row>
    <row r="162" spans="29:33" ht="12.75">
      <c r="AC162" s="1"/>
      <c r="AD162" s="1"/>
      <c r="AE162" s="1"/>
      <c r="AF162" s="1"/>
      <c r="AG162" s="1"/>
    </row>
    <row r="163" spans="29:33" ht="12.75">
      <c r="AC163" s="1"/>
      <c r="AD163" s="1"/>
      <c r="AE163" s="1"/>
      <c r="AF163" s="1"/>
      <c r="AG163" s="1"/>
    </row>
    <row r="164" spans="29:33" ht="12.75">
      <c r="AC164" s="1"/>
      <c r="AD164" s="1"/>
      <c r="AE164" s="1"/>
      <c r="AF164" s="1"/>
      <c r="AG164" s="1"/>
    </row>
    <row r="165" spans="29:33" ht="12.75">
      <c r="AC165" s="1"/>
      <c r="AD165" s="1"/>
      <c r="AE165" s="1"/>
      <c r="AF165" s="1"/>
      <c r="AG165" s="1"/>
    </row>
    <row r="166" spans="29:33" ht="12.75">
      <c r="AC166" s="1"/>
      <c r="AD166" s="1"/>
      <c r="AE166" s="1"/>
      <c r="AF166" s="1"/>
      <c r="AG166" s="1"/>
    </row>
    <row r="167" spans="29:33" ht="12.75">
      <c r="AC167" s="1"/>
      <c r="AD167" s="1"/>
      <c r="AE167" s="1"/>
      <c r="AF167" s="1"/>
      <c r="AG167" s="1"/>
    </row>
    <row r="168" spans="29:33" ht="12.75">
      <c r="AC168" s="1"/>
      <c r="AD168" s="1"/>
      <c r="AE168" s="1"/>
      <c r="AF168" s="1"/>
      <c r="AG168" s="1"/>
    </row>
    <row r="169" spans="29:33" ht="12.75">
      <c r="AC169" s="1"/>
      <c r="AD169" s="1"/>
      <c r="AE169" s="1"/>
      <c r="AF169" s="1"/>
      <c r="AG169" s="1"/>
    </row>
    <row r="170" spans="29:33" ht="12.75">
      <c r="AC170" s="1"/>
      <c r="AD170" s="1"/>
      <c r="AE170" s="1"/>
      <c r="AF170" s="1"/>
      <c r="AG170" s="1"/>
    </row>
    <row r="171" spans="29:33" ht="12.75">
      <c r="AC171" s="1"/>
      <c r="AD171" s="1"/>
      <c r="AE171" s="1"/>
      <c r="AF171" s="1"/>
      <c r="AG171" s="1"/>
    </row>
    <row r="172" spans="29:33" ht="12.75">
      <c r="AC172" s="1"/>
      <c r="AD172" s="1"/>
      <c r="AE172" s="1"/>
      <c r="AF172" s="1"/>
      <c r="AG172" s="1"/>
    </row>
    <row r="173" spans="29:33" ht="12.75">
      <c r="AC173" s="1"/>
      <c r="AD173" s="1"/>
      <c r="AE173" s="1"/>
      <c r="AF173" s="1"/>
      <c r="AG173" s="1"/>
    </row>
    <row r="174" spans="29:33" ht="12.75">
      <c r="AC174" s="1"/>
      <c r="AD174" s="1"/>
      <c r="AE174" s="1"/>
      <c r="AF174" s="1"/>
      <c r="AG174" s="1"/>
    </row>
    <row r="175" spans="29:33" ht="12.75">
      <c r="AC175" s="1"/>
      <c r="AD175" s="1"/>
      <c r="AE175" s="1"/>
      <c r="AF175" s="1"/>
      <c r="AG175" s="1"/>
    </row>
    <row r="176" spans="29:33" ht="12.75">
      <c r="AC176" s="1"/>
      <c r="AD176" s="1"/>
      <c r="AE176" s="1"/>
      <c r="AF176" s="1"/>
      <c r="AG176" s="1"/>
    </row>
    <row r="177" spans="29:33" ht="12.75">
      <c r="AC177" s="1"/>
      <c r="AD177" s="1"/>
      <c r="AE177" s="1"/>
      <c r="AF177" s="1"/>
      <c r="AG177" s="1"/>
    </row>
    <row r="178" spans="29:33" ht="12.75">
      <c r="AC178" s="1"/>
      <c r="AD178" s="1"/>
      <c r="AE178" s="1"/>
      <c r="AF178" s="1"/>
      <c r="AG178" s="1"/>
    </row>
    <row r="179" spans="29:33" ht="12.75">
      <c r="AC179" s="1"/>
      <c r="AD179" s="1"/>
      <c r="AE179" s="1"/>
      <c r="AF179" s="1"/>
      <c r="AG179" s="1"/>
    </row>
    <row r="180" spans="29:33" ht="12.75">
      <c r="AC180" s="1"/>
      <c r="AD180" s="1"/>
      <c r="AE180" s="1"/>
      <c r="AF180" s="1"/>
      <c r="AG180" s="1"/>
    </row>
    <row r="181" spans="29:33" ht="12.75">
      <c r="AC181" s="1"/>
      <c r="AD181" s="1"/>
      <c r="AE181" s="1"/>
      <c r="AF181" s="1"/>
      <c r="AG181" s="1"/>
    </row>
    <row r="182" spans="29:33" ht="12.75">
      <c r="AC182" s="1"/>
      <c r="AD182" s="1"/>
      <c r="AE182" s="1"/>
      <c r="AF182" s="1"/>
      <c r="AG182" s="1"/>
    </row>
    <row r="183" spans="29:33" ht="12.75">
      <c r="AC183" s="1"/>
      <c r="AD183" s="1"/>
      <c r="AE183" s="1"/>
      <c r="AF183" s="1"/>
      <c r="AG183" s="1"/>
    </row>
    <row r="184" spans="29:33" ht="12.75">
      <c r="AC184" s="1"/>
      <c r="AD184" s="1"/>
      <c r="AE184" s="1"/>
      <c r="AF184" s="1"/>
      <c r="AG184" s="1"/>
    </row>
    <row r="185" spans="29:33" ht="12.75">
      <c r="AC185" s="1"/>
      <c r="AD185" s="1"/>
      <c r="AE185" s="1"/>
      <c r="AF185" s="1"/>
      <c r="AG185" s="1"/>
    </row>
    <row r="186" spans="29:33" ht="12.75">
      <c r="AC186" s="1"/>
      <c r="AD186" s="1"/>
      <c r="AE186" s="1"/>
      <c r="AF186" s="1"/>
      <c r="AG186" s="1"/>
    </row>
    <row r="187" spans="29:33" ht="12.75">
      <c r="AC187" s="1"/>
      <c r="AD187" s="1"/>
      <c r="AE187" s="1"/>
      <c r="AF187" s="1"/>
      <c r="AG187" s="1"/>
    </row>
    <row r="188" spans="29:33" ht="12.75">
      <c r="AC188" s="1"/>
      <c r="AD188" s="1"/>
      <c r="AE188" s="1"/>
      <c r="AF188" s="1"/>
      <c r="AG188" s="1"/>
    </row>
    <row r="189" spans="29:33" ht="12.75">
      <c r="AC189" s="1"/>
      <c r="AD189" s="1"/>
      <c r="AE189" s="1"/>
      <c r="AF189" s="1"/>
      <c r="AG189" s="1"/>
    </row>
    <row r="190" spans="29:33" ht="12.75">
      <c r="AC190" s="1"/>
      <c r="AD190" s="1"/>
      <c r="AE190" s="1"/>
      <c r="AF190" s="1"/>
      <c r="AG190" s="1"/>
    </row>
    <row r="191" spans="29:33" ht="12.75">
      <c r="AC191" s="1"/>
      <c r="AD191" s="1"/>
      <c r="AE191" s="1"/>
      <c r="AF191" s="1"/>
      <c r="AG191" s="1"/>
    </row>
    <row r="192" spans="29:33" ht="12.75">
      <c r="AC192" s="1"/>
      <c r="AD192" s="1"/>
      <c r="AE192" s="1"/>
      <c r="AF192" s="1"/>
      <c r="AG192" s="1"/>
    </row>
    <row r="193" spans="29:33" ht="12.75">
      <c r="AC193" s="1"/>
      <c r="AD193" s="1"/>
      <c r="AE193" s="1"/>
      <c r="AF193" s="1"/>
      <c r="AG193" s="1"/>
    </row>
    <row r="194" spans="29:33" ht="12.75">
      <c r="AC194" s="1"/>
      <c r="AD194" s="1"/>
      <c r="AE194" s="1"/>
      <c r="AF194" s="1"/>
      <c r="AG194" s="1"/>
    </row>
    <row r="195" spans="29:33" ht="12.75">
      <c r="AC195" s="1"/>
      <c r="AD195" s="1"/>
      <c r="AE195" s="1"/>
      <c r="AF195" s="1"/>
      <c r="AG195" s="1"/>
    </row>
    <row r="196" spans="29:33" ht="12.75">
      <c r="AC196" s="1"/>
      <c r="AD196" s="1"/>
      <c r="AE196" s="1"/>
      <c r="AF196" s="1"/>
      <c r="AG196" s="1"/>
    </row>
    <row r="197" spans="29:33" ht="12.75">
      <c r="AC197" s="1"/>
      <c r="AD197" s="1"/>
      <c r="AE197" s="1"/>
      <c r="AF197" s="1"/>
      <c r="AG197" s="1"/>
    </row>
    <row r="198" spans="29:33" ht="12.75">
      <c r="AC198" s="1"/>
      <c r="AD198" s="1"/>
      <c r="AE198" s="1"/>
      <c r="AF198" s="1"/>
      <c r="AG198" s="1"/>
    </row>
    <row r="199" spans="29:33" ht="12.75">
      <c r="AC199" s="1"/>
      <c r="AD199" s="1"/>
      <c r="AE199" s="1"/>
      <c r="AF199" s="1"/>
      <c r="AG199" s="1"/>
    </row>
    <row r="200" spans="29:33" ht="12.75">
      <c r="AC200" s="1"/>
      <c r="AD200" s="1"/>
      <c r="AE200" s="1"/>
      <c r="AF200" s="1"/>
      <c r="AG200" s="1"/>
    </row>
    <row r="201" spans="29:33" ht="12.75">
      <c r="AC201" s="1"/>
      <c r="AD201" s="1"/>
      <c r="AE201" s="1"/>
      <c r="AF201" s="1"/>
      <c r="AG201" s="1"/>
    </row>
    <row r="202" spans="29:33" ht="12.75">
      <c r="AC202" s="1"/>
      <c r="AD202" s="1"/>
      <c r="AE202" s="1"/>
      <c r="AF202" s="1"/>
      <c r="AG202" s="1"/>
    </row>
    <row r="203" spans="29:33" ht="12.75">
      <c r="AC203" s="1"/>
      <c r="AD203" s="1"/>
      <c r="AE203" s="1"/>
      <c r="AF203" s="1"/>
      <c r="AG203" s="1"/>
    </row>
    <row r="204" spans="29:33" ht="12.75">
      <c r="AC204" s="1"/>
      <c r="AD204" s="1"/>
      <c r="AE204" s="1"/>
      <c r="AF204" s="1"/>
      <c r="AG204" s="1"/>
    </row>
    <row r="205" spans="29:33" ht="12.75">
      <c r="AC205" s="1"/>
      <c r="AD205" s="1"/>
      <c r="AE205" s="1"/>
      <c r="AF205" s="1"/>
      <c r="AG205" s="1"/>
    </row>
    <row r="206" spans="29:33" ht="12.75">
      <c r="AC206" s="1"/>
      <c r="AD206" s="1"/>
      <c r="AE206" s="1"/>
      <c r="AF206" s="1"/>
      <c r="AG206" s="1"/>
    </row>
    <row r="207" spans="29:33" ht="12.75">
      <c r="AC207" s="1"/>
      <c r="AD207" s="1"/>
      <c r="AE207" s="1"/>
      <c r="AF207" s="1"/>
      <c r="AG207" s="1"/>
    </row>
    <row r="208" spans="29:33" ht="12.75">
      <c r="AC208" s="1"/>
      <c r="AD208" s="1"/>
      <c r="AE208" s="1"/>
      <c r="AF208" s="1"/>
      <c r="AG208" s="1"/>
    </row>
    <row r="209" spans="29:33" ht="12.75">
      <c r="AC209" s="1"/>
      <c r="AD209" s="1"/>
      <c r="AE209" s="1"/>
      <c r="AF209" s="1"/>
      <c r="AG209" s="1"/>
    </row>
    <row r="210" spans="29:33" ht="12.75">
      <c r="AC210" s="1"/>
      <c r="AD210" s="1"/>
      <c r="AE210" s="1"/>
      <c r="AF210" s="1"/>
      <c r="AG210" s="1"/>
    </row>
    <row r="211" spans="29:33" ht="12.75">
      <c r="AC211" s="1"/>
      <c r="AD211" s="1"/>
      <c r="AE211" s="1"/>
      <c r="AF211" s="1"/>
      <c r="AG211" s="1"/>
    </row>
    <row r="212" spans="29:33" ht="12.75">
      <c r="AC212" s="1"/>
      <c r="AD212" s="1"/>
      <c r="AE212" s="1"/>
      <c r="AF212" s="1"/>
      <c r="AG212" s="1"/>
    </row>
    <row r="213" spans="29:33" ht="12.75">
      <c r="AC213" s="1"/>
      <c r="AD213" s="1"/>
      <c r="AE213" s="1"/>
      <c r="AF213" s="1"/>
      <c r="AG213" s="1"/>
    </row>
    <row r="214" spans="29:33" ht="12.75">
      <c r="AC214" s="1"/>
      <c r="AD214" s="1"/>
      <c r="AE214" s="1"/>
      <c r="AF214" s="1"/>
      <c r="AG214" s="1"/>
    </row>
    <row r="215" spans="29:33" ht="12.75">
      <c r="AC215" s="1"/>
      <c r="AD215" s="1"/>
      <c r="AE215" s="1"/>
      <c r="AF215" s="1"/>
      <c r="AG215" s="1"/>
    </row>
    <row r="216" spans="29:33" ht="12.75">
      <c r="AC216" s="1"/>
      <c r="AD216" s="1"/>
      <c r="AE216" s="1"/>
      <c r="AF216" s="1"/>
      <c r="AG216" s="1"/>
    </row>
    <row r="217" spans="29:33" ht="12.75">
      <c r="AC217" s="1"/>
      <c r="AD217" s="1"/>
      <c r="AE217" s="1"/>
      <c r="AF217" s="1"/>
      <c r="AG217" s="1"/>
    </row>
    <row r="218" spans="29:33" ht="12.75">
      <c r="AC218" s="1"/>
      <c r="AD218" s="1"/>
      <c r="AE218" s="1"/>
      <c r="AF218" s="1"/>
      <c r="AG218" s="1"/>
    </row>
    <row r="219" spans="29:33" ht="12.75">
      <c r="AC219" s="1"/>
      <c r="AD219" s="1"/>
      <c r="AE219" s="1"/>
      <c r="AF219" s="1"/>
      <c r="AG219" s="1"/>
    </row>
    <row r="220" spans="29:33" ht="12.75">
      <c r="AC220" s="1"/>
      <c r="AD220" s="1"/>
      <c r="AE220" s="1"/>
      <c r="AF220" s="1"/>
      <c r="AG220" s="1"/>
    </row>
    <row r="221" spans="29:33" ht="12.75">
      <c r="AC221" s="1"/>
      <c r="AD221" s="1"/>
      <c r="AE221" s="1"/>
      <c r="AF221" s="1"/>
      <c r="AG221" s="1"/>
    </row>
    <row r="222" spans="29:33" ht="12.75">
      <c r="AC222" s="1"/>
      <c r="AD222" s="1"/>
      <c r="AE222" s="1"/>
      <c r="AF222" s="1"/>
      <c r="AG222" s="1"/>
    </row>
    <row r="223" spans="29:33" ht="12.75">
      <c r="AC223" s="1"/>
      <c r="AD223" s="1"/>
      <c r="AE223" s="1"/>
      <c r="AF223" s="1"/>
      <c r="AG223" s="1"/>
    </row>
    <row r="224" spans="29:33" ht="12.75">
      <c r="AC224" s="1"/>
      <c r="AD224" s="1"/>
      <c r="AE224" s="1"/>
      <c r="AF224" s="1"/>
      <c r="AG224" s="1"/>
    </row>
    <row r="225" spans="29:33" ht="12.75">
      <c r="AC225" s="1"/>
      <c r="AD225" s="1"/>
      <c r="AE225" s="1"/>
      <c r="AF225" s="1"/>
      <c r="AG225" s="1"/>
    </row>
    <row r="226" spans="29:33" ht="12.75">
      <c r="AC226" s="1"/>
      <c r="AD226" s="1"/>
      <c r="AE226" s="1"/>
      <c r="AF226" s="1"/>
      <c r="AG226" s="1"/>
    </row>
    <row r="227" spans="29:33" ht="12.75">
      <c r="AC227" s="1"/>
      <c r="AD227" s="1"/>
      <c r="AE227" s="1"/>
      <c r="AF227" s="1"/>
      <c r="AG227" s="1"/>
    </row>
    <row r="228" spans="29:33" ht="12.75">
      <c r="AC228" s="1"/>
      <c r="AD228" s="1"/>
      <c r="AE228" s="1"/>
      <c r="AF228" s="1"/>
      <c r="AG228" s="1"/>
    </row>
    <row r="229" spans="29:33" ht="12.75">
      <c r="AC229" s="1"/>
      <c r="AD229" s="1"/>
      <c r="AE229" s="1"/>
      <c r="AF229" s="1"/>
      <c r="AG229" s="1"/>
    </row>
    <row r="230" spans="29:33" ht="12.75">
      <c r="AC230" s="1"/>
      <c r="AD230" s="1"/>
      <c r="AE230" s="1"/>
      <c r="AF230" s="1"/>
      <c r="AG230" s="1"/>
    </row>
    <row r="231" spans="29:33" ht="12.75">
      <c r="AC231" s="1"/>
      <c r="AD231" s="1"/>
      <c r="AE231" s="1"/>
      <c r="AF231" s="1"/>
      <c r="AG231" s="1"/>
    </row>
    <row r="232" spans="29:33" ht="12.75">
      <c r="AC232" s="1"/>
      <c r="AD232" s="1"/>
      <c r="AE232" s="1"/>
      <c r="AF232" s="1"/>
      <c r="AG232" s="1"/>
    </row>
    <row r="233" spans="29:33" ht="12.75">
      <c r="AC233" s="1"/>
      <c r="AD233" s="1"/>
      <c r="AE233" s="1"/>
      <c r="AF233" s="1"/>
      <c r="AG233" s="1"/>
    </row>
    <row r="234" spans="29:33" ht="12.75">
      <c r="AC234" s="1"/>
      <c r="AD234" s="1"/>
      <c r="AE234" s="1"/>
      <c r="AF234" s="1"/>
      <c r="AG234" s="1"/>
    </row>
    <row r="235" spans="29:33" ht="12.75">
      <c r="AC235" s="1"/>
      <c r="AD235" s="1"/>
      <c r="AE235" s="1"/>
      <c r="AF235" s="1"/>
      <c r="AG235" s="1"/>
    </row>
    <row r="236" spans="29:33" ht="12.75">
      <c r="AC236" s="1"/>
      <c r="AD236" s="1"/>
      <c r="AE236" s="1"/>
      <c r="AF236" s="1"/>
      <c r="AG236" s="1"/>
    </row>
    <row r="237" spans="29:33" ht="12.75">
      <c r="AC237" s="1"/>
      <c r="AD237" s="1"/>
      <c r="AE237" s="1"/>
      <c r="AF237" s="1"/>
      <c r="AG237" s="1"/>
    </row>
    <row r="238" spans="29:33" ht="12.75">
      <c r="AC238" s="1"/>
      <c r="AD238" s="1"/>
      <c r="AE238" s="1"/>
      <c r="AF238" s="1"/>
      <c r="AG238" s="1"/>
    </row>
    <row r="239" spans="29:33" ht="12.75">
      <c r="AC239" s="1"/>
      <c r="AD239" s="1"/>
      <c r="AE239" s="1"/>
      <c r="AF239" s="1"/>
      <c r="AG239" s="1"/>
    </row>
    <row r="240" spans="29:33" ht="12.75">
      <c r="AC240" s="1"/>
      <c r="AD240" s="1"/>
      <c r="AE240" s="1"/>
      <c r="AF240" s="1"/>
      <c r="AG240" s="1"/>
    </row>
    <row r="241" spans="29:33" ht="12.75">
      <c r="AC241" s="1"/>
      <c r="AD241" s="1"/>
      <c r="AE241" s="1"/>
      <c r="AF241" s="1"/>
      <c r="AG241" s="1"/>
    </row>
    <row r="242" spans="29:33" ht="12.75">
      <c r="AC242" s="1"/>
      <c r="AD242" s="1"/>
      <c r="AE242" s="1"/>
      <c r="AF242" s="1"/>
      <c r="AG242" s="1"/>
    </row>
    <row r="243" spans="29:33" ht="12.75">
      <c r="AC243" s="1"/>
      <c r="AD243" s="1"/>
      <c r="AE243" s="1"/>
      <c r="AF243" s="1"/>
      <c r="AG243" s="1"/>
    </row>
    <row r="244" spans="29:33" ht="12.75">
      <c r="AC244" s="1"/>
      <c r="AD244" s="1"/>
      <c r="AE244" s="1"/>
      <c r="AF244" s="1"/>
      <c r="AG244" s="1"/>
    </row>
    <row r="245" spans="29:33" ht="12.75">
      <c r="AC245" s="1"/>
      <c r="AD245" s="1"/>
      <c r="AE245" s="1"/>
      <c r="AF245" s="1"/>
      <c r="AG245" s="1"/>
    </row>
    <row r="246" spans="29:33" ht="12.75">
      <c r="AC246" s="1"/>
      <c r="AD246" s="1"/>
      <c r="AE246" s="1"/>
      <c r="AF246" s="1"/>
      <c r="AG246" s="1"/>
    </row>
    <row r="247" spans="29:33" ht="12.75">
      <c r="AC247" s="1"/>
      <c r="AD247" s="1"/>
      <c r="AE247" s="1"/>
      <c r="AF247" s="1"/>
      <c r="AG247" s="1"/>
    </row>
    <row r="248" spans="29:33" ht="12.75">
      <c r="AC248" s="1"/>
      <c r="AD248" s="1"/>
      <c r="AE248" s="1"/>
      <c r="AF248" s="1"/>
      <c r="AG248" s="1"/>
    </row>
    <row r="249" spans="29:33" ht="12.75">
      <c r="AC249" s="1"/>
      <c r="AD249" s="1"/>
      <c r="AE249" s="1"/>
      <c r="AF249" s="1"/>
      <c r="AG249" s="1"/>
    </row>
    <row r="250" spans="29:33" ht="12.75">
      <c r="AC250" s="1"/>
      <c r="AD250" s="1"/>
      <c r="AE250" s="1"/>
      <c r="AF250" s="1"/>
      <c r="AG250" s="1"/>
    </row>
    <row r="251" spans="29:33" ht="12.75">
      <c r="AC251" s="1"/>
      <c r="AD251" s="1"/>
      <c r="AE251" s="1"/>
      <c r="AF251" s="1"/>
      <c r="AG251" s="1"/>
    </row>
    <row r="252" spans="29:33" ht="12.75">
      <c r="AC252" s="1"/>
      <c r="AD252" s="1"/>
      <c r="AE252" s="1"/>
      <c r="AF252" s="1"/>
      <c r="AG252" s="1"/>
    </row>
    <row r="253" spans="29:33" ht="12.75">
      <c r="AC253" s="1"/>
      <c r="AD253" s="1"/>
      <c r="AE253" s="1"/>
      <c r="AF253" s="1"/>
      <c r="AG253" s="1"/>
    </row>
    <row r="254" spans="29:33" ht="12.75">
      <c r="AC254" s="1"/>
      <c r="AD254" s="1"/>
      <c r="AE254" s="1"/>
      <c r="AF254" s="1"/>
      <c r="AG254" s="1"/>
    </row>
    <row r="255" spans="29:33" ht="12.75">
      <c r="AC255" s="1"/>
      <c r="AD255" s="1"/>
      <c r="AE255" s="1"/>
      <c r="AF255" s="1"/>
      <c r="AG255" s="1"/>
    </row>
    <row r="256" spans="29:33" ht="12.75">
      <c r="AC256" s="1"/>
      <c r="AD256" s="1"/>
      <c r="AE256" s="1"/>
      <c r="AF256" s="1"/>
      <c r="AG256" s="1"/>
    </row>
    <row r="257" spans="29:33" ht="12.75">
      <c r="AC257" s="1"/>
      <c r="AD257" s="1"/>
      <c r="AE257" s="1"/>
      <c r="AF257" s="1"/>
      <c r="AG257" s="1"/>
    </row>
    <row r="258" spans="29:33" ht="12.75">
      <c r="AC258" s="1"/>
      <c r="AD258" s="1"/>
      <c r="AE258" s="1"/>
      <c r="AF258" s="1"/>
      <c r="AG258" s="1"/>
    </row>
    <row r="259" spans="29:33" ht="12.75">
      <c r="AC259" s="1"/>
      <c r="AD259" s="1"/>
      <c r="AE259" s="1"/>
      <c r="AF259" s="1"/>
      <c r="AG259" s="1"/>
    </row>
    <row r="260" spans="29:33" ht="12.75">
      <c r="AC260" s="1"/>
      <c r="AD260" s="1"/>
      <c r="AE260" s="1"/>
      <c r="AF260" s="1"/>
      <c r="AG260" s="1"/>
    </row>
    <row r="261" spans="29:33" ht="12.75">
      <c r="AC261" s="1"/>
      <c r="AD261" s="1"/>
      <c r="AE261" s="1"/>
      <c r="AF261" s="1"/>
      <c r="AG261" s="1"/>
    </row>
    <row r="262" spans="29:33" ht="12.75">
      <c r="AC262" s="1"/>
      <c r="AD262" s="1"/>
      <c r="AE262" s="1"/>
      <c r="AF262" s="1"/>
      <c r="AG262" s="1"/>
    </row>
    <row r="263" spans="29:33" ht="12.75">
      <c r="AC263" s="1"/>
      <c r="AD263" s="1"/>
      <c r="AE263" s="1"/>
      <c r="AF263" s="1"/>
      <c r="AG263" s="1"/>
    </row>
    <row r="264" spans="29:33" ht="12.75">
      <c r="AC264" s="1"/>
      <c r="AD264" s="1"/>
      <c r="AE264" s="1"/>
      <c r="AF264" s="1"/>
      <c r="AG264" s="1"/>
    </row>
    <row r="265" spans="29:33" ht="12.75">
      <c r="AC265" s="1"/>
      <c r="AD265" s="1"/>
      <c r="AE265" s="1"/>
      <c r="AF265" s="1"/>
      <c r="AG265" s="1"/>
    </row>
    <row r="266" spans="29:33" ht="12.75">
      <c r="AC266" s="1"/>
      <c r="AD266" s="1"/>
      <c r="AE266" s="1"/>
      <c r="AF266" s="1"/>
      <c r="AG266" s="1"/>
    </row>
    <row r="267" spans="29:33" ht="12.75">
      <c r="AC267" s="1"/>
      <c r="AD267" s="1"/>
      <c r="AE267" s="1"/>
      <c r="AF267" s="1"/>
      <c r="AG267" s="1"/>
    </row>
    <row r="268" spans="29:33" ht="12.75">
      <c r="AC268" s="1"/>
      <c r="AD268" s="1"/>
      <c r="AE268" s="1"/>
      <c r="AF268" s="1"/>
      <c r="AG268" s="1"/>
    </row>
    <row r="269" spans="29:33" ht="12.75">
      <c r="AC269" s="1"/>
      <c r="AD269" s="1"/>
      <c r="AE269" s="1"/>
      <c r="AF269" s="1"/>
      <c r="AG269" s="1"/>
    </row>
    <row r="270" spans="29:33" ht="12.75">
      <c r="AC270" s="1"/>
      <c r="AD270" s="1"/>
      <c r="AE270" s="1"/>
      <c r="AF270" s="1"/>
      <c r="AG270" s="1"/>
    </row>
    <row r="271" spans="29:33" ht="12.75">
      <c r="AC271" s="1"/>
      <c r="AD271" s="1"/>
      <c r="AE271" s="1"/>
      <c r="AF271" s="1"/>
      <c r="AG271" s="1"/>
    </row>
    <row r="272" spans="29:33" ht="12.75">
      <c r="AC272" s="1"/>
      <c r="AD272" s="1"/>
      <c r="AE272" s="1"/>
      <c r="AF272" s="1"/>
      <c r="AG272" s="1"/>
    </row>
    <row r="273" spans="29:33" ht="12.75">
      <c r="AC273" s="1"/>
      <c r="AD273" s="1"/>
      <c r="AE273" s="1"/>
      <c r="AF273" s="1"/>
      <c r="AG273" s="1"/>
    </row>
    <row r="274" spans="29:33" ht="12.75">
      <c r="AC274" s="1"/>
      <c r="AD274" s="1"/>
      <c r="AE274" s="1"/>
      <c r="AF274" s="1"/>
      <c r="AG274" s="1"/>
    </row>
    <row r="275" spans="29:33" ht="12.75">
      <c r="AC275" s="1"/>
      <c r="AD275" s="1"/>
      <c r="AE275" s="1"/>
      <c r="AF275" s="1"/>
      <c r="AG275" s="1"/>
    </row>
    <row r="276" spans="29:33" ht="12.75">
      <c r="AC276" s="1"/>
      <c r="AD276" s="1"/>
      <c r="AE276" s="1"/>
      <c r="AF276" s="1"/>
      <c r="AG276" s="1"/>
    </row>
    <row r="277" spans="29:33" ht="12.75">
      <c r="AC277" s="1"/>
      <c r="AD277" s="1"/>
      <c r="AE277" s="1"/>
      <c r="AF277" s="1"/>
      <c r="AG277" s="1"/>
    </row>
    <row r="278" spans="29:33" ht="12.75">
      <c r="AC278" s="1"/>
      <c r="AD278" s="1"/>
      <c r="AE278" s="1"/>
      <c r="AF278" s="1"/>
      <c r="AG278" s="1"/>
    </row>
    <row r="279" spans="29:33" ht="12.75">
      <c r="AC279" s="1"/>
      <c r="AD279" s="1"/>
      <c r="AE279" s="1"/>
      <c r="AF279" s="1"/>
      <c r="AG279" s="1"/>
    </row>
    <row r="280" spans="29:33" ht="12.75">
      <c r="AC280" s="1"/>
      <c r="AD280" s="1"/>
      <c r="AE280" s="1"/>
      <c r="AF280" s="1"/>
      <c r="AG280" s="1"/>
    </row>
    <row r="281" spans="29:33" ht="12.75">
      <c r="AC281" s="1"/>
      <c r="AD281" s="1"/>
      <c r="AE281" s="1"/>
      <c r="AF281" s="1"/>
      <c r="AG281" s="1"/>
    </row>
    <row r="282" spans="29:33" ht="12.75">
      <c r="AC282" s="1"/>
      <c r="AD282" s="1"/>
      <c r="AE282" s="1"/>
      <c r="AF282" s="1"/>
      <c r="AG282" s="1"/>
    </row>
    <row r="283" spans="29:33" ht="12.75">
      <c r="AC283" s="1"/>
      <c r="AD283" s="1"/>
      <c r="AE283" s="1"/>
      <c r="AF283" s="1"/>
      <c r="AG283" s="1"/>
    </row>
    <row r="284" spans="29:33" ht="12.75">
      <c r="AC284" s="1"/>
      <c r="AD284" s="1"/>
      <c r="AE284" s="1"/>
      <c r="AF284" s="1"/>
      <c r="AG284" s="1"/>
    </row>
    <row r="285" spans="29:33" ht="12.75">
      <c r="AC285" s="1"/>
      <c r="AD285" s="1"/>
      <c r="AE285" s="1"/>
      <c r="AF285" s="1"/>
      <c r="AG285" s="1"/>
    </row>
    <row r="286" spans="29:33" ht="12.75">
      <c r="AC286" s="1"/>
      <c r="AD286" s="1"/>
      <c r="AE286" s="1"/>
      <c r="AF286" s="1"/>
      <c r="AG286" s="1"/>
    </row>
    <row r="287" spans="29:33" ht="12.75">
      <c r="AC287" s="1"/>
      <c r="AD287" s="1"/>
      <c r="AE287" s="1"/>
      <c r="AF287" s="1"/>
      <c r="AG287" s="1"/>
    </row>
    <row r="288" spans="29:33" ht="12.75">
      <c r="AC288" s="1"/>
      <c r="AD288" s="1"/>
      <c r="AE288" s="1"/>
      <c r="AF288" s="1"/>
      <c r="AG288" s="1"/>
    </row>
    <row r="289" spans="29:33" ht="12.75">
      <c r="AC289" s="1"/>
      <c r="AD289" s="1"/>
      <c r="AE289" s="1"/>
      <c r="AF289" s="1"/>
      <c r="AG289" s="1"/>
    </row>
    <row r="290" spans="29:33" ht="12.75">
      <c r="AC290" s="1"/>
      <c r="AD290" s="1"/>
      <c r="AE290" s="1"/>
      <c r="AF290" s="1"/>
      <c r="AG290" s="1"/>
    </row>
    <row r="291" spans="29:33" ht="12.75">
      <c r="AC291" s="1"/>
      <c r="AD291" s="1"/>
      <c r="AE291" s="1"/>
      <c r="AF291" s="1"/>
      <c r="AG291" s="1"/>
    </row>
    <row r="292" spans="29:33" ht="12.75">
      <c r="AC292" s="1"/>
      <c r="AD292" s="1"/>
      <c r="AE292" s="1"/>
      <c r="AF292" s="1"/>
      <c r="AG292" s="1"/>
    </row>
    <row r="293" spans="29:33" ht="12.75">
      <c r="AC293" s="1"/>
      <c r="AD293" s="1"/>
      <c r="AE293" s="1"/>
      <c r="AF293" s="1"/>
      <c r="AG293" s="1"/>
    </row>
    <row r="294" spans="29:33" ht="12.75">
      <c r="AC294" s="1"/>
      <c r="AD294" s="1"/>
      <c r="AE294" s="1"/>
      <c r="AF294" s="1"/>
      <c r="AG294" s="1"/>
    </row>
    <row r="295" spans="29:33" ht="12.75">
      <c r="AC295" s="1"/>
      <c r="AD295" s="1"/>
      <c r="AE295" s="1"/>
      <c r="AF295" s="1"/>
      <c r="AG295" s="1"/>
    </row>
    <row r="296" spans="29:33" ht="12.75">
      <c r="AC296" s="1"/>
      <c r="AD296" s="1"/>
      <c r="AE296" s="1"/>
      <c r="AF296" s="1"/>
      <c r="AG296" s="1"/>
    </row>
    <row r="297" spans="29:33" ht="12.75">
      <c r="AC297" s="1"/>
      <c r="AD297" s="1"/>
      <c r="AE297" s="1"/>
      <c r="AF297" s="1"/>
      <c r="AG297" s="1"/>
    </row>
    <row r="298" spans="29:33" ht="12.75">
      <c r="AC298" s="1"/>
      <c r="AD298" s="1"/>
      <c r="AE298" s="1"/>
      <c r="AF298" s="1"/>
      <c r="AG298" s="1"/>
    </row>
    <row r="299" spans="29:33" ht="12.75">
      <c r="AC299" s="1"/>
      <c r="AD299" s="1"/>
      <c r="AE299" s="1"/>
      <c r="AF299" s="1"/>
      <c r="AG299" s="1"/>
    </row>
    <row r="300" spans="29:33" ht="12.75">
      <c r="AC300" s="1"/>
      <c r="AD300" s="1"/>
      <c r="AE300" s="1"/>
      <c r="AF300" s="1"/>
      <c r="AG300" s="1"/>
    </row>
    <row r="301" spans="29:33" ht="12.75">
      <c r="AC301" s="1"/>
      <c r="AD301" s="1"/>
      <c r="AE301" s="1"/>
      <c r="AF301" s="1"/>
      <c r="AG301" s="1"/>
    </row>
    <row r="302" spans="29:33" ht="12.75">
      <c r="AC302" s="1"/>
      <c r="AD302" s="1"/>
      <c r="AE302" s="1"/>
      <c r="AF302" s="1"/>
      <c r="AG302" s="1"/>
    </row>
    <row r="303" spans="29:33" ht="12.75">
      <c r="AC303" s="1"/>
      <c r="AD303" s="1"/>
      <c r="AE303" s="1"/>
      <c r="AF303" s="1"/>
      <c r="AG303" s="1"/>
    </row>
    <row r="304" spans="29:33" ht="12.75">
      <c r="AC304" s="1"/>
      <c r="AD304" s="1"/>
      <c r="AE304" s="1"/>
      <c r="AF304" s="1"/>
      <c r="AG304" s="1"/>
    </row>
    <row r="305" spans="29:33" ht="12.75">
      <c r="AC305" s="1"/>
      <c r="AD305" s="1"/>
      <c r="AE305" s="1"/>
      <c r="AF305" s="1"/>
      <c r="AG305" s="1"/>
    </row>
    <row r="306" spans="29:33" ht="12.75">
      <c r="AC306" s="1"/>
      <c r="AD306" s="1"/>
      <c r="AE306" s="1"/>
      <c r="AF306" s="1"/>
      <c r="AG306" s="1"/>
    </row>
    <row r="307" spans="29:33" ht="12.75">
      <c r="AC307" s="1"/>
      <c r="AD307" s="1"/>
      <c r="AE307" s="1"/>
      <c r="AF307" s="1"/>
      <c r="AG307" s="1"/>
    </row>
    <row r="308" spans="29:33" ht="12.75">
      <c r="AC308" s="1"/>
      <c r="AD308" s="1"/>
      <c r="AE308" s="1"/>
      <c r="AF308" s="1"/>
      <c r="AG308" s="1"/>
    </row>
    <row r="309" spans="29:33" ht="12.75">
      <c r="AC309" s="1"/>
      <c r="AD309" s="1"/>
      <c r="AE309" s="1"/>
      <c r="AF309" s="1"/>
      <c r="AG309" s="1"/>
    </row>
    <row r="310" spans="29:33" ht="12.75">
      <c r="AC310" s="1"/>
      <c r="AD310" s="1"/>
      <c r="AE310" s="1"/>
      <c r="AF310" s="1"/>
      <c r="AG310" s="1"/>
    </row>
    <row r="311" spans="29:33" ht="12.75">
      <c r="AC311" s="1"/>
      <c r="AD311" s="1"/>
      <c r="AE311" s="1"/>
      <c r="AF311" s="1"/>
      <c r="AG311" s="1"/>
    </row>
    <row r="312" spans="29:33" ht="12.75">
      <c r="AC312" s="1"/>
      <c r="AD312" s="1"/>
      <c r="AE312" s="1"/>
      <c r="AF312" s="1"/>
      <c r="AG312" s="1"/>
    </row>
    <row r="313" spans="29:33" ht="12.75">
      <c r="AC313" s="1"/>
      <c r="AD313" s="1"/>
      <c r="AE313" s="1"/>
      <c r="AF313" s="1"/>
      <c r="AG313" s="1"/>
    </row>
    <row r="314" spans="29:33" ht="12.75">
      <c r="AC314" s="1"/>
      <c r="AD314" s="1"/>
      <c r="AE314" s="1"/>
      <c r="AF314" s="1"/>
      <c r="AG314" s="1"/>
    </row>
    <row r="315" spans="29:33" ht="12.75">
      <c r="AC315" s="1"/>
      <c r="AD315" s="1"/>
      <c r="AE315" s="1"/>
      <c r="AF315" s="1"/>
      <c r="AG315" s="1"/>
    </row>
    <row r="316" spans="29:33" ht="12.75">
      <c r="AC316" s="1"/>
      <c r="AD316" s="1"/>
      <c r="AE316" s="1"/>
      <c r="AF316" s="1"/>
      <c r="AG316" s="1"/>
    </row>
    <row r="317" spans="29:33" ht="12.75">
      <c r="AC317" s="1"/>
      <c r="AD317" s="1"/>
      <c r="AE317" s="1"/>
      <c r="AF317" s="1"/>
      <c r="AG317" s="1"/>
    </row>
    <row r="318" spans="29:33" ht="12.75">
      <c r="AC318" s="1"/>
      <c r="AD318" s="1"/>
      <c r="AE318" s="1"/>
      <c r="AF318" s="1"/>
      <c r="AG318" s="1"/>
    </row>
    <row r="319" spans="29:33" ht="12.75">
      <c r="AC319" s="1"/>
      <c r="AD319" s="1"/>
      <c r="AE319" s="1"/>
      <c r="AF319" s="1"/>
      <c r="AG319" s="1"/>
    </row>
    <row r="320" spans="29:33" ht="12.75">
      <c r="AC320" s="1"/>
      <c r="AD320" s="1"/>
      <c r="AE320" s="1"/>
      <c r="AF320" s="1"/>
      <c r="AG320" s="1"/>
    </row>
    <row r="321" spans="29:33" ht="12.75">
      <c r="AC321" s="1"/>
      <c r="AD321" s="1"/>
      <c r="AE321" s="1"/>
      <c r="AF321" s="1"/>
      <c r="AG321" s="1"/>
    </row>
    <row r="322" spans="29:33" ht="12.75">
      <c r="AC322" s="1"/>
      <c r="AD322" s="1"/>
      <c r="AE322" s="1"/>
      <c r="AF322" s="1"/>
      <c r="AG322" s="1"/>
    </row>
    <row r="323" spans="29:33" ht="12.75">
      <c r="AC323" s="1"/>
      <c r="AD323" s="1"/>
      <c r="AE323" s="1"/>
      <c r="AF323" s="1"/>
      <c r="AG323" s="1"/>
    </row>
    <row r="324" spans="29:33" ht="12.75">
      <c r="AC324" s="1"/>
      <c r="AD324" s="1"/>
      <c r="AE324" s="1"/>
      <c r="AF324" s="1"/>
      <c r="AG324" s="1"/>
    </row>
    <row r="325" spans="29:33" ht="12.75">
      <c r="AC325" s="1"/>
      <c r="AD325" s="1"/>
      <c r="AE325" s="1"/>
      <c r="AF325" s="1"/>
      <c r="AG325" s="1"/>
    </row>
    <row r="326" spans="29:33" ht="12.75">
      <c r="AC326" s="1"/>
      <c r="AD326" s="1"/>
      <c r="AE326" s="1"/>
      <c r="AF326" s="1"/>
      <c r="AG326" s="1"/>
    </row>
    <row r="327" spans="29:33" ht="12.75">
      <c r="AC327" s="1"/>
      <c r="AD327" s="1"/>
      <c r="AE327" s="1"/>
      <c r="AF327" s="1"/>
      <c r="AG327" s="1"/>
    </row>
    <row r="328" spans="29:33" ht="12.75">
      <c r="AC328" s="1"/>
      <c r="AD328" s="1"/>
      <c r="AE328" s="1"/>
      <c r="AF328" s="1"/>
      <c r="AG328" s="1"/>
    </row>
    <row r="329" spans="29:33" ht="12.75">
      <c r="AC329" s="1"/>
      <c r="AD329" s="1"/>
      <c r="AE329" s="1"/>
      <c r="AF329" s="1"/>
      <c r="AG329" s="1"/>
    </row>
    <row r="330" spans="29:33" ht="12.75">
      <c r="AC330" s="1"/>
      <c r="AD330" s="1"/>
      <c r="AE330" s="1"/>
      <c r="AF330" s="1"/>
      <c r="AG330" s="1"/>
    </row>
    <row r="331" spans="29:33" ht="12.75">
      <c r="AC331" s="1"/>
      <c r="AD331" s="1"/>
      <c r="AE331" s="1"/>
      <c r="AF331" s="1"/>
      <c r="AG331" s="1"/>
    </row>
    <row r="332" spans="29:33" ht="12.75">
      <c r="AC332" s="1"/>
      <c r="AD332" s="1"/>
      <c r="AE332" s="1"/>
      <c r="AF332" s="1"/>
      <c r="AG332" s="1"/>
    </row>
    <row r="333" spans="29:33" ht="12.75">
      <c r="AC333" s="1"/>
      <c r="AD333" s="1"/>
      <c r="AE333" s="1"/>
      <c r="AF333" s="1"/>
      <c r="AG333" s="1"/>
    </row>
    <row r="334" spans="29:33" ht="12.75">
      <c r="AC334" s="1"/>
      <c r="AD334" s="1"/>
      <c r="AE334" s="1"/>
      <c r="AF334" s="1"/>
      <c r="AG334" s="1"/>
    </row>
    <row r="335" spans="29:33" ht="12.75">
      <c r="AC335" s="1"/>
      <c r="AD335" s="1"/>
      <c r="AE335" s="1"/>
      <c r="AF335" s="1"/>
      <c r="AG335" s="1"/>
    </row>
    <row r="336" spans="29:33" ht="12.75">
      <c r="AC336" s="1"/>
      <c r="AD336" s="1"/>
      <c r="AE336" s="1"/>
      <c r="AF336" s="1"/>
      <c r="AG336" s="1"/>
    </row>
    <row r="337" spans="29:33" ht="12.75">
      <c r="AC337" s="1"/>
      <c r="AD337" s="1"/>
      <c r="AE337" s="1"/>
      <c r="AF337" s="1"/>
      <c r="AG337" s="1"/>
    </row>
    <row r="338" spans="29:33" ht="12.75">
      <c r="AC338" s="1"/>
      <c r="AD338" s="1"/>
      <c r="AE338" s="1"/>
      <c r="AF338" s="1"/>
      <c r="AG338" s="1"/>
    </row>
    <row r="339" spans="29:33" ht="12.75">
      <c r="AC339" s="1"/>
      <c r="AD339" s="1"/>
      <c r="AE339" s="1"/>
      <c r="AF339" s="1"/>
      <c r="AG339" s="1"/>
    </row>
    <row r="340" spans="29:33" ht="12.75">
      <c r="AC340" s="1"/>
      <c r="AD340" s="1"/>
      <c r="AE340" s="1"/>
      <c r="AF340" s="1"/>
      <c r="AG340" s="1"/>
    </row>
    <row r="341" spans="29:33" ht="12.75">
      <c r="AC341" s="1"/>
      <c r="AD341" s="1"/>
      <c r="AE341" s="1"/>
      <c r="AF341" s="1"/>
      <c r="AG341" s="1"/>
    </row>
    <row r="342" spans="29:33" ht="12.75">
      <c r="AC342" s="1"/>
      <c r="AD342" s="1"/>
      <c r="AE342" s="1"/>
      <c r="AF342" s="1"/>
      <c r="AG342" s="1"/>
    </row>
    <row r="343" spans="29:33" ht="12.75">
      <c r="AC343" s="1"/>
      <c r="AD343" s="1"/>
      <c r="AE343" s="1"/>
      <c r="AF343" s="1"/>
      <c r="AG343" s="1"/>
    </row>
    <row r="344" spans="29:33" ht="12.75">
      <c r="AC344" s="1"/>
      <c r="AD344" s="1"/>
      <c r="AE344" s="1"/>
      <c r="AF344" s="1"/>
      <c r="AG344" s="1"/>
    </row>
    <row r="345" spans="29:33" ht="12.75">
      <c r="AC345" s="1"/>
      <c r="AD345" s="1"/>
      <c r="AE345" s="1"/>
      <c r="AF345" s="1"/>
      <c r="AG345" s="1"/>
    </row>
    <row r="346" spans="29:33" ht="12.75">
      <c r="AC346" s="1"/>
      <c r="AD346" s="1"/>
      <c r="AE346" s="1"/>
      <c r="AF346" s="1"/>
      <c r="AG346" s="1"/>
    </row>
    <row r="347" spans="29:33" ht="12.75">
      <c r="AC347" s="1"/>
      <c r="AD347" s="1"/>
      <c r="AE347" s="1"/>
      <c r="AF347" s="1"/>
      <c r="AG347" s="1"/>
    </row>
    <row r="348" spans="29:33" ht="12.75">
      <c r="AC348" s="1"/>
      <c r="AD348" s="1"/>
      <c r="AE348" s="1"/>
      <c r="AF348" s="1"/>
      <c r="AG348" s="1"/>
    </row>
    <row r="349" spans="29:33" ht="12.75">
      <c r="AC349" s="1"/>
      <c r="AD349" s="1"/>
      <c r="AE349" s="1"/>
      <c r="AF349" s="1"/>
      <c r="AG349" s="1"/>
    </row>
    <row r="350" spans="29:33" ht="12.75">
      <c r="AC350" s="1"/>
      <c r="AD350" s="1"/>
      <c r="AE350" s="1"/>
      <c r="AF350" s="1"/>
      <c r="AG350" s="1"/>
    </row>
    <row r="351" spans="29:33" ht="12.75">
      <c r="AC351" s="1"/>
      <c r="AD351" s="1"/>
      <c r="AE351" s="1"/>
      <c r="AF351" s="1"/>
      <c r="AG351" s="1"/>
    </row>
    <row r="352" spans="29:33" ht="12.75">
      <c r="AC352" s="1"/>
      <c r="AD352" s="1"/>
      <c r="AE352" s="1"/>
      <c r="AF352" s="1"/>
      <c r="AG352" s="1"/>
    </row>
    <row r="353" spans="29:33" ht="12.75">
      <c r="AC353" s="1"/>
      <c r="AD353" s="1"/>
      <c r="AE353" s="1"/>
      <c r="AF353" s="1"/>
      <c r="AG353" s="1"/>
    </row>
    <row r="354" spans="29:33" ht="12.75">
      <c r="AC354" s="1"/>
      <c r="AD354" s="1"/>
      <c r="AE354" s="1"/>
      <c r="AF354" s="1"/>
      <c r="AG354" s="1"/>
    </row>
    <row r="355" spans="29:33" ht="12.75">
      <c r="AC355" s="1"/>
      <c r="AD355" s="1"/>
      <c r="AE355" s="1"/>
      <c r="AF355" s="1"/>
      <c r="AG355" s="1"/>
    </row>
    <row r="356" spans="29:33" ht="12.75">
      <c r="AC356" s="1"/>
      <c r="AD356" s="1"/>
      <c r="AE356" s="1"/>
      <c r="AF356" s="1"/>
      <c r="AG356" s="1"/>
    </row>
    <row r="357" spans="29:33" ht="12.75">
      <c r="AC357" s="1"/>
      <c r="AD357" s="1"/>
      <c r="AE357" s="1"/>
      <c r="AF357" s="1"/>
      <c r="AG357" s="1"/>
    </row>
    <row r="358" spans="29:33" ht="12.75">
      <c r="AC358" s="1"/>
      <c r="AD358" s="1"/>
      <c r="AE358" s="1"/>
      <c r="AF358" s="1"/>
      <c r="AG358" s="1"/>
    </row>
    <row r="359" spans="29:33" ht="12.75">
      <c r="AC359" s="1"/>
      <c r="AD359" s="1"/>
      <c r="AE359" s="1"/>
      <c r="AF359" s="1"/>
      <c r="AG359" s="1"/>
    </row>
    <row r="360" spans="29:33" ht="12.75">
      <c r="AC360" s="1"/>
      <c r="AD360" s="1"/>
      <c r="AE360" s="1"/>
      <c r="AF360" s="1"/>
      <c r="AG360" s="1"/>
    </row>
    <row r="361" spans="29:33" ht="12.75">
      <c r="AC361" s="1"/>
      <c r="AD361" s="1"/>
      <c r="AE361" s="1"/>
      <c r="AF361" s="1"/>
      <c r="AG361" s="1"/>
    </row>
    <row r="362" spans="29:33" ht="12.75">
      <c r="AC362" s="1"/>
      <c r="AD362" s="1"/>
      <c r="AE362" s="1"/>
      <c r="AF362" s="1"/>
      <c r="AG362" s="1"/>
    </row>
    <row r="363" spans="29:33" ht="12.75">
      <c r="AC363" s="1"/>
      <c r="AD363" s="1"/>
      <c r="AE363" s="1"/>
      <c r="AF363" s="1"/>
      <c r="AG363" s="1"/>
    </row>
    <row r="364" spans="29:33" ht="12.75">
      <c r="AC364" s="1"/>
      <c r="AD364" s="1"/>
      <c r="AE364" s="1"/>
      <c r="AF364" s="1"/>
      <c r="AG364" s="1"/>
    </row>
    <row r="365" spans="29:33" ht="12.75">
      <c r="AC365" s="1"/>
      <c r="AD365" s="1"/>
      <c r="AE365" s="1"/>
      <c r="AF365" s="1"/>
      <c r="AG365" s="1"/>
    </row>
    <row r="366" spans="29:33" ht="12.75">
      <c r="AC366" s="1"/>
      <c r="AD366" s="1"/>
      <c r="AE366" s="1"/>
      <c r="AF366" s="1"/>
      <c r="AG366" s="1"/>
    </row>
    <row r="367" spans="29:33" ht="12.75">
      <c r="AC367" s="1"/>
      <c r="AD367" s="1"/>
      <c r="AE367" s="1"/>
      <c r="AF367" s="1"/>
      <c r="AG367" s="1"/>
    </row>
    <row r="368" spans="29:33" ht="12.75">
      <c r="AC368" s="1"/>
      <c r="AD368" s="1"/>
      <c r="AE368" s="1"/>
      <c r="AF368" s="1"/>
      <c r="AG368" s="1"/>
    </row>
    <row r="369" spans="29:33" ht="12.75">
      <c r="AC369" s="1"/>
      <c r="AD369" s="1"/>
      <c r="AE369" s="1"/>
      <c r="AF369" s="1"/>
      <c r="AG369" s="1"/>
    </row>
    <row r="370" spans="29:33" ht="12.75">
      <c r="AC370" s="1"/>
      <c r="AD370" s="1"/>
      <c r="AE370" s="1"/>
      <c r="AF370" s="1"/>
      <c r="AG370" s="1"/>
    </row>
    <row r="371" spans="29:33" ht="12.75">
      <c r="AC371" s="1"/>
      <c r="AD371" s="1"/>
      <c r="AE371" s="1"/>
      <c r="AF371" s="1"/>
      <c r="AG371" s="1"/>
    </row>
    <row r="372" spans="29:33" ht="12.75">
      <c r="AC372" s="1"/>
      <c r="AD372" s="1"/>
      <c r="AE372" s="1"/>
      <c r="AF372" s="1"/>
      <c r="AG372" s="1"/>
    </row>
    <row r="373" spans="29:33" ht="12.75">
      <c r="AC373" s="1"/>
      <c r="AD373" s="1"/>
      <c r="AE373" s="1"/>
      <c r="AF373" s="1"/>
      <c r="AG373" s="1"/>
    </row>
    <row r="374" spans="29:33" ht="12.75">
      <c r="AC374" s="1"/>
      <c r="AD374" s="1"/>
      <c r="AE374" s="1"/>
      <c r="AF374" s="1"/>
      <c r="AG374" s="1"/>
    </row>
    <row r="375" spans="29:33" ht="12.75">
      <c r="AC375" s="1"/>
      <c r="AD375" s="1"/>
      <c r="AE375" s="1"/>
      <c r="AF375" s="1"/>
      <c r="AG375" s="1"/>
    </row>
    <row r="376" spans="29:33" ht="12.75">
      <c r="AC376" s="1"/>
      <c r="AD376" s="1"/>
      <c r="AE376" s="1"/>
      <c r="AF376" s="1"/>
      <c r="AG376" s="1"/>
    </row>
    <row r="377" spans="29:33" ht="12.75">
      <c r="AC377" s="1"/>
      <c r="AD377" s="1"/>
      <c r="AE377" s="1"/>
      <c r="AF377" s="1"/>
      <c r="AG377" s="1"/>
    </row>
    <row r="378" spans="29:33" ht="12.75">
      <c r="AC378" s="1"/>
      <c r="AD378" s="1"/>
      <c r="AE378" s="1"/>
      <c r="AF378" s="1"/>
      <c r="AG378" s="1"/>
    </row>
    <row r="379" spans="29:33" ht="12.75">
      <c r="AC379" s="1"/>
      <c r="AD379" s="1"/>
      <c r="AE379" s="1"/>
      <c r="AF379" s="1"/>
      <c r="AG379" s="1"/>
    </row>
    <row r="380" spans="29:33" ht="12.75">
      <c r="AC380" s="1"/>
      <c r="AD380" s="1"/>
      <c r="AE380" s="1"/>
      <c r="AF380" s="1"/>
      <c r="AG380" s="1"/>
    </row>
    <row r="381" spans="29:33" ht="12.75">
      <c r="AC381" s="1"/>
      <c r="AD381" s="1"/>
      <c r="AE381" s="1"/>
      <c r="AF381" s="1"/>
      <c r="AG381" s="1"/>
    </row>
    <row r="382" spans="29:33" ht="12.75">
      <c r="AC382" s="1"/>
      <c r="AD382" s="1"/>
      <c r="AE382" s="1"/>
      <c r="AF382" s="1"/>
      <c r="AG382" s="1"/>
    </row>
    <row r="383" spans="29:33" ht="12.75">
      <c r="AC383" s="1"/>
      <c r="AD383" s="1"/>
      <c r="AE383" s="1"/>
      <c r="AF383" s="1"/>
      <c r="AG383" s="1"/>
    </row>
    <row r="384" spans="29:33" ht="12.75">
      <c r="AC384" s="1"/>
      <c r="AD384" s="1"/>
      <c r="AE384" s="1"/>
      <c r="AF384" s="1"/>
      <c r="AG384" s="1"/>
    </row>
    <row r="385" spans="29:33" ht="12.75">
      <c r="AC385" s="1"/>
      <c r="AD385" s="1"/>
      <c r="AE385" s="1"/>
      <c r="AF385" s="1"/>
      <c r="AG385" s="1"/>
    </row>
    <row r="386" spans="29:33" ht="12.75">
      <c r="AC386" s="1"/>
      <c r="AD386" s="1"/>
      <c r="AE386" s="1"/>
      <c r="AF386" s="1"/>
      <c r="AG386" s="1"/>
    </row>
    <row r="387" spans="29:33" ht="12.75">
      <c r="AC387" s="1"/>
      <c r="AD387" s="1"/>
      <c r="AE387" s="1"/>
      <c r="AF387" s="1"/>
      <c r="AG387" s="1"/>
    </row>
    <row r="388" spans="29:33" ht="12.75">
      <c r="AC388" s="1"/>
      <c r="AD388" s="1"/>
      <c r="AE388" s="1"/>
      <c r="AF388" s="1"/>
      <c r="AG388" s="1"/>
    </row>
    <row r="389" spans="29:33" ht="12.75">
      <c r="AC389" s="1"/>
      <c r="AD389" s="1"/>
      <c r="AE389" s="1"/>
      <c r="AF389" s="1"/>
      <c r="AG389" s="1"/>
    </row>
    <row r="390" spans="29:33" ht="12.75">
      <c r="AC390" s="1"/>
      <c r="AD390" s="1"/>
      <c r="AE390" s="1"/>
      <c r="AF390" s="1"/>
      <c r="AG390" s="1"/>
    </row>
    <row r="391" spans="29:33" ht="12.75">
      <c r="AC391" s="1"/>
      <c r="AD391" s="1"/>
      <c r="AE391" s="1"/>
      <c r="AF391" s="1"/>
      <c r="AG391" s="1"/>
    </row>
    <row r="392" spans="29:33" ht="12.75">
      <c r="AC392" s="1"/>
      <c r="AD392" s="1"/>
      <c r="AE392" s="1"/>
      <c r="AF392" s="1"/>
      <c r="AG392" s="1"/>
    </row>
    <row r="393" spans="29:33" ht="12.75">
      <c r="AC393" s="1"/>
      <c r="AD393" s="1"/>
      <c r="AE393" s="1"/>
      <c r="AF393" s="1"/>
      <c r="AG393" s="1"/>
    </row>
    <row r="394" spans="29:33" ht="12.75">
      <c r="AC394" s="1"/>
      <c r="AD394" s="1"/>
      <c r="AE394" s="1"/>
      <c r="AF394" s="1"/>
      <c r="AG394" s="1"/>
    </row>
    <row r="395" spans="29:33" ht="12.75">
      <c r="AC395" s="1"/>
      <c r="AD395" s="1"/>
      <c r="AE395" s="1"/>
      <c r="AF395" s="1"/>
      <c r="AG395" s="1"/>
    </row>
    <row r="396" spans="29:33" ht="12.75">
      <c r="AC396" s="1"/>
      <c r="AD396" s="1"/>
      <c r="AE396" s="1"/>
      <c r="AF396" s="1"/>
      <c r="AG396" s="1"/>
    </row>
    <row r="397" spans="29:33" ht="12.75">
      <c r="AC397" s="1"/>
      <c r="AD397" s="1"/>
      <c r="AE397" s="1"/>
      <c r="AF397" s="1"/>
      <c r="AG397" s="1"/>
    </row>
    <row r="398" spans="29:33" ht="12.75">
      <c r="AC398" s="1"/>
      <c r="AD398" s="1"/>
      <c r="AE398" s="1"/>
      <c r="AF398" s="1"/>
      <c r="AG398" s="1"/>
    </row>
    <row r="399" spans="29:33" ht="12.75">
      <c r="AC399" s="1"/>
      <c r="AD399" s="1"/>
      <c r="AE399" s="1"/>
      <c r="AF399" s="1"/>
      <c r="AG399" s="1"/>
    </row>
    <row r="400" spans="29:33" ht="12.75">
      <c r="AC400" s="1"/>
      <c r="AD400" s="1"/>
      <c r="AE400" s="1"/>
      <c r="AF400" s="1"/>
      <c r="AG400" s="1"/>
    </row>
    <row r="401" spans="29:33" ht="12.75">
      <c r="AC401" s="1"/>
      <c r="AD401" s="1"/>
      <c r="AE401" s="1"/>
      <c r="AF401" s="1"/>
      <c r="AG401" s="1"/>
    </row>
    <row r="402" spans="29:33" ht="12.75">
      <c r="AC402" s="1"/>
      <c r="AD402" s="1"/>
      <c r="AE402" s="1"/>
      <c r="AF402" s="1"/>
      <c r="AG402" s="1"/>
    </row>
    <row r="403" spans="29:33" ht="12.75">
      <c r="AC403" s="1"/>
      <c r="AD403" s="1"/>
      <c r="AE403" s="1"/>
      <c r="AF403" s="1"/>
      <c r="AG403" s="1"/>
    </row>
    <row r="404" spans="29:33" ht="12.75">
      <c r="AC404" s="1"/>
      <c r="AD404" s="1"/>
      <c r="AE404" s="1"/>
      <c r="AF404" s="1"/>
      <c r="AG404" s="1"/>
    </row>
    <row r="405" spans="29:33" ht="12.75">
      <c r="AC405" s="1"/>
      <c r="AD405" s="1"/>
      <c r="AE405" s="1"/>
      <c r="AF405" s="1"/>
      <c r="AG405" s="1"/>
    </row>
    <row r="406" spans="29:33" ht="12.75">
      <c r="AC406" s="1"/>
      <c r="AD406" s="1"/>
      <c r="AE406" s="1"/>
      <c r="AF406" s="1"/>
      <c r="AG406" s="1"/>
    </row>
    <row r="407" spans="29:33" ht="12.75">
      <c r="AC407" s="1"/>
      <c r="AD407" s="1"/>
      <c r="AE407" s="1"/>
      <c r="AF407" s="1"/>
      <c r="AG407" s="1"/>
    </row>
    <row r="408" spans="29:33" ht="12.75">
      <c r="AC408" s="1"/>
      <c r="AD408" s="1"/>
      <c r="AE408" s="1"/>
      <c r="AF408" s="1"/>
      <c r="AG408" s="1"/>
    </row>
    <row r="409" spans="29:33" ht="12.75">
      <c r="AC409" s="1"/>
      <c r="AD409" s="1"/>
      <c r="AE409" s="1"/>
      <c r="AF409" s="1"/>
      <c r="AG409" s="1"/>
    </row>
    <row r="410" spans="29:33" ht="12.75">
      <c r="AC410" s="1"/>
      <c r="AD410" s="1"/>
      <c r="AE410" s="1"/>
      <c r="AF410" s="1"/>
      <c r="AG410" s="1"/>
    </row>
    <row r="411" spans="29:33" ht="12.75">
      <c r="AC411" s="1"/>
      <c r="AD411" s="1"/>
      <c r="AE411" s="1"/>
      <c r="AF411" s="1"/>
      <c r="AG411" s="1"/>
    </row>
    <row r="412" spans="29:33" ht="12.75">
      <c r="AC412" s="1"/>
      <c r="AD412" s="1"/>
      <c r="AE412" s="1"/>
      <c r="AF412" s="1"/>
      <c r="AG412" s="1"/>
    </row>
    <row r="413" spans="29:33" ht="12.75">
      <c r="AC413" s="1"/>
      <c r="AD413" s="1"/>
      <c r="AE413" s="1"/>
      <c r="AF413" s="1"/>
      <c r="AG413" s="1"/>
    </row>
    <row r="414" spans="29:33" ht="12.75">
      <c r="AC414" s="1"/>
      <c r="AD414" s="1"/>
      <c r="AE414" s="1"/>
      <c r="AF414" s="1"/>
      <c r="AG414" s="1"/>
    </row>
    <row r="415" spans="29:33" ht="12.75">
      <c r="AC415" s="1"/>
      <c r="AD415" s="1"/>
      <c r="AE415" s="1"/>
      <c r="AF415" s="1"/>
      <c r="AG415" s="1"/>
    </row>
    <row r="416" spans="29:33" ht="12.75">
      <c r="AC416" s="1"/>
      <c r="AD416" s="1"/>
      <c r="AE416" s="1"/>
      <c r="AF416" s="1"/>
      <c r="AG416" s="1"/>
    </row>
    <row r="417" spans="29:33" ht="12.75">
      <c r="AC417" s="1"/>
      <c r="AD417" s="1"/>
      <c r="AE417" s="1"/>
      <c r="AF417" s="1"/>
      <c r="AG417" s="1"/>
    </row>
    <row r="418" spans="29:33" ht="12.75">
      <c r="AC418" s="1"/>
      <c r="AD418" s="1"/>
      <c r="AE418" s="1"/>
      <c r="AF418" s="1"/>
      <c r="AG418" s="1"/>
    </row>
    <row r="419" spans="29:33" ht="12.75">
      <c r="AC419" s="1"/>
      <c r="AD419" s="1"/>
      <c r="AE419" s="1"/>
      <c r="AF419" s="1"/>
      <c r="AG419" s="1"/>
    </row>
    <row r="420" spans="29:33" ht="12.75">
      <c r="AC420" s="1"/>
      <c r="AD420" s="1"/>
      <c r="AE420" s="1"/>
      <c r="AF420" s="1"/>
      <c r="AG420" s="1"/>
    </row>
    <row r="421" spans="29:33" ht="12.75">
      <c r="AC421" s="1"/>
      <c r="AD421" s="1"/>
      <c r="AE421" s="1"/>
      <c r="AF421" s="1"/>
      <c r="AG421" s="1"/>
    </row>
    <row r="422" spans="29:33" ht="12.75">
      <c r="AC422" s="1"/>
      <c r="AD422" s="1"/>
      <c r="AE422" s="1"/>
      <c r="AF422" s="1"/>
      <c r="AG422" s="1"/>
    </row>
    <row r="423" spans="29:33" ht="12.75">
      <c r="AC423" s="1"/>
      <c r="AD423" s="1"/>
      <c r="AE423" s="1"/>
      <c r="AF423" s="1"/>
      <c r="AG423" s="1"/>
    </row>
    <row r="424" spans="29:33" ht="12.75">
      <c r="AC424" s="1"/>
      <c r="AD424" s="1"/>
      <c r="AE424" s="1"/>
      <c r="AF424" s="1"/>
      <c r="AG424" s="1"/>
    </row>
    <row r="425" spans="29:33" ht="12.75">
      <c r="AC425" s="1"/>
      <c r="AD425" s="1"/>
      <c r="AE425" s="1"/>
      <c r="AF425" s="1"/>
      <c r="AG425" s="1"/>
    </row>
    <row r="426" spans="29:33" ht="12.75">
      <c r="AC426" s="1"/>
      <c r="AD426" s="1"/>
      <c r="AE426" s="1"/>
      <c r="AF426" s="1"/>
      <c r="AG426" s="1"/>
    </row>
    <row r="427" spans="29:33" ht="12.75">
      <c r="AC427" s="1"/>
      <c r="AD427" s="1"/>
      <c r="AE427" s="1"/>
      <c r="AF427" s="1"/>
      <c r="AG427" s="1"/>
    </row>
    <row r="428" spans="29:33" ht="12.75">
      <c r="AC428" s="1"/>
      <c r="AD428" s="1"/>
      <c r="AE428" s="1"/>
      <c r="AF428" s="1"/>
      <c r="AG428" s="1"/>
    </row>
    <row r="429" spans="29:33" ht="12.75">
      <c r="AC429" s="1"/>
      <c r="AD429" s="1"/>
      <c r="AE429" s="1"/>
      <c r="AF429" s="1"/>
      <c r="AG429" s="1"/>
    </row>
    <row r="430" spans="29:33" ht="12.75">
      <c r="AC430" s="1"/>
      <c r="AD430" s="1"/>
      <c r="AE430" s="1"/>
      <c r="AF430" s="1"/>
      <c r="AG430" s="1"/>
    </row>
    <row r="431" spans="29:33" ht="12.75">
      <c r="AC431" s="1"/>
      <c r="AD431" s="1"/>
      <c r="AE431" s="1"/>
      <c r="AF431" s="1"/>
      <c r="AG431" s="1"/>
    </row>
    <row r="432" spans="29:33" ht="12.75">
      <c r="AC432" s="1"/>
      <c r="AD432" s="1"/>
      <c r="AE432" s="1"/>
      <c r="AF432" s="1"/>
      <c r="AG432" s="1"/>
    </row>
    <row r="433" spans="29:33" ht="12.75">
      <c r="AC433" s="1"/>
      <c r="AD433" s="1"/>
      <c r="AE433" s="1"/>
      <c r="AF433" s="1"/>
      <c r="AG433" s="1"/>
    </row>
    <row r="434" spans="29:33" ht="12.75">
      <c r="AC434" s="1"/>
      <c r="AD434" s="1"/>
      <c r="AE434" s="1"/>
      <c r="AF434" s="1"/>
      <c r="AG434" s="1"/>
    </row>
    <row r="435" spans="29:33" ht="12.75">
      <c r="AC435" s="1"/>
      <c r="AD435" s="1"/>
      <c r="AE435" s="1"/>
      <c r="AF435" s="1"/>
      <c r="AG435" s="1"/>
    </row>
    <row r="436" spans="29:33" ht="12.75">
      <c r="AC436" s="1"/>
      <c r="AD436" s="1"/>
      <c r="AE436" s="1"/>
      <c r="AF436" s="1"/>
      <c r="AG436" s="1"/>
    </row>
    <row r="437" spans="29:33" ht="12.75">
      <c r="AC437" s="1"/>
      <c r="AD437" s="1"/>
      <c r="AE437" s="1"/>
      <c r="AF437" s="1"/>
      <c r="AG437" s="1"/>
    </row>
    <row r="438" spans="29:33" ht="12.75">
      <c r="AC438" s="1"/>
      <c r="AD438" s="1"/>
      <c r="AE438" s="1"/>
      <c r="AF438" s="1"/>
      <c r="AG438" s="1"/>
    </row>
    <row r="439" spans="29:33" ht="12.75">
      <c r="AC439" s="1"/>
      <c r="AD439" s="1"/>
      <c r="AE439" s="1"/>
      <c r="AF439" s="1"/>
      <c r="AG439" s="1"/>
    </row>
    <row r="440" spans="29:33" ht="12.75">
      <c r="AC440" s="1"/>
      <c r="AD440" s="1"/>
      <c r="AE440" s="1"/>
      <c r="AF440" s="1"/>
      <c r="AG440" s="1"/>
    </row>
    <row r="441" spans="29:33" ht="12.75">
      <c r="AC441" s="1"/>
      <c r="AD441" s="1"/>
      <c r="AE441" s="1"/>
      <c r="AF441" s="1"/>
      <c r="AG441" s="1"/>
    </row>
    <row r="442" spans="29:33" ht="12.75">
      <c r="AC442" s="1"/>
      <c r="AD442" s="1"/>
      <c r="AE442" s="1"/>
      <c r="AF442" s="1"/>
      <c r="AG442" s="1"/>
    </row>
    <row r="443" spans="29:33" ht="12.75">
      <c r="AC443" s="1"/>
      <c r="AD443" s="1"/>
      <c r="AE443" s="1"/>
      <c r="AF443" s="1"/>
      <c r="AG443" s="1"/>
    </row>
    <row r="444" spans="29:33" ht="12.75">
      <c r="AC444" s="1"/>
      <c r="AD444" s="1"/>
      <c r="AE444" s="1"/>
      <c r="AF444" s="1"/>
      <c r="AG444" s="1"/>
    </row>
    <row r="445" spans="29:33" ht="12.75">
      <c r="AC445" s="1"/>
      <c r="AD445" s="1"/>
      <c r="AE445" s="1"/>
      <c r="AF445" s="1"/>
      <c r="AG445" s="1"/>
    </row>
    <row r="446" spans="29:33" ht="12.75">
      <c r="AC446" s="1"/>
      <c r="AD446" s="1"/>
      <c r="AE446" s="1"/>
      <c r="AF446" s="1"/>
      <c r="AG446" s="1"/>
    </row>
    <row r="447" spans="29:33" ht="12.75">
      <c r="AC447" s="1"/>
      <c r="AD447" s="1"/>
      <c r="AE447" s="1"/>
      <c r="AF447" s="1"/>
      <c r="AG447" s="1"/>
    </row>
    <row r="448" spans="29:33" ht="12.75">
      <c r="AC448" s="1"/>
      <c r="AD448" s="1"/>
      <c r="AE448" s="1"/>
      <c r="AF448" s="1"/>
      <c r="AG448" s="1"/>
    </row>
    <row r="449" spans="29:33" ht="12.75">
      <c r="AC449" s="1"/>
      <c r="AD449" s="1"/>
      <c r="AE449" s="1"/>
      <c r="AF449" s="1"/>
      <c r="AG449" s="1"/>
    </row>
    <row r="450" spans="29:33" ht="12.75">
      <c r="AC450" s="1"/>
      <c r="AD450" s="1"/>
      <c r="AE450" s="1"/>
      <c r="AF450" s="1"/>
      <c r="AG450" s="1"/>
    </row>
    <row r="451" spans="29:33" ht="12.75">
      <c r="AC451" s="1"/>
      <c r="AD451" s="1"/>
      <c r="AE451" s="1"/>
      <c r="AF451" s="1"/>
      <c r="AG451" s="1"/>
    </row>
    <row r="452" spans="29:33" ht="12.75">
      <c r="AC452" s="1"/>
      <c r="AD452" s="1"/>
      <c r="AE452" s="1"/>
      <c r="AF452" s="1"/>
      <c r="AG452" s="1"/>
    </row>
    <row r="453" spans="29:33" ht="12.75">
      <c r="AC453" s="1"/>
      <c r="AD453" s="1"/>
      <c r="AE453" s="1"/>
      <c r="AF453" s="1"/>
      <c r="AG453" s="1"/>
    </row>
    <row r="454" spans="29:33" ht="12.75">
      <c r="AC454" s="1"/>
      <c r="AD454" s="1"/>
      <c r="AE454" s="1"/>
      <c r="AF454" s="1"/>
      <c r="AG454" s="1"/>
    </row>
    <row r="455" spans="29:33" ht="12.75">
      <c r="AC455" s="1"/>
      <c r="AD455" s="1"/>
      <c r="AE455" s="1"/>
      <c r="AF455" s="1"/>
      <c r="AG455" s="1"/>
    </row>
    <row r="456" spans="29:33" ht="12.75">
      <c r="AC456" s="1"/>
      <c r="AD456" s="1"/>
      <c r="AE456" s="1"/>
      <c r="AF456" s="1"/>
      <c r="AG456" s="1"/>
    </row>
    <row r="457" spans="29:33" ht="12.75">
      <c r="AC457" s="1"/>
      <c r="AD457" s="1"/>
      <c r="AE457" s="1"/>
      <c r="AF457" s="1"/>
      <c r="AG457" s="1"/>
    </row>
    <row r="458" spans="29:33" ht="12.75">
      <c r="AC458" s="1"/>
      <c r="AD458" s="1"/>
      <c r="AE458" s="1"/>
      <c r="AF458" s="1"/>
      <c r="AG458" s="1"/>
    </row>
    <row r="459" spans="29:33" ht="12.75">
      <c r="AC459" s="1"/>
      <c r="AD459" s="1"/>
      <c r="AE459" s="1"/>
      <c r="AF459" s="1"/>
      <c r="AG459" s="1"/>
    </row>
    <row r="460" spans="29:33" ht="12.75">
      <c r="AC460" s="1"/>
      <c r="AD460" s="1"/>
      <c r="AE460" s="1"/>
      <c r="AF460" s="1"/>
      <c r="AG460" s="1"/>
    </row>
    <row r="461" spans="29:33" ht="12.75">
      <c r="AC461" s="1"/>
      <c r="AD461" s="1"/>
      <c r="AE461" s="1"/>
      <c r="AF461" s="1"/>
      <c r="AG461" s="1"/>
    </row>
    <row r="462" spans="29:33" ht="12.75">
      <c r="AC462" s="1"/>
      <c r="AD462" s="1"/>
      <c r="AE462" s="1"/>
      <c r="AF462" s="1"/>
      <c r="AG462" s="1"/>
    </row>
    <row r="463" spans="29:33" ht="12.75">
      <c r="AC463" s="1"/>
      <c r="AD463" s="1"/>
      <c r="AE463" s="1"/>
      <c r="AF463" s="1"/>
      <c r="AG463" s="1"/>
    </row>
    <row r="464" spans="29:33" ht="12.75">
      <c r="AC464" s="1"/>
      <c r="AD464" s="1"/>
      <c r="AE464" s="1"/>
      <c r="AF464" s="1"/>
      <c r="AG464" s="1"/>
    </row>
    <row r="465" spans="29:33" ht="12.75">
      <c r="AC465" s="1"/>
      <c r="AD465" s="1"/>
      <c r="AE465" s="1"/>
      <c r="AF465" s="1"/>
      <c r="AG465" s="1"/>
    </row>
    <row r="466" spans="29:33" ht="12.75">
      <c r="AC466" s="1"/>
      <c r="AD466" s="1"/>
      <c r="AE466" s="1"/>
      <c r="AF466" s="1"/>
      <c r="AG466" s="1"/>
    </row>
    <row r="467" spans="29:33" ht="12.75">
      <c r="AC467" s="1"/>
      <c r="AD467" s="1"/>
      <c r="AE467" s="1"/>
      <c r="AF467" s="1"/>
      <c r="AG467" s="1"/>
    </row>
    <row r="468" spans="29:33" ht="12.75">
      <c r="AC468" s="1"/>
      <c r="AD468" s="1"/>
      <c r="AE468" s="1"/>
      <c r="AF468" s="1"/>
      <c r="AG468" s="1"/>
    </row>
    <row r="469" spans="29:33" ht="12.75">
      <c r="AC469" s="1"/>
      <c r="AD469" s="1"/>
      <c r="AE469" s="1"/>
      <c r="AF469" s="1"/>
      <c r="AG469" s="1"/>
    </row>
    <row r="470" spans="29:33" ht="12.75">
      <c r="AC470" s="1"/>
      <c r="AD470" s="1"/>
      <c r="AE470" s="1"/>
      <c r="AF470" s="1"/>
      <c r="AG470" s="1"/>
    </row>
    <row r="471" spans="29:33" ht="12.75">
      <c r="AC471" s="1"/>
      <c r="AD471" s="1"/>
      <c r="AE471" s="1"/>
      <c r="AF471" s="1"/>
      <c r="AG471" s="1"/>
    </row>
    <row r="472" spans="29:33" ht="12.75">
      <c r="AC472" s="1"/>
      <c r="AD472" s="1"/>
      <c r="AE472" s="1"/>
      <c r="AF472" s="1"/>
      <c r="AG472" s="1"/>
    </row>
    <row r="473" spans="29:33" ht="12.75">
      <c r="AC473" s="1"/>
      <c r="AD473" s="1"/>
      <c r="AE473" s="1"/>
      <c r="AF473" s="1"/>
      <c r="AG473" s="1"/>
    </row>
    <row r="474" spans="29:33" ht="12.75">
      <c r="AC474" s="1"/>
      <c r="AD474" s="1"/>
      <c r="AE474" s="1"/>
      <c r="AF474" s="1"/>
      <c r="AG474" s="1"/>
    </row>
    <row r="475" spans="29:33" ht="12.75">
      <c r="AC475" s="1"/>
      <c r="AD475" s="1"/>
      <c r="AE475" s="1"/>
      <c r="AF475" s="1"/>
      <c r="AG475" s="1"/>
    </row>
    <row r="476" spans="29:33" ht="12.75">
      <c r="AC476" s="1"/>
      <c r="AD476" s="1"/>
      <c r="AE476" s="1"/>
      <c r="AF476" s="1"/>
      <c r="AG476" s="1"/>
    </row>
    <row r="477" spans="29:33" ht="12.75">
      <c r="AC477" s="1"/>
      <c r="AD477" s="1"/>
      <c r="AE477" s="1"/>
      <c r="AF477" s="1"/>
      <c r="AG477" s="1"/>
    </row>
    <row r="478" spans="29:33" ht="12.75">
      <c r="AC478" s="1"/>
      <c r="AD478" s="1"/>
      <c r="AE478" s="1"/>
      <c r="AF478" s="1"/>
      <c r="AG478" s="1"/>
    </row>
    <row r="479" spans="29:33" ht="12.75">
      <c r="AC479" s="1"/>
      <c r="AD479" s="1"/>
      <c r="AE479" s="1"/>
      <c r="AF479" s="1"/>
      <c r="AG479" s="1"/>
    </row>
    <row r="480" spans="29:33" ht="12.75">
      <c r="AC480" s="1"/>
      <c r="AD480" s="1"/>
      <c r="AE480" s="1"/>
      <c r="AF480" s="1"/>
      <c r="AG480" s="1"/>
    </row>
    <row r="481" spans="29:33" ht="12.75">
      <c r="AC481" s="1"/>
      <c r="AD481" s="1"/>
      <c r="AE481" s="1"/>
      <c r="AF481" s="1"/>
      <c r="AG481" s="1"/>
    </row>
    <row r="482" spans="29:33" ht="12.75">
      <c r="AC482" s="1"/>
      <c r="AD482" s="1"/>
      <c r="AE482" s="1"/>
      <c r="AF482" s="1"/>
      <c r="AG482" s="1"/>
    </row>
    <row r="483" spans="29:33" ht="12.75">
      <c r="AC483" s="1"/>
      <c r="AD483" s="1"/>
      <c r="AE483" s="1"/>
      <c r="AF483" s="1"/>
      <c r="AG483" s="1"/>
    </row>
    <row r="484" spans="29:33" ht="12.75">
      <c r="AC484" s="1"/>
      <c r="AD484" s="1"/>
      <c r="AE484" s="1"/>
      <c r="AF484" s="1"/>
      <c r="AG484" s="1"/>
    </row>
    <row r="485" spans="29:33" ht="12.75">
      <c r="AC485" s="1"/>
      <c r="AD485" s="1"/>
      <c r="AE485" s="1"/>
      <c r="AF485" s="1"/>
      <c r="AG485" s="1"/>
    </row>
    <row r="486" spans="29:33" ht="12.75">
      <c r="AC486" s="1"/>
      <c r="AD486" s="1"/>
      <c r="AE486" s="1"/>
      <c r="AF486" s="1"/>
      <c r="AG486" s="1"/>
    </row>
    <row r="487" spans="29:33" ht="12.75">
      <c r="AC487" s="1"/>
      <c r="AD487" s="1"/>
      <c r="AE487" s="1"/>
      <c r="AF487" s="1"/>
      <c r="AG487" s="1"/>
    </row>
    <row r="488" spans="29:33" ht="12.75">
      <c r="AC488" s="1"/>
      <c r="AD488" s="1"/>
      <c r="AE488" s="1"/>
      <c r="AF488" s="1"/>
      <c r="AG488" s="1"/>
    </row>
    <row r="489" spans="29:33" ht="12.75">
      <c r="AC489" s="1"/>
      <c r="AD489" s="1"/>
      <c r="AE489" s="1"/>
      <c r="AF489" s="1"/>
      <c r="AG489" s="1"/>
    </row>
    <row r="490" spans="29:33" ht="12.75">
      <c r="AC490" s="1"/>
      <c r="AD490" s="1"/>
      <c r="AE490" s="1"/>
      <c r="AF490" s="1"/>
      <c r="AG490" s="1"/>
    </row>
    <row r="491" spans="29:33" ht="12.75">
      <c r="AC491" s="1"/>
      <c r="AD491" s="1"/>
      <c r="AE491" s="1"/>
      <c r="AF491" s="1"/>
      <c r="AG491" s="1"/>
    </row>
    <row r="492" spans="29:33" ht="12.75">
      <c r="AC492" s="1"/>
      <c r="AD492" s="1"/>
      <c r="AE492" s="1"/>
      <c r="AF492" s="1"/>
      <c r="AG492" s="1"/>
    </row>
    <row r="493" spans="29:33" ht="12.75">
      <c r="AC493" s="1"/>
      <c r="AD493" s="1"/>
      <c r="AE493" s="1"/>
      <c r="AF493" s="1"/>
      <c r="AG493" s="1"/>
    </row>
    <row r="494" spans="29:33" ht="12.75">
      <c r="AC494" s="1"/>
      <c r="AD494" s="1"/>
      <c r="AE494" s="1"/>
      <c r="AF494" s="1"/>
      <c r="AG494" s="1"/>
    </row>
    <row r="495" spans="29:33" ht="12.75">
      <c r="AC495" s="1"/>
      <c r="AD495" s="1"/>
      <c r="AE495" s="1"/>
      <c r="AF495" s="1"/>
      <c r="AG495" s="1"/>
    </row>
    <row r="496" spans="29:33" ht="12.75">
      <c r="AC496" s="1"/>
      <c r="AD496" s="1"/>
      <c r="AE496" s="1"/>
      <c r="AF496" s="1"/>
      <c r="AG496" s="1"/>
    </row>
    <row r="497" spans="29:33" ht="12.75">
      <c r="AC497" s="1"/>
      <c r="AD497" s="1"/>
      <c r="AE497" s="1"/>
      <c r="AF497" s="1"/>
      <c r="AG497" s="1"/>
    </row>
    <row r="498" spans="29:33" ht="12.75">
      <c r="AC498" s="1"/>
      <c r="AD498" s="1"/>
      <c r="AE498" s="1"/>
      <c r="AF498" s="1"/>
      <c r="AG498" s="1"/>
    </row>
    <row r="499" spans="29:33" ht="12.75">
      <c r="AC499" s="1"/>
      <c r="AD499" s="1"/>
      <c r="AE499" s="1"/>
      <c r="AF499" s="1"/>
      <c r="AG499" s="1"/>
    </row>
    <row r="500" spans="29:33" ht="12.75">
      <c r="AC500" s="1"/>
      <c r="AD500" s="1"/>
      <c r="AE500" s="1"/>
      <c r="AF500" s="1"/>
      <c r="AG500" s="1"/>
    </row>
    <row r="501" spans="29:33" ht="12.75">
      <c r="AC501" s="1"/>
      <c r="AD501" s="1"/>
      <c r="AE501" s="1"/>
      <c r="AF501" s="1"/>
      <c r="AG501" s="1"/>
    </row>
    <row r="502" spans="29:33" ht="12.75">
      <c r="AC502" s="1"/>
      <c r="AD502" s="1"/>
      <c r="AE502" s="1"/>
      <c r="AF502" s="1"/>
      <c r="AG502" s="1"/>
    </row>
    <row r="503" spans="29:33" ht="12.75">
      <c r="AC503" s="1"/>
      <c r="AD503" s="1"/>
      <c r="AE503" s="1"/>
      <c r="AF503" s="1"/>
      <c r="AG503" s="1"/>
    </row>
    <row r="504" spans="29:33" ht="12.75">
      <c r="AC504" s="1"/>
      <c r="AD504" s="1"/>
      <c r="AE504" s="1"/>
      <c r="AF504" s="1"/>
      <c r="AG504" s="1"/>
    </row>
    <row r="505" spans="29:33" ht="12.75">
      <c r="AC505" s="1"/>
      <c r="AD505" s="1"/>
      <c r="AE505" s="1"/>
      <c r="AF505" s="1"/>
      <c r="AG505" s="1"/>
    </row>
    <row r="506" spans="29:33" ht="12.75">
      <c r="AC506" s="1"/>
      <c r="AD506" s="1"/>
      <c r="AE506" s="1"/>
      <c r="AF506" s="1"/>
      <c r="AG506" s="1"/>
    </row>
    <row r="507" spans="29:33" ht="12.75">
      <c r="AC507" s="1"/>
      <c r="AD507" s="1"/>
      <c r="AE507" s="1"/>
      <c r="AF507" s="1"/>
      <c r="AG507" s="1"/>
    </row>
    <row r="508" spans="29:33" ht="12.75">
      <c r="AC508" s="1"/>
      <c r="AD508" s="1"/>
      <c r="AE508" s="1"/>
      <c r="AF508" s="1"/>
      <c r="AG508" s="1"/>
    </row>
    <row r="509" spans="29:33" ht="12.75">
      <c r="AC509" s="1"/>
      <c r="AD509" s="1"/>
      <c r="AE509" s="1"/>
      <c r="AF509" s="1"/>
      <c r="AG509" s="1"/>
    </row>
    <row r="510" spans="29:33" ht="12.75">
      <c r="AC510" s="1"/>
      <c r="AD510" s="1"/>
      <c r="AE510" s="1"/>
      <c r="AF510" s="1"/>
      <c r="AG510" s="1"/>
    </row>
    <row r="511" spans="29:33" ht="12.75">
      <c r="AC511" s="1"/>
      <c r="AD511" s="1"/>
      <c r="AE511" s="1"/>
      <c r="AF511" s="1"/>
      <c r="AG511" s="1"/>
    </row>
    <row r="512" spans="29:33" ht="12.75">
      <c r="AC512" s="1"/>
      <c r="AD512" s="1"/>
      <c r="AE512" s="1"/>
      <c r="AF512" s="1"/>
      <c r="AG512" s="1"/>
    </row>
    <row r="513" spans="29:33" ht="12.75">
      <c r="AC513" s="1"/>
      <c r="AD513" s="1"/>
      <c r="AE513" s="1"/>
      <c r="AF513" s="1"/>
      <c r="AG513" s="1"/>
    </row>
    <row r="514" spans="29:33" ht="12.75">
      <c r="AC514" s="1"/>
      <c r="AD514" s="1"/>
      <c r="AE514" s="1"/>
      <c r="AF514" s="1"/>
      <c r="AG514" s="1"/>
    </row>
    <row r="515" spans="29:33" ht="12.75">
      <c r="AC515" s="1"/>
      <c r="AD515" s="1"/>
      <c r="AE515" s="1"/>
      <c r="AF515" s="1"/>
      <c r="AG515" s="1"/>
    </row>
    <row r="516" spans="29:33" ht="12.75">
      <c r="AC516" s="1"/>
      <c r="AD516" s="1"/>
      <c r="AE516" s="1"/>
      <c r="AF516" s="1"/>
      <c r="AG516" s="1"/>
    </row>
    <row r="517" spans="29:33" ht="12.75">
      <c r="AC517" s="1"/>
      <c r="AD517" s="1"/>
      <c r="AE517" s="1"/>
      <c r="AF517" s="1"/>
      <c r="AG517" s="1"/>
    </row>
    <row r="518" spans="29:33" ht="12.75">
      <c r="AC518" s="1"/>
      <c r="AD518" s="1"/>
      <c r="AE518" s="1"/>
      <c r="AF518" s="1"/>
      <c r="AG518" s="1"/>
    </row>
    <row r="519" spans="29:33" ht="12.75">
      <c r="AC519" s="1"/>
      <c r="AD519" s="1"/>
      <c r="AE519" s="1"/>
      <c r="AF519" s="1"/>
      <c r="AG519" s="1"/>
    </row>
    <row r="520" spans="29:33" ht="12.75">
      <c r="AC520" s="1"/>
      <c r="AD520" s="1"/>
      <c r="AE520" s="1"/>
      <c r="AF520" s="1"/>
      <c r="AG520" s="1"/>
    </row>
    <row r="521" spans="29:33" ht="12.75">
      <c r="AC521" s="1"/>
      <c r="AD521" s="1"/>
      <c r="AE521" s="1"/>
      <c r="AF521" s="1"/>
      <c r="AG521" s="1"/>
    </row>
    <row r="522" spans="29:33" ht="12.75">
      <c r="AC522" s="1"/>
      <c r="AD522" s="1"/>
      <c r="AE522" s="1"/>
      <c r="AF522" s="1"/>
      <c r="AG522" s="1"/>
    </row>
    <row r="523" spans="29:33" ht="12.75">
      <c r="AC523" s="1"/>
      <c r="AD523" s="1"/>
      <c r="AE523" s="1"/>
      <c r="AF523" s="1"/>
      <c r="AG523" s="1"/>
    </row>
    <row r="524" spans="29:33" ht="12.75">
      <c r="AC524" s="1"/>
      <c r="AD524" s="1"/>
      <c r="AE524" s="1"/>
      <c r="AF524" s="1"/>
      <c r="AG524" s="1"/>
    </row>
    <row r="525" spans="29:33" ht="12.75">
      <c r="AC525" s="1"/>
      <c r="AD525" s="1"/>
      <c r="AE525" s="1"/>
      <c r="AF525" s="1"/>
      <c r="AG525" s="1"/>
    </row>
    <row r="526" spans="29:33" ht="12.75">
      <c r="AC526" s="1"/>
      <c r="AD526" s="1"/>
      <c r="AE526" s="1"/>
      <c r="AF526" s="1"/>
      <c r="AG526" s="1"/>
    </row>
    <row r="527" spans="29:33" ht="12.75">
      <c r="AC527" s="1"/>
      <c r="AD527" s="1"/>
      <c r="AE527" s="1"/>
      <c r="AF527" s="1"/>
      <c r="AG527" s="1"/>
    </row>
    <row r="528" spans="29:33" ht="12.75">
      <c r="AC528" s="1"/>
      <c r="AD528" s="1"/>
      <c r="AE528" s="1"/>
      <c r="AF528" s="1"/>
      <c r="AG528" s="1"/>
    </row>
    <row r="529" spans="29:33" ht="12.75">
      <c r="AC529" s="1"/>
      <c r="AD529" s="1"/>
      <c r="AE529" s="1"/>
      <c r="AF529" s="1"/>
      <c r="AG529" s="1"/>
    </row>
    <row r="530" spans="29:33" ht="12.75">
      <c r="AC530" s="1"/>
      <c r="AD530" s="1"/>
      <c r="AE530" s="1"/>
      <c r="AF530" s="1"/>
      <c r="AG530" s="1"/>
    </row>
    <row r="531" spans="29:33" ht="12.75">
      <c r="AC531" s="1"/>
      <c r="AD531" s="1"/>
      <c r="AE531" s="1"/>
      <c r="AF531" s="1"/>
      <c r="AG531" s="1"/>
    </row>
    <row r="532" spans="29:33" ht="12.75">
      <c r="AC532" s="1"/>
      <c r="AD532" s="1"/>
      <c r="AE532" s="1"/>
      <c r="AF532" s="1"/>
      <c r="AG532" s="1"/>
    </row>
    <row r="533" spans="29:33" ht="12.75">
      <c r="AC533" s="1"/>
      <c r="AD533" s="1"/>
      <c r="AE533" s="1"/>
      <c r="AF533" s="1"/>
      <c r="AG533" s="1"/>
    </row>
    <row r="534" spans="29:33" ht="12.75">
      <c r="AC534" s="1"/>
      <c r="AD534" s="1"/>
      <c r="AE534" s="1"/>
      <c r="AF534" s="1"/>
      <c r="AG534" s="1"/>
    </row>
    <row r="535" spans="29:33" ht="12.75">
      <c r="AC535" s="1"/>
      <c r="AD535" s="1"/>
      <c r="AE535" s="1"/>
      <c r="AF535" s="1"/>
      <c r="AG535" s="1"/>
    </row>
    <row r="536" spans="29:33" ht="12.75">
      <c r="AC536" s="1"/>
      <c r="AD536" s="1"/>
      <c r="AE536" s="1"/>
      <c r="AF536" s="1"/>
      <c r="AG536" s="1"/>
    </row>
    <row r="537" spans="29:33" ht="12.75">
      <c r="AC537" s="1"/>
      <c r="AD537" s="1"/>
      <c r="AE537" s="1"/>
      <c r="AF537" s="1"/>
      <c r="AG537" s="1"/>
    </row>
    <row r="538" spans="29:33" ht="12.75">
      <c r="AC538" s="1"/>
      <c r="AD538" s="1"/>
      <c r="AE538" s="1"/>
      <c r="AF538" s="1"/>
      <c r="AG538" s="1"/>
    </row>
    <row r="539" spans="29:33" ht="12.75">
      <c r="AC539" s="1"/>
      <c r="AD539" s="1"/>
      <c r="AE539" s="1"/>
      <c r="AF539" s="1"/>
      <c r="AG539" s="1"/>
    </row>
    <row r="540" spans="29:33" ht="12.75">
      <c r="AC540" s="1"/>
      <c r="AD540" s="1"/>
      <c r="AE540" s="1"/>
      <c r="AF540" s="1"/>
      <c r="AG540" s="1"/>
    </row>
    <row r="541" spans="29:33" ht="12.75">
      <c r="AC541" s="1"/>
      <c r="AD541" s="1"/>
      <c r="AE541" s="1"/>
      <c r="AF541" s="1"/>
      <c r="AG541" s="1"/>
    </row>
    <row r="542" spans="29:33" ht="12.75">
      <c r="AC542" s="1"/>
      <c r="AD542" s="1"/>
      <c r="AE542" s="1"/>
      <c r="AF542" s="1"/>
      <c r="AG542" s="1"/>
    </row>
    <row r="543" spans="29:33" ht="12.75">
      <c r="AC543" s="1"/>
      <c r="AD543" s="1"/>
      <c r="AE543" s="1"/>
      <c r="AF543" s="1"/>
      <c r="AG543" s="1"/>
    </row>
    <row r="544" spans="29:33" ht="12.75">
      <c r="AC544" s="1"/>
      <c r="AD544" s="1"/>
      <c r="AE544" s="1"/>
      <c r="AF544" s="1"/>
      <c r="AG544" s="1"/>
    </row>
    <row r="545" spans="29:33" ht="12.75">
      <c r="AC545" s="1"/>
      <c r="AD545" s="1"/>
      <c r="AE545" s="1"/>
      <c r="AF545" s="1"/>
      <c r="AG545" s="1"/>
    </row>
    <row r="546" spans="29:33" ht="12.75">
      <c r="AC546" s="1"/>
      <c r="AD546" s="1"/>
      <c r="AE546" s="1"/>
      <c r="AF546" s="1"/>
      <c r="AG546" s="1"/>
    </row>
    <row r="547" spans="29:33" ht="12.75">
      <c r="AC547" s="1"/>
      <c r="AD547" s="1"/>
      <c r="AE547" s="1"/>
      <c r="AF547" s="1"/>
      <c r="AG547" s="1"/>
    </row>
    <row r="548" spans="29:33" ht="12.75">
      <c r="AC548" s="1"/>
      <c r="AD548" s="1"/>
      <c r="AE548" s="1"/>
      <c r="AF548" s="1"/>
      <c r="AG548" s="1"/>
    </row>
    <row r="549" spans="29:33" ht="12.75">
      <c r="AC549" s="1"/>
      <c r="AD549" s="1"/>
      <c r="AE549" s="1"/>
      <c r="AF549" s="1"/>
      <c r="AG549" s="1"/>
    </row>
    <row r="550" spans="29:33" ht="12.75">
      <c r="AC550" s="1"/>
      <c r="AD550" s="1"/>
      <c r="AE550" s="1"/>
      <c r="AF550" s="1"/>
      <c r="AG550" s="1"/>
    </row>
    <row r="551" spans="29:33" ht="12.75">
      <c r="AC551" s="1"/>
      <c r="AD551" s="1"/>
      <c r="AE551" s="1"/>
      <c r="AF551" s="1"/>
      <c r="AG551" s="1"/>
    </row>
    <row r="552" spans="29:33" ht="12.75">
      <c r="AC552" s="1"/>
      <c r="AD552" s="1"/>
      <c r="AE552" s="1"/>
      <c r="AF552" s="1"/>
      <c r="AG552" s="1"/>
    </row>
    <row r="553" spans="29:33" ht="12.75">
      <c r="AC553" s="1"/>
      <c r="AD553" s="1"/>
      <c r="AE553" s="1"/>
      <c r="AF553" s="1"/>
      <c r="AG553" s="1"/>
    </row>
    <row r="554" spans="29:33" ht="12.75">
      <c r="AC554" s="1"/>
      <c r="AD554" s="1"/>
      <c r="AE554" s="1"/>
      <c r="AF554" s="1"/>
      <c r="AG554" s="1"/>
    </row>
    <row r="555" spans="29:33" ht="12.75">
      <c r="AC555" s="1"/>
      <c r="AD555" s="1"/>
      <c r="AE555" s="1"/>
      <c r="AF555" s="1"/>
      <c r="AG555" s="1"/>
    </row>
    <row r="556" spans="29:33" ht="12.75">
      <c r="AC556" s="1"/>
      <c r="AD556" s="1"/>
      <c r="AE556" s="1"/>
      <c r="AF556" s="1"/>
      <c r="AG556" s="1"/>
    </row>
    <row r="557" spans="29:33" ht="12.75">
      <c r="AC557" s="1"/>
      <c r="AD557" s="1"/>
      <c r="AE557" s="1"/>
      <c r="AF557" s="1"/>
      <c r="AG557" s="1"/>
    </row>
    <row r="558" spans="29:33" ht="12.75">
      <c r="AC558" s="1"/>
      <c r="AD558" s="1"/>
      <c r="AE558" s="1"/>
      <c r="AF558" s="1"/>
      <c r="AG558" s="1"/>
    </row>
    <row r="559" spans="29:33" ht="12.75">
      <c r="AC559" s="1"/>
      <c r="AD559" s="1"/>
      <c r="AE559" s="1"/>
      <c r="AF559" s="1"/>
      <c r="AG559" s="1"/>
    </row>
    <row r="560" spans="29:33" ht="12.75">
      <c r="AC560" s="1"/>
      <c r="AD560" s="1"/>
      <c r="AE560" s="1"/>
      <c r="AF560" s="1"/>
      <c r="AG560" s="1"/>
    </row>
    <row r="561" spans="29:33" ht="12.75">
      <c r="AC561" s="1"/>
      <c r="AD561" s="1"/>
      <c r="AE561" s="1"/>
      <c r="AF561" s="1"/>
      <c r="AG561" s="1"/>
    </row>
    <row r="562" spans="29:33" ht="12.75">
      <c r="AC562" s="1"/>
      <c r="AD562" s="1"/>
      <c r="AE562" s="1"/>
      <c r="AF562" s="1"/>
      <c r="AG562" s="1"/>
    </row>
    <row r="563" spans="29:33" ht="12.75">
      <c r="AC563" s="1"/>
      <c r="AD563" s="1"/>
      <c r="AE563" s="1"/>
      <c r="AF563" s="1"/>
      <c r="AG563" s="1"/>
    </row>
    <row r="564" spans="29:33" ht="12.75">
      <c r="AC564" s="1"/>
      <c r="AD564" s="1"/>
      <c r="AE564" s="1"/>
      <c r="AF564" s="1"/>
      <c r="AG564" s="1"/>
    </row>
    <row r="565" spans="29:33" ht="12.75">
      <c r="AC565" s="1"/>
      <c r="AD565" s="1"/>
      <c r="AE565" s="1"/>
      <c r="AF565" s="1"/>
      <c r="AG565" s="1"/>
    </row>
    <row r="566" spans="29:33" ht="12.75">
      <c r="AC566" s="1"/>
      <c r="AD566" s="1"/>
      <c r="AE566" s="1"/>
      <c r="AF566" s="1"/>
      <c r="AG566" s="1"/>
    </row>
    <row r="567" spans="29:33" ht="12.75">
      <c r="AC567" s="1"/>
      <c r="AD567" s="1"/>
      <c r="AE567" s="1"/>
      <c r="AF567" s="1"/>
      <c r="AG567" s="1"/>
    </row>
    <row r="568" spans="29:33" ht="12.75">
      <c r="AC568" s="1"/>
      <c r="AD568" s="1"/>
      <c r="AE568" s="1"/>
      <c r="AF568" s="1"/>
      <c r="AG568" s="1"/>
    </row>
    <row r="569" spans="29:33" ht="12.75">
      <c r="AC569" s="1"/>
      <c r="AD569" s="1"/>
      <c r="AE569" s="1"/>
      <c r="AF569" s="1"/>
      <c r="AG569" s="1"/>
    </row>
    <row r="570" spans="29:33" ht="12.75">
      <c r="AC570" s="1"/>
      <c r="AD570" s="1"/>
      <c r="AE570" s="1"/>
      <c r="AF570" s="1"/>
      <c r="AG570" s="1"/>
    </row>
    <row r="571" spans="29:33" ht="12.75">
      <c r="AC571" s="1"/>
      <c r="AD571" s="1"/>
      <c r="AE571" s="1"/>
      <c r="AF571" s="1"/>
      <c r="AG571" s="1"/>
    </row>
    <row r="572" spans="29:33" ht="12.75">
      <c r="AC572" s="1"/>
      <c r="AD572" s="1"/>
      <c r="AE572" s="1"/>
      <c r="AF572" s="1"/>
      <c r="AG572" s="1"/>
    </row>
    <row r="573" spans="29:33" ht="12.75">
      <c r="AC573" s="1"/>
      <c r="AD573" s="1"/>
      <c r="AE573" s="1"/>
      <c r="AF573" s="1"/>
      <c r="AG573" s="1"/>
    </row>
    <row r="574" spans="29:33" ht="12.75">
      <c r="AC574" s="1"/>
      <c r="AD574" s="1"/>
      <c r="AE574" s="1"/>
      <c r="AF574" s="1"/>
      <c r="AG574" s="1"/>
    </row>
    <row r="575" spans="29:33" ht="12.75">
      <c r="AC575" s="1"/>
      <c r="AD575" s="1"/>
      <c r="AE575" s="1"/>
      <c r="AF575" s="1"/>
      <c r="AG575" s="1"/>
    </row>
    <row r="576" spans="29:33" ht="12.75">
      <c r="AC576" s="1"/>
      <c r="AD576" s="1"/>
      <c r="AE576" s="1"/>
      <c r="AF576" s="1"/>
      <c r="AG576" s="1"/>
    </row>
    <row r="577" spans="29:33" ht="12.75">
      <c r="AC577" s="1"/>
      <c r="AD577" s="1"/>
      <c r="AE577" s="1"/>
      <c r="AF577" s="1"/>
      <c r="AG577" s="1"/>
    </row>
    <row r="578" spans="29:33" ht="12.75">
      <c r="AC578" s="1"/>
      <c r="AD578" s="1"/>
      <c r="AE578" s="1"/>
      <c r="AF578" s="1"/>
      <c r="AG578" s="1"/>
    </row>
    <row r="579" spans="29:33" ht="12.75">
      <c r="AC579" s="1"/>
      <c r="AD579" s="1"/>
      <c r="AE579" s="1"/>
      <c r="AF579" s="1"/>
      <c r="AG579" s="1"/>
    </row>
    <row r="580" spans="29:33" ht="12.75">
      <c r="AC580" s="1"/>
      <c r="AD580" s="1"/>
      <c r="AE580" s="1"/>
      <c r="AF580" s="1"/>
      <c r="AG580" s="1"/>
    </row>
    <row r="581" spans="29:33" ht="12.75">
      <c r="AC581" s="1"/>
      <c r="AD581" s="1"/>
      <c r="AE581" s="1"/>
      <c r="AF581" s="1"/>
      <c r="AG581" s="1"/>
    </row>
    <row r="582" spans="29:33" ht="12.75">
      <c r="AC582" s="1"/>
      <c r="AD582" s="1"/>
      <c r="AE582" s="1"/>
      <c r="AF582" s="1"/>
      <c r="AG582" s="1"/>
    </row>
    <row r="583" spans="29:33" ht="12.75">
      <c r="AC583" s="1"/>
      <c r="AD583" s="1"/>
      <c r="AE583" s="1"/>
      <c r="AF583" s="1"/>
      <c r="AG583" s="1"/>
    </row>
    <row r="584" spans="29:33" ht="12.75">
      <c r="AC584" s="1"/>
      <c r="AD584" s="1"/>
      <c r="AE584" s="1"/>
      <c r="AF584" s="1"/>
      <c r="AG584" s="1"/>
    </row>
    <row r="585" spans="29:33" ht="12.75">
      <c r="AC585" s="1"/>
      <c r="AD585" s="1"/>
      <c r="AE585" s="1"/>
      <c r="AF585" s="1"/>
      <c r="AG585" s="1"/>
    </row>
    <row r="586" spans="29:33" ht="12.75">
      <c r="AC586" s="1"/>
      <c r="AD586" s="1"/>
      <c r="AE586" s="1"/>
      <c r="AF586" s="1"/>
      <c r="AG586" s="1"/>
    </row>
    <row r="587" spans="29:33" ht="12.75">
      <c r="AC587" s="1"/>
      <c r="AD587" s="1"/>
      <c r="AE587" s="1"/>
      <c r="AF587" s="1"/>
      <c r="AG587" s="1"/>
    </row>
    <row r="588" spans="29:33" ht="12.75">
      <c r="AC588" s="1"/>
      <c r="AD588" s="1"/>
      <c r="AE588" s="1"/>
      <c r="AF588" s="1"/>
      <c r="AG588" s="1"/>
    </row>
    <row r="589" spans="29:33" ht="12.75">
      <c r="AC589" s="1"/>
      <c r="AD589" s="1"/>
      <c r="AE589" s="1"/>
      <c r="AF589" s="1"/>
      <c r="AG589" s="1"/>
    </row>
    <row r="590" spans="29:33" ht="12.75">
      <c r="AC590" s="1"/>
      <c r="AD590" s="1"/>
      <c r="AE590" s="1"/>
      <c r="AF590" s="1"/>
      <c r="AG590" s="1"/>
    </row>
    <row r="591" spans="29:33" ht="12.75">
      <c r="AC591" s="1"/>
      <c r="AD591" s="1"/>
      <c r="AE591" s="1"/>
      <c r="AF591" s="1"/>
      <c r="AG591" s="1"/>
    </row>
    <row r="592" spans="29:33" ht="12.75">
      <c r="AC592" s="1"/>
      <c r="AD592" s="1"/>
      <c r="AE592" s="1"/>
      <c r="AF592" s="1"/>
      <c r="AG592" s="1"/>
    </row>
    <row r="593" spans="29:33" ht="12.75">
      <c r="AC593" s="1"/>
      <c r="AD593" s="1"/>
      <c r="AE593" s="1"/>
      <c r="AF593" s="1"/>
      <c r="AG593" s="1"/>
    </row>
    <row r="594" spans="29:33" ht="12.75">
      <c r="AC594" s="1"/>
      <c r="AD594" s="1"/>
      <c r="AE594" s="1"/>
      <c r="AF594" s="1"/>
      <c r="AG594" s="1"/>
    </row>
    <row r="595" spans="29:33" ht="12.75">
      <c r="AC595" s="1"/>
      <c r="AD595" s="1"/>
      <c r="AE595" s="1"/>
      <c r="AF595" s="1"/>
      <c r="AG595" s="1"/>
    </row>
    <row r="596" spans="29:33" ht="12.75">
      <c r="AC596" s="1"/>
      <c r="AD596" s="1"/>
      <c r="AE596" s="1"/>
      <c r="AF596" s="1"/>
      <c r="AG596" s="1"/>
    </row>
    <row r="597" spans="29:33" ht="12.75">
      <c r="AC597" s="1"/>
      <c r="AD597" s="1"/>
      <c r="AE597" s="1"/>
      <c r="AF597" s="1"/>
      <c r="AG597" s="1"/>
    </row>
    <row r="598" spans="29:33" ht="12.75">
      <c r="AC598" s="1"/>
      <c r="AD598" s="1"/>
      <c r="AE598" s="1"/>
      <c r="AF598" s="1"/>
      <c r="AG598" s="1"/>
    </row>
    <row r="599" spans="29:33" ht="12.75">
      <c r="AC599" s="1"/>
      <c r="AD599" s="1"/>
      <c r="AE599" s="1"/>
      <c r="AF599" s="1"/>
      <c r="AG599" s="1"/>
    </row>
    <row r="600" spans="29:33" ht="12.75">
      <c r="AC600" s="1"/>
      <c r="AD600" s="1"/>
      <c r="AE600" s="1"/>
      <c r="AF600" s="1"/>
      <c r="AG600" s="1"/>
    </row>
    <row r="601" spans="29:33" ht="12.75">
      <c r="AC601" s="1"/>
      <c r="AD601" s="1"/>
      <c r="AE601" s="1"/>
      <c r="AF601" s="1"/>
      <c r="AG601" s="1"/>
    </row>
    <row r="602" spans="29:33" ht="12.75">
      <c r="AC602" s="1"/>
      <c r="AD602" s="1"/>
      <c r="AE602" s="1"/>
      <c r="AF602" s="1"/>
      <c r="AG602" s="1"/>
    </row>
    <row r="603" spans="29:33" ht="12.75">
      <c r="AC603" s="1"/>
      <c r="AD603" s="1"/>
      <c r="AE603" s="1"/>
      <c r="AF603" s="1"/>
      <c r="AG603" s="1"/>
    </row>
    <row r="604" spans="29:33" ht="12.75">
      <c r="AC604" s="1"/>
      <c r="AD604" s="1"/>
      <c r="AE604" s="1"/>
      <c r="AF604" s="1"/>
      <c r="AG604" s="1"/>
    </row>
    <row r="605" spans="29:33" ht="12.75">
      <c r="AC605" s="1"/>
      <c r="AD605" s="1"/>
      <c r="AE605" s="1"/>
      <c r="AF605" s="1"/>
      <c r="AG605" s="1"/>
    </row>
    <row r="606" spans="29:33" ht="12.75">
      <c r="AC606" s="1"/>
      <c r="AD606" s="1"/>
      <c r="AE606" s="1"/>
      <c r="AF606" s="1"/>
      <c r="AG606" s="1"/>
    </row>
    <row r="607" spans="29:33" ht="12.75">
      <c r="AC607" s="1"/>
      <c r="AD607" s="1"/>
      <c r="AE607" s="1"/>
      <c r="AF607" s="1"/>
      <c r="AG607" s="1"/>
    </row>
    <row r="608" spans="29:33" ht="12.75">
      <c r="AC608" s="1"/>
      <c r="AD608" s="1"/>
      <c r="AE608" s="1"/>
      <c r="AF608" s="1"/>
      <c r="AG608" s="1"/>
    </row>
    <row r="609" spans="29:33" ht="12.75">
      <c r="AC609" s="1"/>
      <c r="AD609" s="1"/>
      <c r="AE609" s="1"/>
      <c r="AF609" s="1"/>
      <c r="AG609" s="1"/>
    </row>
    <row r="610" spans="29:33" ht="12.75">
      <c r="AC610" s="1"/>
      <c r="AD610" s="1"/>
      <c r="AE610" s="1"/>
      <c r="AF610" s="1"/>
      <c r="AG610" s="1"/>
    </row>
    <row r="611" spans="29:33" ht="12.75">
      <c r="AC611" s="1"/>
      <c r="AD611" s="1"/>
      <c r="AE611" s="1"/>
      <c r="AF611" s="1"/>
      <c r="AG611" s="1"/>
    </row>
    <row r="612" spans="29:33" ht="12.75">
      <c r="AC612" s="1"/>
      <c r="AD612" s="1"/>
      <c r="AE612" s="1"/>
      <c r="AF612" s="1"/>
      <c r="AG612" s="1"/>
    </row>
    <row r="613" spans="29:33" ht="12.75">
      <c r="AC613" s="1"/>
      <c r="AD613" s="1"/>
      <c r="AE613" s="1"/>
      <c r="AF613" s="1"/>
      <c r="AG613" s="1"/>
    </row>
    <row r="614" spans="29:33" ht="12.75">
      <c r="AC614" s="1"/>
      <c r="AD614" s="1"/>
      <c r="AE614" s="1"/>
      <c r="AF614" s="1"/>
      <c r="AG614" s="1"/>
    </row>
    <row r="615" spans="29:33" ht="12.75">
      <c r="AC615" s="1"/>
      <c r="AD615" s="1"/>
      <c r="AE615" s="1"/>
      <c r="AF615" s="1"/>
      <c r="AG615" s="1"/>
    </row>
    <row r="616" spans="29:33" ht="12.75">
      <c r="AC616" s="1"/>
      <c r="AD616" s="1"/>
      <c r="AE616" s="1"/>
      <c r="AF616" s="1"/>
      <c r="AG616" s="1"/>
    </row>
    <row r="617" spans="29:33" ht="12.75">
      <c r="AC617" s="1"/>
      <c r="AD617" s="1"/>
      <c r="AE617" s="1"/>
      <c r="AF617" s="1"/>
      <c r="AG617" s="1"/>
    </row>
    <row r="618" spans="29:33" ht="12.75">
      <c r="AC618" s="1"/>
      <c r="AD618" s="1"/>
      <c r="AE618" s="1"/>
      <c r="AF618" s="1"/>
      <c r="AG618" s="1"/>
    </row>
    <row r="619" spans="29:33" ht="12.75">
      <c r="AC619" s="1"/>
      <c r="AD619" s="1"/>
      <c r="AE619" s="1"/>
      <c r="AF619" s="1"/>
      <c r="AG619" s="1"/>
    </row>
    <row r="620" spans="29:33" ht="12.75">
      <c r="AC620" s="1"/>
      <c r="AD620" s="1"/>
      <c r="AE620" s="1"/>
      <c r="AF620" s="1"/>
      <c r="AG620" s="1"/>
    </row>
    <row r="621" spans="29:33" ht="12.75">
      <c r="AC621" s="1"/>
      <c r="AD621" s="1"/>
      <c r="AE621" s="1"/>
      <c r="AF621" s="1"/>
      <c r="AG621" s="1"/>
    </row>
    <row r="622" spans="29:33" ht="12.75">
      <c r="AC622" s="1"/>
      <c r="AD622" s="1"/>
      <c r="AE622" s="1"/>
      <c r="AF622" s="1"/>
      <c r="AG622" s="1"/>
    </row>
    <row r="623" spans="29:33" ht="12.75">
      <c r="AC623" s="1"/>
      <c r="AD623" s="1"/>
      <c r="AE623" s="1"/>
      <c r="AF623" s="1"/>
      <c r="AG623" s="1"/>
    </row>
    <row r="624" spans="29:33" ht="12.75">
      <c r="AC624" s="1"/>
      <c r="AD624" s="1"/>
      <c r="AE624" s="1"/>
      <c r="AF624" s="1"/>
      <c r="AG624" s="1"/>
    </row>
    <row r="625" spans="29:33" ht="12.75">
      <c r="AC625" s="1"/>
      <c r="AD625" s="1"/>
      <c r="AE625" s="1"/>
      <c r="AF625" s="1"/>
      <c r="AG625" s="1"/>
    </row>
    <row r="626" spans="29:33" ht="12.75">
      <c r="AC626" s="1"/>
      <c r="AD626" s="1"/>
      <c r="AE626" s="1"/>
      <c r="AF626" s="1"/>
      <c r="AG626" s="1"/>
    </row>
    <row r="627" spans="29:33" ht="12.75">
      <c r="AC627" s="1"/>
      <c r="AD627" s="1"/>
      <c r="AE627" s="1"/>
      <c r="AF627" s="1"/>
      <c r="AG627" s="1"/>
    </row>
    <row r="628" spans="29:33" ht="12.75">
      <c r="AC628" s="1"/>
      <c r="AD628" s="1"/>
      <c r="AE628" s="1"/>
      <c r="AF628" s="1"/>
      <c r="AG628" s="1"/>
    </row>
    <row r="629" spans="29:33" ht="12.75">
      <c r="AC629" s="1"/>
      <c r="AD629" s="1"/>
      <c r="AE629" s="1"/>
      <c r="AF629" s="1"/>
      <c r="AG629" s="1"/>
    </row>
    <row r="630" spans="29:33" ht="12.75">
      <c r="AC630" s="1"/>
      <c r="AD630" s="1"/>
      <c r="AE630" s="1"/>
      <c r="AF630" s="1"/>
      <c r="AG630" s="1"/>
    </row>
    <row r="631" spans="29:33" ht="12.75">
      <c r="AC631" s="1"/>
      <c r="AD631" s="1"/>
      <c r="AE631" s="1"/>
      <c r="AF631" s="1"/>
      <c r="AG631" s="1"/>
    </row>
    <row r="632" spans="29:33" ht="12.75">
      <c r="AC632" s="1"/>
      <c r="AD632" s="1"/>
      <c r="AE632" s="1"/>
      <c r="AF632" s="1"/>
      <c r="AG632" s="1"/>
    </row>
    <row r="633" spans="29:33" ht="12.75">
      <c r="AC633" s="1"/>
      <c r="AD633" s="1"/>
      <c r="AE633" s="1"/>
      <c r="AF633" s="1"/>
      <c r="AG633" s="1"/>
    </row>
    <row r="634" spans="29:33" ht="12.75">
      <c r="AC634" s="1"/>
      <c r="AD634" s="1"/>
      <c r="AE634" s="1"/>
      <c r="AF634" s="1"/>
      <c r="AG634" s="1"/>
    </row>
    <row r="635" spans="29:33" ht="12.75">
      <c r="AC635" s="1"/>
      <c r="AD635" s="1"/>
      <c r="AE635" s="1"/>
      <c r="AF635" s="1"/>
      <c r="AG635" s="1"/>
    </row>
    <row r="636" spans="29:33" ht="12.75">
      <c r="AC636" s="1"/>
      <c r="AD636" s="1"/>
      <c r="AE636" s="1"/>
      <c r="AF636" s="1"/>
      <c r="AG636" s="1"/>
    </row>
    <row r="637" spans="29:33" ht="12.75">
      <c r="AC637" s="1"/>
      <c r="AD637" s="1"/>
      <c r="AE637" s="1"/>
      <c r="AF637" s="1"/>
      <c r="AG637" s="1"/>
    </row>
    <row r="638" spans="29:33" ht="12.75">
      <c r="AC638" s="1"/>
      <c r="AD638" s="1"/>
      <c r="AE638" s="1"/>
      <c r="AF638" s="1"/>
      <c r="AG638" s="1"/>
    </row>
    <row r="639" spans="29:33" ht="12.75">
      <c r="AC639" s="1"/>
      <c r="AD639" s="1"/>
      <c r="AE639" s="1"/>
      <c r="AF639" s="1"/>
      <c r="AG639" s="1"/>
    </row>
    <row r="640" spans="29:33" ht="12.75">
      <c r="AC640" s="1"/>
      <c r="AD640" s="1"/>
      <c r="AE640" s="1"/>
      <c r="AF640" s="1"/>
      <c r="AG640" s="1"/>
    </row>
    <row r="641" spans="29:33" ht="12.75">
      <c r="AC641" s="1"/>
      <c r="AD641" s="1"/>
      <c r="AE641" s="1"/>
      <c r="AF641" s="1"/>
      <c r="AG641" s="1"/>
    </row>
    <row r="642" spans="29:33" ht="12.75">
      <c r="AC642" s="1"/>
      <c r="AD642" s="1"/>
      <c r="AE642" s="1"/>
      <c r="AF642" s="1"/>
      <c r="AG642" s="1"/>
    </row>
    <row r="643" spans="29:33" ht="12.75">
      <c r="AC643" s="1"/>
      <c r="AD643" s="1"/>
      <c r="AE643" s="1"/>
      <c r="AF643" s="1"/>
      <c r="AG643" s="1"/>
    </row>
    <row r="644" spans="29:33" ht="12.75">
      <c r="AC644" s="1"/>
      <c r="AD644" s="1"/>
      <c r="AE644" s="1"/>
      <c r="AF644" s="1"/>
      <c r="AG644" s="1"/>
    </row>
    <row r="645" spans="29:33" ht="12.75">
      <c r="AC645" s="1"/>
      <c r="AD645" s="1"/>
      <c r="AE645" s="1"/>
      <c r="AF645" s="1"/>
      <c r="AG645" s="1"/>
    </row>
    <row r="646" spans="29:33" ht="12.75">
      <c r="AC646" s="1"/>
      <c r="AD646" s="1"/>
      <c r="AE646" s="1"/>
      <c r="AF646" s="1"/>
      <c r="AG646" s="1"/>
    </row>
    <row r="647" spans="29:33" ht="12.75">
      <c r="AC647" s="1"/>
      <c r="AD647" s="1"/>
      <c r="AE647" s="1"/>
      <c r="AF647" s="1"/>
      <c r="AG647" s="1"/>
    </row>
    <row r="648" spans="29:33" ht="12.75">
      <c r="AC648" s="1"/>
      <c r="AD648" s="1"/>
      <c r="AE648" s="1"/>
      <c r="AF648" s="1"/>
      <c r="AG648" s="1"/>
    </row>
    <row r="649" spans="29:33" ht="12.75">
      <c r="AC649" s="1"/>
      <c r="AD649" s="1"/>
      <c r="AE649" s="1"/>
      <c r="AF649" s="1"/>
      <c r="AG649" s="1"/>
    </row>
    <row r="650" spans="29:33" ht="12.75">
      <c r="AC650" s="1"/>
      <c r="AD650" s="1"/>
      <c r="AE650" s="1"/>
      <c r="AF650" s="1"/>
      <c r="AG650" s="1"/>
    </row>
    <row r="651" spans="29:33" ht="12.75">
      <c r="AC651" s="1"/>
      <c r="AD651" s="1"/>
      <c r="AE651" s="1"/>
      <c r="AF651" s="1"/>
      <c r="AG651" s="1"/>
    </row>
    <row r="652" spans="29:33" ht="12.75">
      <c r="AC652" s="1"/>
      <c r="AD652" s="1"/>
      <c r="AE652" s="1"/>
      <c r="AF652" s="1"/>
      <c r="AG652" s="1"/>
    </row>
    <row r="653" spans="29:33" ht="12.75">
      <c r="AC653" s="1"/>
      <c r="AD653" s="1"/>
      <c r="AE653" s="1"/>
      <c r="AF653" s="1"/>
      <c r="AG653" s="1"/>
    </row>
    <row r="654" spans="29:33" ht="12.75">
      <c r="AC654" s="1"/>
      <c r="AD654" s="1"/>
      <c r="AE654" s="1"/>
      <c r="AF654" s="1"/>
      <c r="AG654" s="1"/>
    </row>
    <row r="655" spans="29:33" ht="12.75">
      <c r="AC655" s="1"/>
      <c r="AD655" s="1"/>
      <c r="AE655" s="1"/>
      <c r="AF655" s="1"/>
      <c r="AG655" s="1"/>
    </row>
    <row r="656" spans="29:33" ht="12.75">
      <c r="AC656" s="1"/>
      <c r="AD656" s="1"/>
      <c r="AE656" s="1"/>
      <c r="AF656" s="1"/>
      <c r="AG656" s="1"/>
    </row>
    <row r="657" spans="29:33" ht="12.75">
      <c r="AC657" s="1"/>
      <c r="AD657" s="1"/>
      <c r="AE657" s="1"/>
      <c r="AF657" s="1"/>
      <c r="AG657" s="1"/>
    </row>
    <row r="658" spans="29:33" ht="12.75">
      <c r="AC658" s="1"/>
      <c r="AD658" s="1"/>
      <c r="AE658" s="1"/>
      <c r="AF658" s="1"/>
      <c r="AG658" s="1"/>
    </row>
    <row r="659" spans="29:33" ht="12.75">
      <c r="AC659" s="1"/>
      <c r="AD659" s="1"/>
      <c r="AE659" s="1"/>
      <c r="AF659" s="1"/>
      <c r="AG659" s="1"/>
    </row>
    <row r="660" spans="29:33" ht="12.75">
      <c r="AC660" s="1"/>
      <c r="AD660" s="1"/>
      <c r="AE660" s="1"/>
      <c r="AF660" s="1"/>
      <c r="AG660" s="1"/>
    </row>
    <row r="661" spans="29:33" ht="12.75">
      <c r="AC661" s="1"/>
      <c r="AD661" s="1"/>
      <c r="AE661" s="1"/>
      <c r="AF661" s="1"/>
      <c r="AG661" s="1"/>
    </row>
    <row r="662" spans="29:33" ht="12.75">
      <c r="AC662" s="1"/>
      <c r="AD662" s="1"/>
      <c r="AE662" s="1"/>
      <c r="AF662" s="1"/>
      <c r="AG662" s="1"/>
    </row>
    <row r="663" spans="29:33" ht="12.75">
      <c r="AC663" s="1"/>
      <c r="AD663" s="1"/>
      <c r="AE663" s="1"/>
      <c r="AF663" s="1"/>
      <c r="AG663" s="1"/>
    </row>
    <row r="664" spans="29:33" ht="12.75">
      <c r="AC664" s="1"/>
      <c r="AD664" s="1"/>
      <c r="AE664" s="1"/>
      <c r="AF664" s="1"/>
      <c r="AG664" s="1"/>
    </row>
    <row r="665" spans="29:33" ht="12.75">
      <c r="AC665" s="1"/>
      <c r="AD665" s="1"/>
      <c r="AE665" s="1"/>
      <c r="AF665" s="1"/>
      <c r="AG665" s="1"/>
    </row>
    <row r="666" spans="29:33" ht="12.75">
      <c r="AC666" s="1"/>
      <c r="AD666" s="1"/>
      <c r="AE666" s="1"/>
      <c r="AF666" s="1"/>
      <c r="AG666" s="1"/>
    </row>
    <row r="667" spans="29:33" ht="12.75">
      <c r="AC667" s="1"/>
      <c r="AD667" s="1"/>
      <c r="AE667" s="1"/>
      <c r="AF667" s="1"/>
      <c r="AG667" s="1"/>
    </row>
    <row r="668" spans="29:33" ht="12.75">
      <c r="AC668" s="1"/>
      <c r="AD668" s="1"/>
      <c r="AE668" s="1"/>
      <c r="AF668" s="1"/>
      <c r="AG668" s="1"/>
    </row>
    <row r="669" spans="29:33" ht="12.75">
      <c r="AC669" s="1"/>
      <c r="AD669" s="1"/>
      <c r="AE669" s="1"/>
      <c r="AF669" s="1"/>
      <c r="AG669" s="1"/>
    </row>
    <row r="670" spans="29:33" ht="12.75">
      <c r="AC670" s="1"/>
      <c r="AD670" s="1"/>
      <c r="AE670" s="1"/>
      <c r="AF670" s="1"/>
      <c r="AG670" s="1"/>
    </row>
    <row r="671" spans="29:33" ht="12.75">
      <c r="AC671" s="1"/>
      <c r="AD671" s="1"/>
      <c r="AE671" s="1"/>
      <c r="AF671" s="1"/>
      <c r="AG671" s="1"/>
    </row>
    <row r="672" spans="29:33" ht="12.75">
      <c r="AC672" s="1"/>
      <c r="AD672" s="1"/>
      <c r="AE672" s="1"/>
      <c r="AF672" s="1"/>
      <c r="AG672" s="1"/>
    </row>
    <row r="673" spans="29:33" ht="12.75">
      <c r="AC673" s="1"/>
      <c r="AD673" s="1"/>
      <c r="AE673" s="1"/>
      <c r="AF673" s="1"/>
      <c r="AG673" s="1"/>
    </row>
    <row r="674" spans="29:33" ht="12.75">
      <c r="AC674" s="1"/>
      <c r="AD674" s="1"/>
      <c r="AE674" s="1"/>
      <c r="AF674" s="1"/>
      <c r="AG674" s="1"/>
    </row>
    <row r="675" spans="29:33" ht="12.75">
      <c r="AC675" s="1"/>
      <c r="AD675" s="1"/>
      <c r="AE675" s="1"/>
      <c r="AF675" s="1"/>
      <c r="AG675" s="1"/>
    </row>
    <row r="676" spans="29:33" ht="12.75">
      <c r="AC676" s="1"/>
      <c r="AD676" s="1"/>
      <c r="AE676" s="1"/>
      <c r="AF676" s="1"/>
      <c r="AG676" s="1"/>
    </row>
    <row r="677" spans="29:33" ht="12.75">
      <c r="AC677" s="1"/>
      <c r="AD677" s="1"/>
      <c r="AE677" s="1"/>
      <c r="AF677" s="1"/>
      <c r="AG677" s="1"/>
    </row>
    <row r="678" spans="29:33" ht="12.75">
      <c r="AC678" s="1"/>
      <c r="AD678" s="1"/>
      <c r="AE678" s="1"/>
      <c r="AF678" s="1"/>
      <c r="AG678" s="1"/>
    </row>
    <row r="679" spans="29:33" ht="12.75">
      <c r="AC679" s="1"/>
      <c r="AD679" s="1"/>
      <c r="AE679" s="1"/>
      <c r="AF679" s="1"/>
      <c r="AG679" s="1"/>
    </row>
    <row r="680" spans="29:33" ht="12.75">
      <c r="AC680" s="1"/>
      <c r="AD680" s="1"/>
      <c r="AE680" s="1"/>
      <c r="AF680" s="1"/>
      <c r="AG680" s="1"/>
    </row>
    <row r="681" spans="29:33" ht="12.75">
      <c r="AC681" s="1"/>
      <c r="AD681" s="1"/>
      <c r="AE681" s="1"/>
      <c r="AF681" s="1"/>
      <c r="AG681" s="1"/>
    </row>
    <row r="682" spans="29:33" ht="12.75">
      <c r="AC682" s="1"/>
      <c r="AD682" s="1"/>
      <c r="AE682" s="1"/>
      <c r="AF682" s="1"/>
      <c r="AG682" s="1"/>
    </row>
    <row r="683" spans="29:33" ht="12.75">
      <c r="AC683" s="1"/>
      <c r="AD683" s="1"/>
      <c r="AE683" s="1"/>
      <c r="AF683" s="1"/>
      <c r="AG683" s="1"/>
    </row>
    <row r="684" spans="29:33" ht="12.75">
      <c r="AC684" s="1"/>
      <c r="AD684" s="1"/>
      <c r="AE684" s="1"/>
      <c r="AF684" s="1"/>
      <c r="AG684" s="1"/>
    </row>
    <row r="685" spans="29:33" ht="12.75">
      <c r="AC685" s="1"/>
      <c r="AD685" s="1"/>
      <c r="AE685" s="1"/>
      <c r="AF685" s="1"/>
      <c r="AG685" s="1"/>
    </row>
    <row r="686" spans="29:33" ht="12.75">
      <c r="AC686" s="1"/>
      <c r="AD686" s="1"/>
      <c r="AE686" s="1"/>
      <c r="AF686" s="1"/>
      <c r="AG686" s="1"/>
    </row>
    <row r="687" spans="29:33" ht="12.75">
      <c r="AC687" s="1"/>
      <c r="AD687" s="1"/>
      <c r="AE687" s="1"/>
      <c r="AF687" s="1"/>
      <c r="AG687" s="1"/>
    </row>
    <row r="688" spans="29:33" ht="12.75">
      <c r="AC688" s="1"/>
      <c r="AD688" s="1"/>
      <c r="AE688" s="1"/>
      <c r="AF688" s="1"/>
      <c r="AG688" s="1"/>
    </row>
    <row r="689" spans="29:33" ht="12.75">
      <c r="AC689" s="1"/>
      <c r="AD689" s="1"/>
      <c r="AE689" s="1"/>
      <c r="AF689" s="1"/>
      <c r="AG689" s="1"/>
    </row>
    <row r="690" spans="29:33" ht="12.75">
      <c r="AC690" s="1"/>
      <c r="AD690" s="1"/>
      <c r="AE690" s="1"/>
      <c r="AF690" s="1"/>
      <c r="AG690" s="1"/>
    </row>
    <row r="691" spans="29:33" ht="12.75">
      <c r="AC691" s="1"/>
      <c r="AD691" s="1"/>
      <c r="AE691" s="1"/>
      <c r="AF691" s="1"/>
      <c r="AG691" s="1"/>
    </row>
    <row r="692" spans="29:33" ht="12.75">
      <c r="AC692" s="1"/>
      <c r="AD692" s="1"/>
      <c r="AE692" s="1"/>
      <c r="AF692" s="1"/>
      <c r="AG692" s="1"/>
    </row>
    <row r="693" spans="29:33" ht="12.75">
      <c r="AC693" s="1"/>
      <c r="AD693" s="1"/>
      <c r="AE693" s="1"/>
      <c r="AF693" s="1"/>
      <c r="AG693" s="1"/>
    </row>
    <row r="694" spans="29:33" ht="12.75">
      <c r="AC694" s="1"/>
      <c r="AD694" s="1"/>
      <c r="AE694" s="1"/>
      <c r="AF694" s="1"/>
      <c r="AG694" s="1"/>
    </row>
    <row r="695" spans="29:33" ht="12.75">
      <c r="AC695" s="1"/>
      <c r="AD695" s="1"/>
      <c r="AE695" s="1"/>
      <c r="AF695" s="1"/>
      <c r="AG695" s="1"/>
    </row>
    <row r="696" spans="29:33" ht="12.75">
      <c r="AC696" s="1"/>
      <c r="AD696" s="1"/>
      <c r="AE696" s="1"/>
      <c r="AF696" s="1"/>
      <c r="AG696" s="1"/>
    </row>
    <row r="697" spans="29:33" ht="12.75">
      <c r="AC697" s="1"/>
      <c r="AD697" s="1"/>
      <c r="AE697" s="1"/>
      <c r="AF697" s="1"/>
      <c r="AG697" s="1"/>
    </row>
    <row r="698" spans="29:33" ht="12.75">
      <c r="AC698" s="1"/>
      <c r="AD698" s="1"/>
      <c r="AE698" s="1"/>
      <c r="AF698" s="1"/>
      <c r="AG698" s="1"/>
    </row>
    <row r="699" spans="29:33" ht="12.75">
      <c r="AC699" s="1"/>
      <c r="AD699" s="1"/>
      <c r="AE699" s="1"/>
      <c r="AF699" s="1"/>
      <c r="AG699" s="1"/>
    </row>
    <row r="700" spans="29:33" ht="12.75">
      <c r="AC700" s="1"/>
      <c r="AD700" s="1"/>
      <c r="AE700" s="1"/>
      <c r="AF700" s="1"/>
      <c r="AG700" s="1"/>
    </row>
    <row r="701" spans="29:33" ht="12.75">
      <c r="AC701" s="1"/>
      <c r="AD701" s="1"/>
      <c r="AE701" s="1"/>
      <c r="AF701" s="1"/>
      <c r="AG701" s="1"/>
    </row>
    <row r="702" spans="29:33" ht="12.75">
      <c r="AC702" s="1"/>
      <c r="AD702" s="1"/>
      <c r="AE702" s="1"/>
      <c r="AF702" s="1"/>
      <c r="AG702" s="1"/>
    </row>
    <row r="703" spans="29:33" ht="12.75">
      <c r="AC703" s="1"/>
      <c r="AD703" s="1"/>
      <c r="AE703" s="1"/>
      <c r="AF703" s="1"/>
      <c r="AG703" s="1"/>
    </row>
    <row r="704" spans="29:33" ht="12.75">
      <c r="AC704" s="1"/>
      <c r="AD704" s="1"/>
      <c r="AE704" s="1"/>
      <c r="AF704" s="1"/>
      <c r="AG704" s="1"/>
    </row>
    <row r="705" spans="29:33" ht="12.75">
      <c r="AC705" s="1"/>
      <c r="AD705" s="1"/>
      <c r="AE705" s="1"/>
      <c r="AF705" s="1"/>
      <c r="AG705" s="1"/>
    </row>
    <row r="706" spans="29:33" ht="12.75">
      <c r="AC706" s="1"/>
      <c r="AD706" s="1"/>
      <c r="AE706" s="1"/>
      <c r="AF706" s="1"/>
      <c r="AG706" s="1"/>
    </row>
    <row r="707" spans="29:33" ht="12.75">
      <c r="AC707" s="1"/>
      <c r="AD707" s="1"/>
      <c r="AE707" s="1"/>
      <c r="AF707" s="1"/>
      <c r="AG707" s="1"/>
    </row>
    <row r="708" spans="29:33" ht="12.75">
      <c r="AC708" s="1"/>
      <c r="AD708" s="1"/>
      <c r="AE708" s="1"/>
      <c r="AF708" s="1"/>
      <c r="AG708" s="1"/>
    </row>
    <row r="709" spans="29:33" ht="12.75">
      <c r="AC709" s="1"/>
      <c r="AD709" s="1"/>
      <c r="AE709" s="1"/>
      <c r="AF709" s="1"/>
      <c r="AG709" s="1"/>
    </row>
    <row r="710" spans="29:33" ht="12.75">
      <c r="AC710" s="1"/>
      <c r="AD710" s="1"/>
      <c r="AE710" s="1"/>
      <c r="AF710" s="1"/>
      <c r="AG710" s="1"/>
    </row>
    <row r="711" spans="29:33" ht="12.75">
      <c r="AC711" s="1"/>
      <c r="AD711" s="1"/>
      <c r="AE711" s="1"/>
      <c r="AF711" s="1"/>
      <c r="AG711" s="1"/>
    </row>
    <row r="712" spans="29:33" ht="12.75">
      <c r="AC712" s="1"/>
      <c r="AD712" s="1"/>
      <c r="AE712" s="1"/>
      <c r="AF712" s="1"/>
      <c r="AG712" s="1"/>
    </row>
    <row r="713" spans="29:33" ht="12.75">
      <c r="AC713" s="1"/>
      <c r="AD713" s="1"/>
      <c r="AE713" s="1"/>
      <c r="AF713" s="1"/>
      <c r="AG713" s="1"/>
    </row>
    <row r="714" spans="29:33" ht="12.75">
      <c r="AC714" s="1"/>
      <c r="AD714" s="1"/>
      <c r="AE714" s="1"/>
      <c r="AF714" s="1"/>
      <c r="AG714" s="1"/>
    </row>
    <row r="715" spans="29:33" ht="12.75">
      <c r="AC715" s="1"/>
      <c r="AD715" s="1"/>
      <c r="AE715" s="1"/>
      <c r="AF715" s="1"/>
      <c r="AG715" s="1"/>
    </row>
    <row r="716" spans="29:33" ht="12.75">
      <c r="AC716" s="1"/>
      <c r="AD716" s="1"/>
      <c r="AE716" s="1"/>
      <c r="AF716" s="1"/>
      <c r="AG716" s="1"/>
    </row>
    <row r="717" spans="29:33" ht="12.75">
      <c r="AC717" s="1"/>
      <c r="AD717" s="1"/>
      <c r="AE717" s="1"/>
      <c r="AF717" s="1"/>
      <c r="AG717" s="1"/>
    </row>
    <row r="718" spans="29:33" ht="12.75">
      <c r="AC718" s="1"/>
      <c r="AD718" s="1"/>
      <c r="AE718" s="1"/>
      <c r="AF718" s="1"/>
      <c r="AG718" s="1"/>
    </row>
    <row r="719" spans="29:33" ht="12.75">
      <c r="AC719" s="1"/>
      <c r="AD719" s="1"/>
      <c r="AE719" s="1"/>
      <c r="AF719" s="1"/>
      <c r="AG719" s="1"/>
    </row>
    <row r="720" spans="29:33" ht="12.75">
      <c r="AC720" s="1"/>
      <c r="AD720" s="1"/>
      <c r="AE720" s="1"/>
      <c r="AF720" s="1"/>
      <c r="AG720" s="1"/>
    </row>
    <row r="721" spans="29:33" ht="12.75">
      <c r="AC721" s="1"/>
      <c r="AD721" s="1"/>
      <c r="AE721" s="1"/>
      <c r="AF721" s="1"/>
      <c r="AG721" s="1"/>
    </row>
    <row r="722" spans="29:33" ht="12.75">
      <c r="AC722" s="1"/>
      <c r="AD722" s="1"/>
      <c r="AE722" s="1"/>
      <c r="AF722" s="1"/>
      <c r="AG722" s="1"/>
    </row>
    <row r="723" spans="29:33" ht="12.75">
      <c r="AC723" s="1"/>
      <c r="AD723" s="1"/>
      <c r="AE723" s="1"/>
      <c r="AF723" s="1"/>
      <c r="AG723" s="1"/>
    </row>
    <row r="724" spans="29:33" ht="12.75">
      <c r="AC724" s="1"/>
      <c r="AD724" s="1"/>
      <c r="AE724" s="1"/>
      <c r="AF724" s="1"/>
      <c r="AG724" s="1"/>
    </row>
    <row r="725" spans="29:33" ht="12.75">
      <c r="AC725" s="1"/>
      <c r="AD725" s="1"/>
      <c r="AE725" s="1"/>
      <c r="AF725" s="1"/>
      <c r="AG725" s="1"/>
    </row>
    <row r="726" spans="29:33" ht="12.75">
      <c r="AC726" s="1"/>
      <c r="AD726" s="1"/>
      <c r="AE726" s="1"/>
      <c r="AF726" s="1"/>
      <c r="AG726" s="1"/>
    </row>
    <row r="727" spans="29:33" ht="12.75">
      <c r="AC727" s="1"/>
      <c r="AD727" s="1"/>
      <c r="AE727" s="1"/>
      <c r="AF727" s="1"/>
      <c r="AG727" s="1"/>
    </row>
    <row r="728" spans="29:33" ht="12.75">
      <c r="AC728" s="1"/>
      <c r="AD728" s="1"/>
      <c r="AE728" s="1"/>
      <c r="AF728" s="1"/>
      <c r="AG728" s="1"/>
    </row>
    <row r="729" spans="29:33" ht="12.75">
      <c r="AC729" s="1"/>
      <c r="AD729" s="1"/>
      <c r="AE729" s="1"/>
      <c r="AF729" s="1"/>
      <c r="AG729" s="1"/>
    </row>
    <row r="730" spans="29:33" ht="12.75">
      <c r="AC730" s="1"/>
      <c r="AD730" s="1"/>
      <c r="AE730" s="1"/>
      <c r="AF730" s="1"/>
      <c r="AG730" s="1"/>
    </row>
    <row r="731" spans="29:33" ht="12.75">
      <c r="AC731" s="1"/>
      <c r="AD731" s="1"/>
      <c r="AE731" s="1"/>
      <c r="AF731" s="1"/>
      <c r="AG731" s="1"/>
    </row>
    <row r="732" spans="29:33" ht="12.75">
      <c r="AC732" s="1"/>
      <c r="AD732" s="1"/>
      <c r="AE732" s="1"/>
      <c r="AF732" s="1"/>
      <c r="AG732" s="1"/>
    </row>
    <row r="733" spans="29:33" ht="12.75">
      <c r="AC733" s="1"/>
      <c r="AD733" s="1"/>
      <c r="AE733" s="1"/>
      <c r="AF733" s="1"/>
      <c r="AG733" s="1"/>
    </row>
    <row r="734" spans="29:33" ht="12.75">
      <c r="AC734" s="1"/>
      <c r="AD734" s="1"/>
      <c r="AE734" s="1"/>
      <c r="AF734" s="1"/>
      <c r="AG734" s="1"/>
    </row>
    <row r="735" spans="29:33" ht="12.75">
      <c r="AC735" s="1"/>
      <c r="AD735" s="1"/>
      <c r="AE735" s="1"/>
      <c r="AF735" s="1"/>
      <c r="AG735" s="1"/>
    </row>
    <row r="736" spans="29:33" ht="12.75">
      <c r="AC736" s="1"/>
      <c r="AD736" s="1"/>
      <c r="AE736" s="1"/>
      <c r="AF736" s="1"/>
      <c r="AG736" s="1"/>
    </row>
    <row r="737" spans="29:33" ht="12.75">
      <c r="AC737" s="1"/>
      <c r="AD737" s="1"/>
      <c r="AE737" s="1"/>
      <c r="AF737" s="1"/>
      <c r="AG737" s="1"/>
    </row>
    <row r="738" spans="29:33" ht="12.75">
      <c r="AC738" s="1"/>
      <c r="AD738" s="1"/>
      <c r="AE738" s="1"/>
      <c r="AF738" s="1"/>
      <c r="AG738" s="1"/>
    </row>
    <row r="739" spans="29:33" ht="12.75">
      <c r="AC739" s="1"/>
      <c r="AD739" s="1"/>
      <c r="AE739" s="1"/>
      <c r="AF739" s="1"/>
      <c r="AG739" s="1"/>
    </row>
    <row r="740" spans="29:33" ht="12.75">
      <c r="AC740" s="1"/>
      <c r="AD740" s="1"/>
      <c r="AE740" s="1"/>
      <c r="AF740" s="1"/>
      <c r="AG740" s="1"/>
    </row>
    <row r="741" spans="29:33" ht="12.75">
      <c r="AC741" s="1"/>
      <c r="AD741" s="1"/>
      <c r="AE741" s="1"/>
      <c r="AF741" s="1"/>
      <c r="AG741" s="1"/>
    </row>
    <row r="742" spans="29:33" ht="12.75">
      <c r="AC742" s="1"/>
      <c r="AD742" s="1"/>
      <c r="AE742" s="1"/>
      <c r="AF742" s="1"/>
      <c r="AG742" s="1"/>
    </row>
    <row r="743" spans="29:33" ht="12.75">
      <c r="AC743" s="1"/>
      <c r="AD743" s="1"/>
      <c r="AE743" s="1"/>
      <c r="AF743" s="1"/>
      <c r="AG743" s="1"/>
    </row>
    <row r="744" spans="29:33" ht="12.75">
      <c r="AC744" s="1"/>
      <c r="AD744" s="1"/>
      <c r="AE744" s="1"/>
      <c r="AF744" s="1"/>
      <c r="AG744" s="1"/>
    </row>
    <row r="745" spans="29:33" ht="12.75">
      <c r="AC745" s="1"/>
      <c r="AD745" s="1"/>
      <c r="AE745" s="1"/>
      <c r="AF745" s="1"/>
      <c r="AG745" s="1"/>
    </row>
    <row r="746" spans="29:33" ht="12.75">
      <c r="AC746" s="1"/>
      <c r="AD746" s="1"/>
      <c r="AE746" s="1"/>
      <c r="AF746" s="1"/>
      <c r="AG746" s="1"/>
    </row>
    <row r="747" spans="29:33" ht="12.75">
      <c r="AC747" s="1"/>
      <c r="AD747" s="1"/>
      <c r="AE747" s="1"/>
      <c r="AF747" s="1"/>
      <c r="AG747" s="1"/>
    </row>
    <row r="748" spans="29:33" ht="12.75">
      <c r="AC748" s="1"/>
      <c r="AD748" s="1"/>
      <c r="AE748" s="1"/>
      <c r="AF748" s="1"/>
      <c r="AG748" s="1"/>
    </row>
    <row r="749" spans="29:33" ht="12.75">
      <c r="AC749" s="1"/>
      <c r="AD749" s="1"/>
      <c r="AE749" s="1"/>
      <c r="AF749" s="1"/>
      <c r="AG749" s="1"/>
    </row>
    <row r="750" spans="29:33" ht="12.75">
      <c r="AC750" s="1"/>
      <c r="AD750" s="1"/>
      <c r="AE750" s="1"/>
      <c r="AF750" s="1"/>
      <c r="AG750" s="1"/>
    </row>
    <row r="751" spans="29:33" ht="12.75">
      <c r="AC751" s="1"/>
      <c r="AD751" s="1"/>
      <c r="AE751" s="1"/>
      <c r="AF751" s="1"/>
      <c r="AG751" s="1"/>
    </row>
    <row r="752" spans="29:33" ht="12.75">
      <c r="AC752" s="1"/>
      <c r="AD752" s="1"/>
      <c r="AE752" s="1"/>
      <c r="AF752" s="1"/>
      <c r="AG752" s="1"/>
    </row>
    <row r="753" spans="29:33" ht="12.75">
      <c r="AC753" s="1"/>
      <c r="AD753" s="1"/>
      <c r="AE753" s="1"/>
      <c r="AF753" s="1"/>
      <c r="AG753" s="1"/>
    </row>
    <row r="754" spans="29:33" ht="12.75">
      <c r="AC754" s="1"/>
      <c r="AD754" s="1"/>
      <c r="AE754" s="1"/>
      <c r="AF754" s="1"/>
      <c r="AG754" s="1"/>
    </row>
    <row r="755" spans="29:33" ht="12.75">
      <c r="AC755" s="1"/>
      <c r="AD755" s="1"/>
      <c r="AE755" s="1"/>
      <c r="AF755" s="1"/>
      <c r="AG755" s="1"/>
    </row>
    <row r="756" spans="29:33" ht="12.75">
      <c r="AC756" s="1"/>
      <c r="AD756" s="1"/>
      <c r="AE756" s="1"/>
      <c r="AF756" s="1"/>
      <c r="AG756" s="1"/>
    </row>
    <row r="757" spans="29:33" ht="12.75">
      <c r="AC757" s="1"/>
      <c r="AD757" s="1"/>
      <c r="AE757" s="1"/>
      <c r="AF757" s="1"/>
      <c r="AG757" s="1"/>
    </row>
    <row r="758" spans="29:33" ht="12.75">
      <c r="AC758" s="1"/>
      <c r="AD758" s="1"/>
      <c r="AE758" s="1"/>
      <c r="AF758" s="1"/>
      <c r="AG758" s="1"/>
    </row>
    <row r="759" spans="29:33" ht="12.75">
      <c r="AC759" s="1"/>
      <c r="AD759" s="1"/>
      <c r="AE759" s="1"/>
      <c r="AF759" s="1"/>
      <c r="AG759" s="1"/>
    </row>
    <row r="760" spans="29:33" ht="12.75">
      <c r="AC760" s="1"/>
      <c r="AD760" s="1"/>
      <c r="AE760" s="1"/>
      <c r="AF760" s="1"/>
      <c r="AG760" s="1"/>
    </row>
    <row r="761" spans="29:33" ht="12.75">
      <c r="AC761" s="1"/>
      <c r="AD761" s="1"/>
      <c r="AE761" s="1"/>
      <c r="AF761" s="1"/>
      <c r="AG761" s="1"/>
    </row>
    <row r="762" spans="29:33" ht="12.75">
      <c r="AC762" s="1"/>
      <c r="AD762" s="1"/>
      <c r="AE762" s="1"/>
      <c r="AF762" s="1"/>
      <c r="AG762" s="1"/>
    </row>
    <row r="763" spans="29:33" ht="12.75">
      <c r="AC763" s="1"/>
      <c r="AD763" s="1"/>
      <c r="AE763" s="1"/>
      <c r="AF763" s="1"/>
      <c r="AG763" s="1"/>
    </row>
    <row r="764" spans="29:33" ht="12.75">
      <c r="AC764" s="1"/>
      <c r="AD764" s="1"/>
      <c r="AE764" s="1"/>
      <c r="AF764" s="1"/>
      <c r="AG764" s="1"/>
    </row>
    <row r="765" spans="29:33" ht="12.75">
      <c r="AC765" s="1"/>
      <c r="AD765" s="1"/>
      <c r="AE765" s="1"/>
      <c r="AF765" s="1"/>
      <c r="AG765" s="1"/>
    </row>
    <row r="766" spans="29:33" ht="12.75">
      <c r="AC766" s="1"/>
      <c r="AD766" s="1"/>
      <c r="AE766" s="1"/>
      <c r="AF766" s="1"/>
      <c r="AG766" s="1"/>
    </row>
    <row r="767" spans="29:33" ht="12.75">
      <c r="AC767" s="1"/>
      <c r="AD767" s="1"/>
      <c r="AE767" s="1"/>
      <c r="AF767" s="1"/>
      <c r="AG767" s="1"/>
    </row>
    <row r="768" spans="29:33" ht="12.75">
      <c r="AC768" s="1"/>
      <c r="AD768" s="1"/>
      <c r="AE768" s="1"/>
      <c r="AF768" s="1"/>
      <c r="AG768" s="1"/>
    </row>
    <row r="769" spans="29:33" ht="12.75">
      <c r="AC769" s="1"/>
      <c r="AD769" s="1"/>
      <c r="AE769" s="1"/>
      <c r="AF769" s="1"/>
      <c r="AG769" s="1"/>
    </row>
    <row r="770" spans="29:33" ht="12.75">
      <c r="AC770" s="1"/>
      <c r="AD770" s="1"/>
      <c r="AE770" s="1"/>
      <c r="AF770" s="1"/>
      <c r="AG770" s="1"/>
    </row>
    <row r="771" spans="29:33" ht="12.75">
      <c r="AC771" s="1"/>
      <c r="AD771" s="1"/>
      <c r="AE771" s="1"/>
      <c r="AF771" s="1"/>
      <c r="AG771" s="1"/>
    </row>
    <row r="772" spans="29:33" ht="12.75">
      <c r="AC772" s="1"/>
      <c r="AD772" s="1"/>
      <c r="AE772" s="1"/>
      <c r="AF772" s="1"/>
      <c r="AG772" s="1"/>
    </row>
    <row r="773" spans="29:33" ht="12.75">
      <c r="AC773" s="1"/>
      <c r="AD773" s="1"/>
      <c r="AE773" s="1"/>
      <c r="AF773" s="1"/>
      <c r="AG773" s="1"/>
    </row>
    <row r="774" spans="29:33" ht="12.75">
      <c r="AC774" s="1"/>
      <c r="AD774" s="1"/>
      <c r="AE774" s="1"/>
      <c r="AF774" s="1"/>
      <c r="AG774" s="1"/>
    </row>
    <row r="775" spans="29:33" ht="12.75">
      <c r="AC775" s="1"/>
      <c r="AD775" s="1"/>
      <c r="AE775" s="1"/>
      <c r="AF775" s="1"/>
      <c r="AG775" s="1"/>
    </row>
    <row r="776" spans="29:33" ht="12.75">
      <c r="AC776" s="1"/>
      <c r="AD776" s="1"/>
      <c r="AE776" s="1"/>
      <c r="AF776" s="1"/>
      <c r="AG776" s="1"/>
    </row>
    <row r="777" spans="29:33" ht="12.75">
      <c r="AC777" s="1"/>
      <c r="AD777" s="1"/>
      <c r="AE777" s="1"/>
      <c r="AF777" s="1"/>
      <c r="AG777" s="1"/>
    </row>
    <row r="778" spans="29:33" ht="12.75">
      <c r="AC778" s="1"/>
      <c r="AD778" s="1"/>
      <c r="AE778" s="1"/>
      <c r="AF778" s="1"/>
      <c r="AG778" s="1"/>
    </row>
    <row r="779" spans="29:33" ht="12.75">
      <c r="AC779" s="1"/>
      <c r="AD779" s="1"/>
      <c r="AE779" s="1"/>
      <c r="AF779" s="1"/>
      <c r="AG779" s="1"/>
    </row>
    <row r="780" spans="29:33" ht="12.75">
      <c r="AC780" s="1"/>
      <c r="AD780" s="1"/>
      <c r="AE780" s="1"/>
      <c r="AF780" s="1"/>
      <c r="AG780" s="1"/>
    </row>
    <row r="781" spans="29:33" ht="12.75">
      <c r="AC781" s="1"/>
      <c r="AD781" s="1"/>
      <c r="AE781" s="1"/>
      <c r="AF781" s="1"/>
      <c r="AG781" s="1"/>
    </row>
    <row r="782" spans="29:33" ht="12.75">
      <c r="AC782" s="1"/>
      <c r="AD782" s="1"/>
      <c r="AE782" s="1"/>
      <c r="AF782" s="1"/>
      <c r="AG782" s="1"/>
    </row>
    <row r="783" spans="29:33" ht="12.75">
      <c r="AC783" s="1"/>
      <c r="AD783" s="1"/>
      <c r="AE783" s="1"/>
      <c r="AF783" s="1"/>
      <c r="AG783" s="1"/>
    </row>
    <row r="784" spans="29:33" ht="12.75">
      <c r="AC784" s="1"/>
      <c r="AD784" s="1"/>
      <c r="AE784" s="1"/>
      <c r="AF784" s="1"/>
      <c r="AG784" s="1"/>
    </row>
    <row r="785" spans="29:33" ht="12.75">
      <c r="AC785" s="1"/>
      <c r="AD785" s="1"/>
      <c r="AE785" s="1"/>
      <c r="AF785" s="1"/>
      <c r="AG785" s="1"/>
    </row>
    <row r="786" spans="29:33" ht="12.75">
      <c r="AC786" s="1"/>
      <c r="AD786" s="1"/>
      <c r="AE786" s="1"/>
      <c r="AF786" s="1"/>
      <c r="AG786" s="1"/>
    </row>
    <row r="787" spans="29:33" ht="12.75">
      <c r="AC787" s="1"/>
      <c r="AD787" s="1"/>
      <c r="AE787" s="1"/>
      <c r="AF787" s="1"/>
      <c r="AG787" s="1"/>
    </row>
    <row r="788" spans="29:33" ht="12.75">
      <c r="AC788" s="1"/>
      <c r="AD788" s="1"/>
      <c r="AE788" s="1"/>
      <c r="AF788" s="1"/>
      <c r="AG788" s="1"/>
    </row>
    <row r="789" spans="29:33" ht="12.75">
      <c r="AC789" s="1"/>
      <c r="AD789" s="1"/>
      <c r="AE789" s="1"/>
      <c r="AF789" s="1"/>
      <c r="AG789" s="1"/>
    </row>
    <row r="790" spans="29:33" ht="12.75">
      <c r="AC790" s="1"/>
      <c r="AD790" s="1"/>
      <c r="AE790" s="1"/>
      <c r="AF790" s="1"/>
      <c r="AG790" s="1"/>
    </row>
    <row r="791" spans="29:33" ht="12.75">
      <c r="AC791" s="1"/>
      <c r="AD791" s="1"/>
      <c r="AE791" s="1"/>
      <c r="AF791" s="1"/>
      <c r="AG791" s="1"/>
    </row>
    <row r="792" spans="29:33" ht="12.75">
      <c r="AC792" s="1"/>
      <c r="AD792" s="1"/>
      <c r="AE792" s="1"/>
      <c r="AF792" s="1"/>
      <c r="AG792" s="1"/>
    </row>
    <row r="793" spans="29:33" ht="12.75">
      <c r="AC793" s="1"/>
      <c r="AD793" s="1"/>
      <c r="AE793" s="1"/>
      <c r="AF793" s="1"/>
      <c r="AG793" s="1"/>
    </row>
    <row r="794" spans="29:33" ht="12.75">
      <c r="AC794" s="1"/>
      <c r="AD794" s="1"/>
      <c r="AE794" s="1"/>
      <c r="AF794" s="1"/>
      <c r="AG794" s="1"/>
    </row>
    <row r="795" spans="29:33" ht="12.75">
      <c r="AC795" s="1"/>
      <c r="AD795" s="1"/>
      <c r="AE795" s="1"/>
      <c r="AF795" s="1"/>
      <c r="AG795" s="1"/>
    </row>
    <row r="796" spans="29:33" ht="12.75">
      <c r="AC796" s="1"/>
      <c r="AD796" s="1"/>
      <c r="AE796" s="1"/>
      <c r="AF796" s="1"/>
      <c r="AG796" s="1"/>
    </row>
    <row r="797" spans="29:33" ht="12.75">
      <c r="AC797" s="1"/>
      <c r="AD797" s="1"/>
      <c r="AE797" s="1"/>
      <c r="AF797" s="1"/>
      <c r="AG797" s="1"/>
    </row>
    <row r="798" spans="29:33" ht="12.75">
      <c r="AC798" s="1"/>
      <c r="AD798" s="1"/>
      <c r="AE798" s="1"/>
      <c r="AF798" s="1"/>
      <c r="AG798" s="1"/>
    </row>
    <row r="799" spans="29:33" ht="12.75">
      <c r="AC799" s="1"/>
      <c r="AD799" s="1"/>
      <c r="AE799" s="1"/>
      <c r="AF799" s="1"/>
      <c r="AG799" s="1"/>
    </row>
    <row r="800" spans="29:33" ht="12.75">
      <c r="AC800" s="1"/>
      <c r="AD800" s="1"/>
      <c r="AE800" s="1"/>
      <c r="AF800" s="1"/>
      <c r="AG800" s="1"/>
    </row>
    <row r="801" spans="29:33" ht="12.75">
      <c r="AC801" s="1"/>
      <c r="AD801" s="1"/>
      <c r="AE801" s="1"/>
      <c r="AF801" s="1"/>
      <c r="AG801" s="1"/>
    </row>
    <row r="802" spans="29:33" ht="12.75">
      <c r="AC802" s="1"/>
      <c r="AD802" s="1"/>
      <c r="AE802" s="1"/>
      <c r="AF802" s="1"/>
      <c r="AG802" s="1"/>
    </row>
    <row r="803" spans="29:33" ht="12.75">
      <c r="AC803" s="1"/>
      <c r="AD803" s="1"/>
      <c r="AE803" s="1"/>
      <c r="AF803" s="1"/>
      <c r="AG803" s="1"/>
    </row>
    <row r="804" spans="29:33" ht="12.75">
      <c r="AC804" s="1"/>
      <c r="AD804" s="1"/>
      <c r="AE804" s="1"/>
      <c r="AF804" s="1"/>
      <c r="AG804" s="1"/>
    </row>
    <row r="805" spans="29:33" ht="12.75">
      <c r="AC805" s="1"/>
      <c r="AD805" s="1"/>
      <c r="AE805" s="1"/>
      <c r="AF805" s="1"/>
      <c r="AG805" s="1"/>
    </row>
    <row r="806" spans="29:33" ht="12.75">
      <c r="AC806" s="1"/>
      <c r="AD806" s="1"/>
      <c r="AE806" s="1"/>
      <c r="AF806" s="1"/>
      <c r="AG806" s="1"/>
    </row>
    <row r="807" spans="29:33" ht="12.75">
      <c r="AC807" s="1"/>
      <c r="AD807" s="1"/>
      <c r="AE807" s="1"/>
      <c r="AF807" s="1"/>
      <c r="AG807" s="1"/>
    </row>
    <row r="808" spans="29:33" ht="12.75">
      <c r="AC808" s="1"/>
      <c r="AD808" s="1"/>
      <c r="AE808" s="1"/>
      <c r="AF808" s="1"/>
      <c r="AG808" s="1"/>
    </row>
    <row r="809" spans="29:33" ht="12.75">
      <c r="AC809" s="1"/>
      <c r="AD809" s="1"/>
      <c r="AE809" s="1"/>
      <c r="AF809" s="1"/>
      <c r="AG809" s="1"/>
    </row>
    <row r="810" spans="29:33" ht="12.75">
      <c r="AC810" s="1"/>
      <c r="AD810" s="1"/>
      <c r="AE810" s="1"/>
      <c r="AF810" s="1"/>
      <c r="AG810" s="1"/>
    </row>
    <row r="811" spans="29:33" ht="12.75">
      <c r="AC811" s="1"/>
      <c r="AD811" s="1"/>
      <c r="AE811" s="1"/>
      <c r="AF811" s="1"/>
      <c r="AG811" s="1"/>
    </row>
    <row r="812" spans="29:33" ht="12.75">
      <c r="AC812" s="1"/>
      <c r="AD812" s="1"/>
      <c r="AE812" s="1"/>
      <c r="AF812" s="1"/>
      <c r="AG812" s="1"/>
    </row>
    <row r="813" spans="29:33" ht="12.75">
      <c r="AC813" s="1"/>
      <c r="AD813" s="1"/>
      <c r="AE813" s="1"/>
      <c r="AF813" s="1"/>
      <c r="AG813" s="1"/>
    </row>
    <row r="814" spans="29:33" ht="12.75">
      <c r="AC814" s="1"/>
      <c r="AD814" s="1"/>
      <c r="AE814" s="1"/>
      <c r="AF814" s="1"/>
      <c r="AG814" s="1"/>
    </row>
    <row r="815" spans="29:33" ht="12.75">
      <c r="AC815" s="1"/>
      <c r="AD815" s="1"/>
      <c r="AE815" s="1"/>
      <c r="AF815" s="1"/>
      <c r="AG815" s="1"/>
    </row>
    <row r="816" spans="29:33" ht="12.75">
      <c r="AC816" s="1"/>
      <c r="AD816" s="1"/>
      <c r="AE816" s="1"/>
      <c r="AF816" s="1"/>
      <c r="AG816" s="1"/>
    </row>
    <row r="817" spans="29:33" ht="12.75">
      <c r="AC817" s="1"/>
      <c r="AD817" s="1"/>
      <c r="AE817" s="1"/>
      <c r="AF817" s="1"/>
      <c r="AG817" s="1"/>
    </row>
    <row r="818" spans="29:33" ht="12.75">
      <c r="AC818" s="1"/>
      <c r="AD818" s="1"/>
      <c r="AE818" s="1"/>
      <c r="AF818" s="1"/>
      <c r="AG818" s="1"/>
    </row>
    <row r="819" spans="29:33" ht="12.75">
      <c r="AC819" s="1"/>
      <c r="AD819" s="1"/>
      <c r="AE819" s="1"/>
      <c r="AF819" s="1"/>
      <c r="AG819" s="1"/>
    </row>
    <row r="820" spans="29:33" ht="12.75">
      <c r="AC820" s="1"/>
      <c r="AD820" s="1"/>
      <c r="AE820" s="1"/>
      <c r="AF820" s="1"/>
      <c r="AG820" s="1"/>
    </row>
    <row r="821" spans="29:33" ht="12.75">
      <c r="AC821" s="1"/>
      <c r="AD821" s="1"/>
      <c r="AE821" s="1"/>
      <c r="AF821" s="1"/>
      <c r="AG821" s="1"/>
    </row>
    <row r="822" spans="29:33" ht="12.75">
      <c r="AC822" s="1"/>
      <c r="AD822" s="1"/>
      <c r="AE822" s="1"/>
      <c r="AF822" s="1"/>
      <c r="AG822" s="1"/>
    </row>
    <row r="823" spans="29:33" ht="12.75">
      <c r="AC823" s="1"/>
      <c r="AD823" s="1"/>
      <c r="AE823" s="1"/>
      <c r="AF823" s="1"/>
      <c r="AG823" s="1"/>
    </row>
    <row r="824" spans="29:33" ht="12.75">
      <c r="AC824" s="1"/>
      <c r="AD824" s="1"/>
      <c r="AE824" s="1"/>
      <c r="AF824" s="1"/>
      <c r="AG824" s="1"/>
    </row>
    <row r="825" spans="29:33" ht="12.75">
      <c r="AC825" s="1"/>
      <c r="AD825" s="1"/>
      <c r="AE825" s="1"/>
      <c r="AF825" s="1"/>
      <c r="AG825" s="1"/>
    </row>
    <row r="826" spans="29:33" ht="12.75">
      <c r="AC826" s="1"/>
      <c r="AD826" s="1"/>
      <c r="AE826" s="1"/>
      <c r="AF826" s="1"/>
      <c r="AG826" s="1"/>
    </row>
    <row r="827" spans="29:33" ht="12.75">
      <c r="AC827" s="1"/>
      <c r="AD827" s="1"/>
      <c r="AE827" s="1"/>
      <c r="AF827" s="1"/>
      <c r="AG827" s="1"/>
    </row>
    <row r="828" spans="29:33" ht="12.75">
      <c r="AC828" s="1"/>
      <c r="AD828" s="1"/>
      <c r="AE828" s="1"/>
      <c r="AF828" s="1"/>
      <c r="AG828" s="1"/>
    </row>
    <row r="829" spans="29:33" ht="12.75">
      <c r="AC829" s="1"/>
      <c r="AD829" s="1"/>
      <c r="AE829" s="1"/>
      <c r="AF829" s="1"/>
      <c r="AG829" s="1"/>
    </row>
    <row r="830" spans="29:33" ht="12.75">
      <c r="AC830" s="1"/>
      <c r="AD830" s="1"/>
      <c r="AE830" s="1"/>
      <c r="AF830" s="1"/>
      <c r="AG830" s="1"/>
    </row>
    <row r="831" spans="29:33" ht="12.75">
      <c r="AC831" s="1"/>
      <c r="AD831" s="1"/>
      <c r="AE831" s="1"/>
      <c r="AF831" s="1"/>
      <c r="AG831" s="1"/>
    </row>
    <row r="832" spans="29:33" ht="12.75">
      <c r="AC832" s="1"/>
      <c r="AD832" s="1"/>
      <c r="AE832" s="1"/>
      <c r="AF832" s="1"/>
      <c r="AG832" s="1"/>
    </row>
    <row r="833" spans="29:33" ht="12.75">
      <c r="AC833" s="1"/>
      <c r="AD833" s="1"/>
      <c r="AE833" s="1"/>
      <c r="AF833" s="1"/>
      <c r="AG833" s="1"/>
    </row>
    <row r="834" spans="29:33" ht="12.75">
      <c r="AC834" s="1"/>
      <c r="AD834" s="1"/>
      <c r="AE834" s="1"/>
      <c r="AF834" s="1"/>
      <c r="AG834" s="1"/>
    </row>
    <row r="835" spans="29:33" ht="12.75">
      <c r="AC835" s="1"/>
      <c r="AD835" s="1"/>
      <c r="AE835" s="1"/>
      <c r="AF835" s="1"/>
      <c r="AG835" s="1"/>
    </row>
    <row r="836" spans="29:33" ht="12.75">
      <c r="AC836" s="1"/>
      <c r="AD836" s="1"/>
      <c r="AE836" s="1"/>
      <c r="AF836" s="1"/>
      <c r="AG836" s="1"/>
    </row>
    <row r="837" spans="29:33" ht="12.75">
      <c r="AC837" s="1"/>
      <c r="AD837" s="1"/>
      <c r="AE837" s="1"/>
      <c r="AF837" s="1"/>
      <c r="AG837" s="1"/>
    </row>
    <row r="838" spans="29:33" ht="12.75">
      <c r="AC838" s="1"/>
      <c r="AD838" s="1"/>
      <c r="AE838" s="1"/>
      <c r="AF838" s="1"/>
      <c r="AG838" s="1"/>
    </row>
    <row r="839" spans="29:33" ht="12.75">
      <c r="AC839" s="1"/>
      <c r="AD839" s="1"/>
      <c r="AE839" s="1"/>
      <c r="AF839" s="1"/>
      <c r="AG839" s="1"/>
    </row>
    <row r="840" spans="29:33" ht="12.75">
      <c r="AC840" s="1"/>
      <c r="AD840" s="1"/>
      <c r="AE840" s="1"/>
      <c r="AF840" s="1"/>
      <c r="AG840" s="1"/>
    </row>
    <row r="841" spans="29:33" ht="12.75">
      <c r="AC841" s="1"/>
      <c r="AD841" s="1"/>
      <c r="AE841" s="1"/>
      <c r="AF841" s="1"/>
      <c r="AG841" s="1"/>
    </row>
    <row r="842" spans="29:33" ht="12.75">
      <c r="AC842" s="1"/>
      <c r="AD842" s="1"/>
      <c r="AE842" s="1"/>
      <c r="AF842" s="1"/>
      <c r="AG842" s="1"/>
    </row>
    <row r="843" spans="29:33" ht="12.75">
      <c r="AC843" s="1"/>
      <c r="AD843" s="1"/>
      <c r="AE843" s="1"/>
      <c r="AF843" s="1"/>
      <c r="AG843" s="1"/>
    </row>
    <row r="844" spans="29:33" ht="12.75">
      <c r="AC844" s="1"/>
      <c r="AD844" s="1"/>
      <c r="AE844" s="1"/>
      <c r="AF844" s="1"/>
      <c r="AG844" s="1"/>
    </row>
    <row r="845" spans="29:33" ht="12.75">
      <c r="AC845" s="1"/>
      <c r="AD845" s="1"/>
      <c r="AE845" s="1"/>
      <c r="AF845" s="1"/>
      <c r="AG845" s="1"/>
    </row>
    <row r="846" spans="29:33" ht="12.75">
      <c r="AC846" s="1"/>
      <c r="AD846" s="1"/>
      <c r="AE846" s="1"/>
      <c r="AF846" s="1"/>
      <c r="AG846" s="1"/>
    </row>
    <row r="847" spans="29:33" ht="12.75">
      <c r="AC847" s="1"/>
      <c r="AD847" s="1"/>
      <c r="AE847" s="1"/>
      <c r="AF847" s="1"/>
      <c r="AG847" s="1"/>
    </row>
    <row r="848" spans="29:33" ht="12.75">
      <c r="AC848" s="1"/>
      <c r="AD848" s="1"/>
      <c r="AE848" s="1"/>
      <c r="AF848" s="1"/>
      <c r="AG848" s="1"/>
    </row>
    <row r="849" spans="29:33" ht="12.75">
      <c r="AC849" s="1"/>
      <c r="AD849" s="1"/>
      <c r="AE849" s="1"/>
      <c r="AF849" s="1"/>
      <c r="AG849" s="1"/>
    </row>
    <row r="850" spans="29:33" ht="12.75">
      <c r="AC850" s="1"/>
      <c r="AD850" s="1"/>
      <c r="AE850" s="1"/>
      <c r="AF850" s="1"/>
      <c r="AG850" s="1"/>
    </row>
    <row r="851" spans="29:33" ht="12.75">
      <c r="AC851" s="1"/>
      <c r="AD851" s="1"/>
      <c r="AE851" s="1"/>
      <c r="AF851" s="1"/>
      <c r="AG851" s="1"/>
    </row>
    <row r="852" spans="29:33" ht="12.75">
      <c r="AC852" s="1"/>
      <c r="AD852" s="1"/>
      <c r="AE852" s="1"/>
      <c r="AF852" s="1"/>
      <c r="AG852" s="1"/>
    </row>
    <row r="853" spans="29:33" ht="12.75">
      <c r="AC853" s="1"/>
      <c r="AD853" s="1"/>
      <c r="AE853" s="1"/>
      <c r="AF853" s="1"/>
      <c r="AG853" s="1"/>
    </row>
    <row r="854" spans="29:33" ht="12.75">
      <c r="AC854" s="1"/>
      <c r="AD854" s="1"/>
      <c r="AE854" s="1"/>
      <c r="AF854" s="1"/>
      <c r="AG854" s="1"/>
    </row>
    <row r="855" spans="29:33" ht="12.75">
      <c r="AC855" s="1"/>
      <c r="AD855" s="1"/>
      <c r="AE855" s="1"/>
      <c r="AF855" s="1"/>
      <c r="AG855" s="1"/>
    </row>
    <row r="856" spans="29:33" ht="12.75">
      <c r="AC856" s="1"/>
      <c r="AD856" s="1"/>
      <c r="AE856" s="1"/>
      <c r="AF856" s="1"/>
      <c r="AG856" s="1"/>
    </row>
    <row r="857" spans="29:33" ht="12.75">
      <c r="AC857" s="1"/>
      <c r="AD857" s="1"/>
      <c r="AE857" s="1"/>
      <c r="AF857" s="1"/>
      <c r="AG857" s="1"/>
    </row>
    <row r="858" spans="29:33" ht="12.75">
      <c r="AC858" s="1"/>
      <c r="AD858" s="1"/>
      <c r="AE858" s="1"/>
      <c r="AF858" s="1"/>
      <c r="AG858" s="1"/>
    </row>
    <row r="859" spans="29:33" ht="12.75">
      <c r="AC859" s="1"/>
      <c r="AD859" s="1"/>
      <c r="AE859" s="1"/>
      <c r="AF859" s="1"/>
      <c r="AG859" s="1"/>
    </row>
    <row r="860" spans="29:33" ht="12.75">
      <c r="AC860" s="1"/>
      <c r="AD860" s="1"/>
      <c r="AE860" s="1"/>
      <c r="AF860" s="1"/>
      <c r="AG860" s="1"/>
    </row>
    <row r="861" spans="29:33" ht="12.75">
      <c r="AC861" s="1"/>
      <c r="AD861" s="1"/>
      <c r="AE861" s="1"/>
      <c r="AF861" s="1"/>
      <c r="AG861" s="1"/>
    </row>
    <row r="862" spans="29:33" ht="12.75">
      <c r="AC862" s="1"/>
      <c r="AD862" s="1"/>
      <c r="AE862" s="1"/>
      <c r="AF862" s="1"/>
      <c r="AG862" s="1"/>
    </row>
    <row r="863" spans="29:33" ht="12.75">
      <c r="AC863" s="1"/>
      <c r="AD863" s="1"/>
      <c r="AE863" s="1"/>
      <c r="AF863" s="1"/>
      <c r="AG863" s="1"/>
    </row>
    <row r="864" spans="29:33" ht="12.75">
      <c r="AC864" s="1"/>
      <c r="AD864" s="1"/>
      <c r="AE864" s="1"/>
      <c r="AF864" s="1"/>
      <c r="AG864" s="1"/>
    </row>
    <row r="865" spans="29:33" ht="12.75">
      <c r="AC865" s="1"/>
      <c r="AD865" s="1"/>
      <c r="AE865" s="1"/>
      <c r="AF865" s="1"/>
      <c r="AG865" s="1"/>
    </row>
    <row r="866" spans="29:33" ht="12.75">
      <c r="AC866" s="1"/>
      <c r="AD866" s="1"/>
      <c r="AE866" s="1"/>
      <c r="AF866" s="1"/>
      <c r="AG866" s="1"/>
    </row>
    <row r="867" spans="29:33" ht="12.75">
      <c r="AC867" s="1"/>
      <c r="AD867" s="1"/>
      <c r="AE867" s="1"/>
      <c r="AF867" s="1"/>
      <c r="AG867" s="1"/>
    </row>
    <row r="868" spans="29:33" ht="12.75">
      <c r="AC868" s="1"/>
      <c r="AD868" s="1"/>
      <c r="AE868" s="1"/>
      <c r="AF868" s="1"/>
      <c r="AG868" s="1"/>
    </row>
    <row r="869" spans="29:33" ht="12.75">
      <c r="AC869" s="1"/>
      <c r="AD869" s="1"/>
      <c r="AE869" s="1"/>
      <c r="AF869" s="1"/>
      <c r="AG869" s="1"/>
    </row>
    <row r="870" spans="29:33" ht="12.75">
      <c r="AC870" s="1"/>
      <c r="AD870" s="1"/>
      <c r="AE870" s="1"/>
      <c r="AF870" s="1"/>
      <c r="AG870" s="1"/>
    </row>
    <row r="871" spans="29:33" ht="12.75">
      <c r="AC871" s="1"/>
      <c r="AD871" s="1"/>
      <c r="AE871" s="1"/>
      <c r="AF871" s="1"/>
      <c r="AG871" s="1"/>
    </row>
    <row r="872" spans="29:33" ht="12.75">
      <c r="AC872" s="1"/>
      <c r="AD872" s="1"/>
      <c r="AE872" s="1"/>
      <c r="AF872" s="1"/>
      <c r="AG872" s="1"/>
    </row>
    <row r="873" spans="29:33" ht="12.75">
      <c r="AC873" s="1"/>
      <c r="AD873" s="1"/>
      <c r="AE873" s="1"/>
      <c r="AF873" s="1"/>
      <c r="AG873" s="1"/>
    </row>
    <row r="874" spans="29:33" ht="12.75">
      <c r="AC874" s="1"/>
      <c r="AD874" s="1"/>
      <c r="AE874" s="1"/>
      <c r="AF874" s="1"/>
      <c r="AG874" s="1"/>
    </row>
    <row r="875" spans="29:33" ht="12.75">
      <c r="AC875" s="1"/>
      <c r="AD875" s="1"/>
      <c r="AE875" s="1"/>
      <c r="AF875" s="1"/>
      <c r="AG875" s="1"/>
    </row>
    <row r="876" spans="29:33" ht="12.75">
      <c r="AC876" s="1"/>
      <c r="AD876" s="1"/>
      <c r="AE876" s="1"/>
      <c r="AF876" s="1"/>
      <c r="AG876" s="1"/>
    </row>
    <row r="877" spans="29:33" ht="12.75">
      <c r="AC877" s="1"/>
      <c r="AD877" s="1"/>
      <c r="AE877" s="1"/>
      <c r="AF877" s="1"/>
      <c r="AG877" s="1"/>
    </row>
    <row r="878" spans="29:33" ht="12.75">
      <c r="AC878" s="1"/>
      <c r="AD878" s="1"/>
      <c r="AE878" s="1"/>
      <c r="AF878" s="1"/>
      <c r="AG878" s="1"/>
    </row>
    <row r="879" spans="29:33" ht="12.75">
      <c r="AC879" s="1"/>
      <c r="AD879" s="1"/>
      <c r="AE879" s="1"/>
      <c r="AF879" s="1"/>
      <c r="AG879" s="1"/>
    </row>
    <row r="880" spans="29:33" ht="12.75">
      <c r="AC880" s="1"/>
      <c r="AD880" s="1"/>
      <c r="AE880" s="1"/>
      <c r="AF880" s="1"/>
      <c r="AG880" s="1"/>
    </row>
    <row r="881" spans="29:33" ht="12.75">
      <c r="AC881" s="1"/>
      <c r="AD881" s="1"/>
      <c r="AE881" s="1"/>
      <c r="AF881" s="1"/>
      <c r="AG881" s="1"/>
    </row>
    <row r="882" spans="29:33" ht="12.75">
      <c r="AC882" s="1"/>
      <c r="AD882" s="1"/>
      <c r="AE882" s="1"/>
      <c r="AF882" s="1"/>
      <c r="AG882" s="1"/>
    </row>
    <row r="883" spans="29:33" ht="12.75">
      <c r="AC883" s="1"/>
      <c r="AD883" s="1"/>
      <c r="AE883" s="1"/>
      <c r="AF883" s="1"/>
      <c r="AG883" s="1"/>
    </row>
    <row r="884" spans="29:33" ht="12.75">
      <c r="AC884" s="1"/>
      <c r="AD884" s="1"/>
      <c r="AE884" s="1"/>
      <c r="AF884" s="1"/>
      <c r="AG884" s="1"/>
    </row>
    <row r="885" spans="29:33" ht="12.75">
      <c r="AC885" s="1"/>
      <c r="AD885" s="1"/>
      <c r="AE885" s="1"/>
      <c r="AF885" s="1"/>
      <c r="AG885" s="1"/>
    </row>
    <row r="886" spans="29:33" ht="12.75">
      <c r="AC886" s="1"/>
      <c r="AD886" s="1"/>
      <c r="AE886" s="1"/>
      <c r="AF886" s="1"/>
      <c r="AG886" s="1"/>
    </row>
    <row r="887" spans="29:33" ht="12.75">
      <c r="AC887" s="1"/>
      <c r="AD887" s="1"/>
      <c r="AE887" s="1"/>
      <c r="AF887" s="1"/>
      <c r="AG887" s="1"/>
    </row>
    <row r="888" spans="29:33" ht="12.75">
      <c r="AC888" s="1"/>
      <c r="AD888" s="1"/>
      <c r="AE888" s="1"/>
      <c r="AF888" s="1"/>
      <c r="AG888" s="1"/>
    </row>
    <row r="889" spans="29:33" ht="12.75">
      <c r="AC889" s="1"/>
      <c r="AD889" s="1"/>
      <c r="AE889" s="1"/>
      <c r="AF889" s="1"/>
      <c r="AG889" s="1"/>
    </row>
    <row r="890" spans="29:33" ht="12.75">
      <c r="AC890" s="1"/>
      <c r="AD890" s="1"/>
      <c r="AE890" s="1"/>
      <c r="AF890" s="1"/>
      <c r="AG890" s="1"/>
    </row>
    <row r="891" spans="29:33" ht="12.75">
      <c r="AC891" s="1"/>
      <c r="AD891" s="1"/>
      <c r="AE891" s="1"/>
      <c r="AF891" s="1"/>
      <c r="AG891" s="1"/>
    </row>
    <row r="892" spans="29:33" ht="12.75">
      <c r="AC892" s="1"/>
      <c r="AD892" s="1"/>
      <c r="AE892" s="1"/>
      <c r="AF892" s="1"/>
      <c r="AG892" s="1"/>
    </row>
    <row r="893" spans="29:33" ht="12.75">
      <c r="AC893" s="1"/>
      <c r="AD893" s="1"/>
      <c r="AE893" s="1"/>
      <c r="AF893" s="1"/>
      <c r="AG893" s="1"/>
    </row>
    <row r="894" spans="29:33" ht="12.75">
      <c r="AC894" s="1"/>
      <c r="AD894" s="1"/>
      <c r="AE894" s="1"/>
      <c r="AF894" s="1"/>
      <c r="AG894" s="1"/>
    </row>
    <row r="895" spans="29:33" ht="12.75">
      <c r="AC895" s="1"/>
      <c r="AD895" s="1"/>
      <c r="AE895" s="1"/>
      <c r="AF895" s="1"/>
      <c r="AG895" s="1"/>
    </row>
    <row r="896" spans="29:33" ht="12.75">
      <c r="AC896" s="1"/>
      <c r="AD896" s="1"/>
      <c r="AE896" s="1"/>
      <c r="AF896" s="1"/>
      <c r="AG896" s="1"/>
    </row>
    <row r="897" spans="29:33" ht="12.75">
      <c r="AC897" s="1"/>
      <c r="AD897" s="1"/>
      <c r="AE897" s="1"/>
      <c r="AF897" s="1"/>
      <c r="AG897" s="1"/>
    </row>
    <row r="898" spans="29:33" ht="12.75">
      <c r="AC898" s="1"/>
      <c r="AD898" s="1"/>
      <c r="AE898" s="1"/>
      <c r="AF898" s="1"/>
      <c r="AG898" s="1"/>
    </row>
    <row r="899" spans="29:33" ht="12.75">
      <c r="AC899" s="1"/>
      <c r="AD899" s="1"/>
      <c r="AE899" s="1"/>
      <c r="AF899" s="1"/>
      <c r="AG899" s="1"/>
    </row>
    <row r="900" spans="29:33" ht="12.75">
      <c r="AC900" s="1"/>
      <c r="AD900" s="1"/>
      <c r="AE900" s="1"/>
      <c r="AF900" s="1"/>
      <c r="AG900" s="1"/>
    </row>
    <row r="901" spans="29:33" ht="12.75">
      <c r="AC901" s="1"/>
      <c r="AD901" s="1"/>
      <c r="AE901" s="1"/>
      <c r="AF901" s="1"/>
      <c r="AG901" s="1"/>
    </row>
    <row r="902" spans="29:33" ht="12.75">
      <c r="AC902" s="1"/>
      <c r="AD902" s="1"/>
      <c r="AE902" s="1"/>
      <c r="AF902" s="1"/>
      <c r="AG902" s="1"/>
    </row>
    <row r="903" spans="29:33" ht="12.75">
      <c r="AC903" s="1"/>
      <c r="AD903" s="1"/>
      <c r="AE903" s="1"/>
      <c r="AF903" s="1"/>
      <c r="AG903" s="1"/>
    </row>
    <row r="904" spans="29:33" ht="12.75">
      <c r="AC904" s="1"/>
      <c r="AD904" s="1"/>
      <c r="AE904" s="1"/>
      <c r="AF904" s="1"/>
      <c r="AG904" s="1"/>
    </row>
    <row r="905" spans="29:33" ht="12.75">
      <c r="AC905" s="1"/>
      <c r="AD905" s="1"/>
      <c r="AE905" s="1"/>
      <c r="AF905" s="1"/>
      <c r="AG905" s="1"/>
    </row>
    <row r="906" spans="29:33" ht="12.75">
      <c r="AC906" s="1"/>
      <c r="AD906" s="1"/>
      <c r="AE906" s="1"/>
      <c r="AF906" s="1"/>
      <c r="AG906" s="1"/>
    </row>
    <row r="907" spans="29:33" ht="12.75">
      <c r="AC907" s="1"/>
      <c r="AD907" s="1"/>
      <c r="AE907" s="1"/>
      <c r="AF907" s="1"/>
      <c r="AG907" s="1"/>
    </row>
    <row r="908" spans="29:33" ht="12.75">
      <c r="AC908" s="1"/>
      <c r="AD908" s="1"/>
      <c r="AE908" s="1"/>
      <c r="AF908" s="1"/>
      <c r="AG908" s="1"/>
    </row>
    <row r="909" spans="29:33" ht="12.75">
      <c r="AC909" s="1"/>
      <c r="AD909" s="1"/>
      <c r="AE909" s="1"/>
      <c r="AF909" s="1"/>
      <c r="AG909" s="1"/>
    </row>
    <row r="910" spans="29:33" ht="12.75">
      <c r="AC910" s="1"/>
      <c r="AD910" s="1"/>
      <c r="AE910" s="1"/>
      <c r="AF910" s="1"/>
      <c r="AG910" s="1"/>
    </row>
    <row r="911" spans="29:33" ht="12.75">
      <c r="AC911" s="1"/>
      <c r="AD911" s="1"/>
      <c r="AE911" s="1"/>
      <c r="AF911" s="1"/>
      <c r="AG911" s="1"/>
    </row>
    <row r="912" spans="29:33" ht="12.75">
      <c r="AC912" s="1"/>
      <c r="AD912" s="1"/>
      <c r="AE912" s="1"/>
      <c r="AF912" s="1"/>
      <c r="AG912" s="1"/>
    </row>
    <row r="913" spans="29:33" ht="12.75">
      <c r="AC913" s="1"/>
      <c r="AD913" s="1"/>
      <c r="AE913" s="1"/>
      <c r="AF913" s="1"/>
      <c r="AG913" s="1"/>
    </row>
    <row r="914" spans="29:33" ht="12.75">
      <c r="AC914" s="1"/>
      <c r="AD914" s="1"/>
      <c r="AE914" s="1"/>
      <c r="AF914" s="1"/>
      <c r="AG914" s="1"/>
    </row>
    <row r="915" spans="29:33" ht="12.75">
      <c r="AC915" s="1"/>
      <c r="AD915" s="1"/>
      <c r="AE915" s="1"/>
      <c r="AF915" s="1"/>
      <c r="AG915" s="1"/>
    </row>
    <row r="916" spans="29:33" ht="12.75">
      <c r="AC916" s="1"/>
      <c r="AD916" s="1"/>
      <c r="AE916" s="1"/>
      <c r="AF916" s="1"/>
      <c r="AG916" s="1"/>
    </row>
    <row r="917" spans="29:33" ht="12.75">
      <c r="AC917" s="1"/>
      <c r="AD917" s="1"/>
      <c r="AE917" s="1"/>
      <c r="AF917" s="1"/>
      <c r="AG917" s="1"/>
    </row>
    <row r="918" spans="29:33" ht="12.75">
      <c r="AC918" s="1"/>
      <c r="AD918" s="1"/>
      <c r="AE918" s="1"/>
      <c r="AF918" s="1"/>
      <c r="AG918" s="1"/>
    </row>
    <row r="919" spans="29:33" ht="12.75">
      <c r="AC919" s="1"/>
      <c r="AD919" s="1"/>
      <c r="AE919" s="1"/>
      <c r="AF919" s="1"/>
      <c r="AG919" s="1"/>
    </row>
    <row r="920" spans="29:33" ht="12.75">
      <c r="AC920" s="1"/>
      <c r="AD920" s="1"/>
      <c r="AE920" s="1"/>
      <c r="AF920" s="1"/>
      <c r="AG920" s="1"/>
    </row>
    <row r="921" spans="29:33" ht="12.75">
      <c r="AC921" s="1"/>
      <c r="AD921" s="1"/>
      <c r="AE921" s="1"/>
      <c r="AF921" s="1"/>
      <c r="AG921" s="1"/>
    </row>
    <row r="922" spans="29:33" ht="12.75">
      <c r="AC922" s="1"/>
      <c r="AD922" s="1"/>
      <c r="AE922" s="1"/>
      <c r="AF922" s="1"/>
      <c r="AG922" s="1"/>
    </row>
    <row r="923" spans="29:33" ht="12.75">
      <c r="AC923" s="1"/>
      <c r="AD923" s="1"/>
      <c r="AE923" s="1"/>
      <c r="AF923" s="1"/>
      <c r="AG923" s="1"/>
    </row>
    <row r="924" spans="29:33" ht="12.75">
      <c r="AC924" s="1"/>
      <c r="AD924" s="1"/>
      <c r="AE924" s="1"/>
      <c r="AF924" s="1"/>
      <c r="AG924" s="1"/>
    </row>
    <row r="925" spans="29:33" ht="12.75">
      <c r="AC925" s="1"/>
      <c r="AD925" s="1"/>
      <c r="AE925" s="1"/>
      <c r="AF925" s="1"/>
      <c r="AG925" s="1"/>
    </row>
    <row r="926" spans="29:33" ht="12.75">
      <c r="AC926" s="1"/>
      <c r="AD926" s="1"/>
      <c r="AE926" s="1"/>
      <c r="AF926" s="1"/>
      <c r="AG926" s="1"/>
    </row>
    <row r="927" spans="29:33" ht="12.75">
      <c r="AC927" s="1"/>
      <c r="AD927" s="1"/>
      <c r="AE927" s="1"/>
      <c r="AF927" s="1"/>
      <c r="AG927" s="1"/>
    </row>
    <row r="928" spans="29:33" ht="12.75">
      <c r="AC928" s="1"/>
      <c r="AD928" s="1"/>
      <c r="AE928" s="1"/>
      <c r="AF928" s="1"/>
      <c r="AG928" s="1"/>
    </row>
    <row r="929" spans="29:33" ht="12.75">
      <c r="AC929" s="1"/>
      <c r="AD929" s="1"/>
      <c r="AE929" s="1"/>
      <c r="AF929" s="1"/>
      <c r="AG929" s="1"/>
    </row>
    <row r="930" spans="29:33" ht="12.75">
      <c r="AC930" s="1"/>
      <c r="AD930" s="1"/>
      <c r="AE930" s="1"/>
      <c r="AF930" s="1"/>
      <c r="AG930" s="1"/>
    </row>
    <row r="931" spans="29:33" ht="12.75">
      <c r="AC931" s="1"/>
      <c r="AD931" s="1"/>
      <c r="AE931" s="1"/>
      <c r="AF931" s="1"/>
      <c r="AG931" s="1"/>
    </row>
    <row r="932" spans="29:33" ht="12.75">
      <c r="AC932" s="1"/>
      <c r="AD932" s="1"/>
      <c r="AE932" s="1"/>
      <c r="AF932" s="1"/>
      <c r="AG932" s="1"/>
    </row>
    <row r="933" spans="29:33" ht="12.75">
      <c r="AC933" s="1"/>
      <c r="AD933" s="1"/>
      <c r="AE933" s="1"/>
      <c r="AF933" s="1"/>
      <c r="AG933" s="1"/>
    </row>
    <row r="934" spans="29:33" ht="12.75">
      <c r="AC934" s="1"/>
      <c r="AD934" s="1"/>
      <c r="AE934" s="1"/>
      <c r="AF934" s="1"/>
      <c r="AG934" s="1"/>
    </row>
    <row r="935" spans="29:33" ht="12.75">
      <c r="AC935" s="1"/>
      <c r="AD935" s="1"/>
      <c r="AE935" s="1"/>
      <c r="AF935" s="1"/>
      <c r="AG935" s="1"/>
    </row>
    <row r="936" spans="29:33" ht="12.75">
      <c r="AC936" s="1"/>
      <c r="AD936" s="1"/>
      <c r="AE936" s="1"/>
      <c r="AF936" s="1"/>
      <c r="AG936" s="1"/>
    </row>
    <row r="937" spans="29:33" ht="12.75">
      <c r="AC937" s="1"/>
      <c r="AD937" s="1"/>
      <c r="AE937" s="1"/>
      <c r="AF937" s="1"/>
      <c r="AG937" s="1"/>
    </row>
    <row r="938" spans="29:33" ht="12.75">
      <c r="AC938" s="1"/>
      <c r="AD938" s="1"/>
      <c r="AE938" s="1"/>
      <c r="AF938" s="1"/>
      <c r="AG938" s="1"/>
    </row>
    <row r="939" spans="29:33" ht="12.75">
      <c r="AC939" s="1"/>
      <c r="AD939" s="1"/>
      <c r="AE939" s="1"/>
      <c r="AF939" s="1"/>
      <c r="AG939" s="1"/>
    </row>
    <row r="940" spans="29:33" ht="12.75">
      <c r="AC940" s="1"/>
      <c r="AD940" s="1"/>
      <c r="AE940" s="1"/>
      <c r="AF940" s="1"/>
      <c r="AG940" s="1"/>
    </row>
    <row r="941" spans="29:33" ht="12.75">
      <c r="AC941" s="1"/>
      <c r="AD941" s="1"/>
      <c r="AE941" s="1"/>
      <c r="AF941" s="1"/>
      <c r="AG941" s="1"/>
    </row>
    <row r="942" spans="29:33" ht="12.75">
      <c r="AC942" s="1"/>
      <c r="AD942" s="1"/>
      <c r="AE942" s="1"/>
      <c r="AF942" s="1"/>
      <c r="AG942" s="1"/>
    </row>
    <row r="943" spans="29:33" ht="12.75">
      <c r="AC943" s="1"/>
      <c r="AD943" s="1"/>
      <c r="AE943" s="1"/>
      <c r="AF943" s="1"/>
      <c r="AG943" s="1"/>
    </row>
    <row r="944" spans="29:33" ht="12.75">
      <c r="AC944" s="1"/>
      <c r="AD944" s="1"/>
      <c r="AE944" s="1"/>
      <c r="AF944" s="1"/>
      <c r="AG944" s="1"/>
    </row>
    <row r="945" spans="29:33" ht="12.75">
      <c r="AC945" s="1"/>
      <c r="AD945" s="1"/>
      <c r="AE945" s="1"/>
      <c r="AF945" s="1"/>
      <c r="AG945" s="1"/>
    </row>
    <row r="946" spans="29:33" ht="12.75">
      <c r="AC946" s="1"/>
      <c r="AD946" s="1"/>
      <c r="AE946" s="1"/>
      <c r="AF946" s="1"/>
      <c r="AG946" s="1"/>
    </row>
    <row r="947" spans="29:33" ht="12.75">
      <c r="AC947" s="1"/>
      <c r="AD947" s="1"/>
      <c r="AE947" s="1"/>
      <c r="AF947" s="1"/>
      <c r="AG947" s="1"/>
    </row>
    <row r="948" spans="29:33" ht="12.75">
      <c r="AC948" s="1"/>
      <c r="AD948" s="1"/>
      <c r="AE948" s="1"/>
      <c r="AF948" s="1"/>
      <c r="AG948" s="1"/>
    </row>
    <row r="949" spans="29:33" ht="12.75">
      <c r="AC949" s="1"/>
      <c r="AD949" s="1"/>
      <c r="AE949" s="1"/>
      <c r="AF949" s="1"/>
      <c r="AG949" s="1"/>
    </row>
    <row r="950" spans="29:33" ht="12.75">
      <c r="AC950" s="1"/>
      <c r="AD950" s="1"/>
      <c r="AE950" s="1"/>
      <c r="AF950" s="1"/>
      <c r="AG950" s="1"/>
    </row>
    <row r="951" spans="29:33" ht="12.75">
      <c r="AC951" s="1"/>
      <c r="AD951" s="1"/>
      <c r="AE951" s="1"/>
      <c r="AF951" s="1"/>
      <c r="AG951" s="1"/>
    </row>
    <row r="952" spans="29:33" ht="12.75">
      <c r="AC952" s="1"/>
      <c r="AD952" s="1"/>
      <c r="AE952" s="1"/>
      <c r="AF952" s="1"/>
      <c r="AG952" s="1"/>
    </row>
    <row r="953" spans="29:33" ht="12.75">
      <c r="AC953" s="1"/>
      <c r="AD953" s="1"/>
      <c r="AE953" s="1"/>
      <c r="AF953" s="1"/>
      <c r="AG953" s="1"/>
    </row>
    <row r="954" spans="29:33" ht="12.75">
      <c r="AC954" s="1"/>
      <c r="AD954" s="1"/>
      <c r="AE954" s="1"/>
      <c r="AF954" s="1"/>
      <c r="AG954" s="1"/>
    </row>
    <row r="955" spans="29:33" ht="12.75">
      <c r="AC955" s="1"/>
      <c r="AD955" s="1"/>
      <c r="AE955" s="1"/>
      <c r="AF955" s="1"/>
      <c r="AG955" s="1"/>
    </row>
    <row r="956" spans="29:33" ht="12.75">
      <c r="AC956" s="1"/>
      <c r="AD956" s="1"/>
      <c r="AE956" s="1"/>
      <c r="AF956" s="1"/>
      <c r="AG956" s="1"/>
    </row>
    <row r="957" spans="29:33" ht="12.75">
      <c r="AC957" s="1"/>
      <c r="AD957" s="1"/>
      <c r="AE957" s="1"/>
      <c r="AF957" s="1"/>
      <c r="AG957" s="1"/>
    </row>
    <row r="958" spans="29:33" ht="12.75">
      <c r="AC958" s="1"/>
      <c r="AD958" s="1"/>
      <c r="AE958" s="1"/>
      <c r="AF958" s="1"/>
      <c r="AG958" s="1"/>
    </row>
    <row r="959" spans="29:33" ht="12.75">
      <c r="AC959" s="1"/>
      <c r="AD959" s="1"/>
      <c r="AE959" s="1"/>
      <c r="AF959" s="1"/>
      <c r="AG959" s="1"/>
    </row>
    <row r="960" spans="29:33" ht="12.75">
      <c r="AC960" s="1"/>
      <c r="AD960" s="1"/>
      <c r="AE960" s="1"/>
      <c r="AF960" s="1"/>
      <c r="AG960" s="1"/>
    </row>
    <row r="961" spans="29:33" ht="12.75">
      <c r="AC961" s="1"/>
      <c r="AD961" s="1"/>
      <c r="AE961" s="1"/>
      <c r="AF961" s="1"/>
      <c r="AG961" s="1"/>
    </row>
    <row r="962" spans="29:33" ht="12.75">
      <c r="AC962" s="1"/>
      <c r="AD962" s="1"/>
      <c r="AE962" s="1"/>
      <c r="AF962" s="1"/>
      <c r="AG962" s="1"/>
    </row>
    <row r="963" spans="29:33" ht="12.75">
      <c r="AC963" s="1"/>
      <c r="AD963" s="1"/>
      <c r="AE963" s="1"/>
      <c r="AF963" s="1"/>
      <c r="AG963" s="1"/>
    </row>
    <row r="964" spans="29:33" ht="12.75">
      <c r="AC964" s="1"/>
      <c r="AD964" s="1"/>
      <c r="AE964" s="1"/>
      <c r="AF964" s="1"/>
      <c r="AG964" s="1"/>
    </row>
    <row r="965" spans="29:33" ht="12.75">
      <c r="AC965" s="1"/>
      <c r="AD965" s="1"/>
      <c r="AE965" s="1"/>
      <c r="AF965" s="1"/>
      <c r="AG965" s="1"/>
    </row>
    <row r="966" spans="29:33" ht="12.75">
      <c r="AC966" s="1"/>
      <c r="AD966" s="1"/>
      <c r="AE966" s="1"/>
      <c r="AF966" s="1"/>
      <c r="AG966" s="1"/>
    </row>
    <row r="967" spans="29:33" ht="12.75">
      <c r="AC967" s="1"/>
      <c r="AD967" s="1"/>
      <c r="AE967" s="1"/>
      <c r="AF967" s="1"/>
      <c r="AG967" s="1"/>
    </row>
    <row r="968" spans="29:33" ht="12.75">
      <c r="AC968" s="1"/>
      <c r="AD968" s="1"/>
      <c r="AE968" s="1"/>
      <c r="AF968" s="1"/>
      <c r="AG968" s="1"/>
    </row>
    <row r="969" spans="29:33" ht="12.75">
      <c r="AC969" s="1"/>
      <c r="AD969" s="1"/>
      <c r="AE969" s="1"/>
      <c r="AF969" s="1"/>
      <c r="AG969" s="1"/>
    </row>
    <row r="970" spans="29:33" ht="12.75">
      <c r="AC970" s="1"/>
      <c r="AD970" s="1"/>
      <c r="AE970" s="1"/>
      <c r="AF970" s="1"/>
      <c r="AG970" s="1"/>
    </row>
    <row r="971" spans="29:33" ht="12.75">
      <c r="AC971" s="1"/>
      <c r="AD971" s="1"/>
      <c r="AE971" s="1"/>
      <c r="AF971" s="1"/>
      <c r="AG971" s="1"/>
    </row>
    <row r="972" spans="29:33" ht="12.75">
      <c r="AC972" s="1"/>
      <c r="AD972" s="1"/>
      <c r="AE972" s="1"/>
      <c r="AF972" s="1"/>
      <c r="AG972" s="1"/>
    </row>
    <row r="973" spans="29:33" ht="12.75">
      <c r="AC973" s="1"/>
      <c r="AD973" s="1"/>
      <c r="AE973" s="1"/>
      <c r="AF973" s="1"/>
      <c r="AG973" s="1"/>
    </row>
    <row r="974" spans="29:33" ht="12.75">
      <c r="AC974" s="1"/>
      <c r="AD974" s="1"/>
      <c r="AE974" s="1"/>
      <c r="AF974" s="1"/>
      <c r="AG974" s="1"/>
    </row>
    <row r="975" spans="29:33" ht="12.75">
      <c r="AC975" s="1"/>
      <c r="AD975" s="1"/>
      <c r="AE975" s="1"/>
      <c r="AF975" s="1"/>
      <c r="AG975" s="1"/>
    </row>
    <row r="976" spans="29:33" ht="12.75">
      <c r="AC976" s="1"/>
      <c r="AD976" s="1"/>
      <c r="AE976" s="1"/>
      <c r="AF976" s="1"/>
      <c r="AG976" s="1"/>
    </row>
    <row r="977" spans="29:33" ht="12.75">
      <c r="AC977" s="1"/>
      <c r="AD977" s="1"/>
      <c r="AE977" s="1"/>
      <c r="AF977" s="1"/>
      <c r="AG977" s="1"/>
    </row>
    <row r="978" spans="29:33" ht="12.75">
      <c r="AC978" s="1"/>
      <c r="AD978" s="1"/>
      <c r="AE978" s="1"/>
      <c r="AF978" s="1"/>
      <c r="AG978" s="1"/>
    </row>
    <row r="979" spans="29:33" ht="12.75">
      <c r="AC979" s="1"/>
      <c r="AD979" s="1"/>
      <c r="AE979" s="1"/>
      <c r="AF979" s="1"/>
      <c r="AG979" s="1"/>
    </row>
    <row r="980" spans="29:33" ht="12.75">
      <c r="AC980" s="1"/>
      <c r="AD980" s="1"/>
      <c r="AE980" s="1"/>
      <c r="AF980" s="1"/>
      <c r="AG980" s="1"/>
    </row>
    <row r="981" spans="29:33" ht="12.75">
      <c r="AC981" s="1"/>
      <c r="AD981" s="1"/>
      <c r="AE981" s="1"/>
      <c r="AF981" s="1"/>
      <c r="AG981" s="1"/>
    </row>
    <row r="982" spans="29:33" ht="12.75">
      <c r="AC982" s="1"/>
      <c r="AD982" s="1"/>
      <c r="AE982" s="1"/>
      <c r="AF982" s="1"/>
      <c r="AG982" s="1"/>
    </row>
    <row r="983" spans="29:33" ht="12.75">
      <c r="AC983" s="1"/>
      <c r="AD983" s="1"/>
      <c r="AE983" s="1"/>
      <c r="AF983" s="1"/>
      <c r="AG983" s="1"/>
    </row>
    <row r="984" spans="29:33" ht="12.75">
      <c r="AC984" s="1"/>
      <c r="AD984" s="1"/>
      <c r="AE984" s="1"/>
      <c r="AF984" s="1"/>
      <c r="AG984" s="1"/>
    </row>
    <row r="985" spans="29:33" ht="12.75">
      <c r="AC985" s="1"/>
      <c r="AD985" s="1"/>
      <c r="AE985" s="1"/>
      <c r="AF985" s="1"/>
      <c r="AG985" s="1"/>
    </row>
    <row r="986" spans="29:33" ht="12.75">
      <c r="AC986" s="1"/>
      <c r="AD986" s="1"/>
      <c r="AE986" s="1"/>
      <c r="AF986" s="1"/>
      <c r="AG986" s="1"/>
    </row>
    <row r="987" spans="29:33" ht="12.75">
      <c r="AC987" s="1"/>
      <c r="AD987" s="1"/>
      <c r="AE987" s="1"/>
      <c r="AF987" s="1"/>
      <c r="AG987" s="1"/>
    </row>
    <row r="988" spans="29:33" ht="12.75">
      <c r="AC988" s="1"/>
      <c r="AD988" s="1"/>
      <c r="AE988" s="1"/>
      <c r="AF988" s="1"/>
      <c r="AG988" s="1"/>
    </row>
    <row r="989" spans="29:33" ht="12.75">
      <c r="AC989" s="1"/>
      <c r="AD989" s="1"/>
      <c r="AE989" s="1"/>
      <c r="AF989" s="1"/>
      <c r="AG989" s="1"/>
    </row>
    <row r="990" spans="29:33" ht="12.75">
      <c r="AC990" s="1"/>
      <c r="AD990" s="1"/>
      <c r="AE990" s="1"/>
      <c r="AF990" s="1"/>
      <c r="AG990" s="1"/>
    </row>
    <row r="991" spans="29:33" ht="12.75">
      <c r="AC991" s="1"/>
      <c r="AD991" s="1"/>
      <c r="AE991" s="1"/>
      <c r="AF991" s="1"/>
      <c r="AG991" s="1"/>
    </row>
    <row r="992" spans="29:33" ht="12.75">
      <c r="AC992" s="1"/>
      <c r="AD992" s="1"/>
      <c r="AE992" s="1"/>
      <c r="AF992" s="1"/>
      <c r="AG992" s="1"/>
    </row>
    <row r="993" spans="29:33" ht="12.75">
      <c r="AC993" s="1"/>
      <c r="AD993" s="1"/>
      <c r="AE993" s="1"/>
      <c r="AF993" s="1"/>
      <c r="AG993" s="1"/>
    </row>
    <row r="994" spans="29:33" ht="12.75">
      <c r="AC994" s="1"/>
      <c r="AD994" s="1"/>
      <c r="AE994" s="1"/>
      <c r="AF994" s="1"/>
      <c r="AG994" s="1"/>
    </row>
    <row r="995" spans="29:33" ht="12.75">
      <c r="AC995" s="1"/>
      <c r="AD995" s="1"/>
      <c r="AE995" s="1"/>
      <c r="AF995" s="1"/>
      <c r="AG995" s="1"/>
    </row>
    <row r="996" spans="29:33" ht="12.75">
      <c r="AC996" s="1"/>
      <c r="AD996" s="1"/>
      <c r="AE996" s="1"/>
      <c r="AF996" s="1"/>
      <c r="AG996" s="1"/>
    </row>
    <row r="997" spans="29:33" ht="12.75">
      <c r="AC997" s="1"/>
      <c r="AD997" s="1"/>
      <c r="AE997" s="1"/>
      <c r="AF997" s="1"/>
      <c r="AG997" s="1"/>
    </row>
    <row r="998" spans="29:33" ht="12.75">
      <c r="AC998" s="1"/>
      <c r="AD998" s="1"/>
      <c r="AE998" s="1"/>
      <c r="AF998" s="1"/>
      <c r="AG998" s="1"/>
    </row>
    <row r="999" spans="29:33" ht="12.75">
      <c r="AC999" s="1"/>
      <c r="AD999" s="1"/>
      <c r="AE999" s="1"/>
      <c r="AF999" s="1"/>
      <c r="AG999" s="1"/>
    </row>
    <row r="1000" spans="29:33" ht="12.75">
      <c r="AC1000" s="1"/>
      <c r="AD1000" s="1"/>
      <c r="AE1000" s="1"/>
      <c r="AF1000" s="1"/>
      <c r="AG1000" s="1"/>
    </row>
    <row r="1001" spans="29:33" ht="12.75">
      <c r="AC1001" s="1"/>
      <c r="AD1001" s="1"/>
      <c r="AE1001" s="1"/>
      <c r="AF1001" s="1"/>
      <c r="AG1001" s="1"/>
    </row>
    <row r="1002" spans="29:33" ht="12.75">
      <c r="AC1002" s="1"/>
      <c r="AD1002" s="1"/>
      <c r="AE1002" s="1"/>
      <c r="AF1002" s="1"/>
      <c r="AG1002" s="1"/>
    </row>
    <row r="1003" spans="29:33" ht="12.75">
      <c r="AC1003" s="1"/>
      <c r="AD1003" s="1"/>
      <c r="AE1003" s="1"/>
      <c r="AF1003" s="1"/>
      <c r="AG1003" s="1"/>
    </row>
  </sheetData>
  <mergeCells count="13">
    <mergeCell ref="AC1:AF2"/>
    <mergeCell ref="AG1:AG3"/>
    <mergeCell ref="C2:I2"/>
    <mergeCell ref="J2:L2"/>
    <mergeCell ref="A34:B34"/>
    <mergeCell ref="A1:A3"/>
    <mergeCell ref="B1:B3"/>
    <mergeCell ref="C1:M1"/>
    <mergeCell ref="N1:S2"/>
    <mergeCell ref="T1:W2"/>
    <mergeCell ref="X1:AA2"/>
    <mergeCell ref="AB1:AB2"/>
    <mergeCell ref="M2:M3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S1002"/>
  <sheetViews>
    <sheetView workbookViewId="0">
      <selection activeCell="Y35" activeCellId="2" sqref="Y1:AB2 Y3 Y35"/>
    </sheetView>
  </sheetViews>
  <sheetFormatPr defaultColWidth="12.5703125" defaultRowHeight="15.75" customHeight="1"/>
  <cols>
    <col min="1" max="1" width="6" customWidth="1"/>
    <col min="2" max="2" width="4.42578125" customWidth="1"/>
    <col min="3" max="3" width="9.42578125" customWidth="1"/>
    <col min="4" max="11" width="9.5703125" customWidth="1"/>
    <col min="12" max="12" width="9.85546875" customWidth="1"/>
    <col min="13" max="13" width="12.42578125" customWidth="1"/>
    <col min="14" max="18" width="9.5703125" customWidth="1"/>
    <col min="19" max="19" width="17" customWidth="1"/>
    <col min="20" max="34" width="8.85546875" customWidth="1"/>
  </cols>
  <sheetData>
    <row r="1" spans="1:45" ht="15.75" customHeight="1">
      <c r="A1" s="109" t="s">
        <v>0</v>
      </c>
      <c r="B1" s="109" t="s">
        <v>1</v>
      </c>
      <c r="C1" s="110" t="s">
        <v>2</v>
      </c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11" t="s">
        <v>3</v>
      </c>
      <c r="O1" s="95"/>
      <c r="P1" s="95"/>
      <c r="Q1" s="95"/>
      <c r="R1" s="95"/>
      <c r="S1" s="96"/>
      <c r="T1" s="115" t="s">
        <v>4</v>
      </c>
      <c r="U1" s="128" t="s">
        <v>5</v>
      </c>
      <c r="V1" s="129"/>
      <c r="W1" s="129"/>
      <c r="X1" s="130"/>
      <c r="Y1" s="135" t="s">
        <v>6</v>
      </c>
      <c r="Z1" s="129"/>
      <c r="AA1" s="129"/>
      <c r="AB1" s="130"/>
      <c r="AC1" s="100" t="s">
        <v>8</v>
      </c>
      <c r="AD1" s="94" t="s">
        <v>9</v>
      </c>
      <c r="AE1" s="95"/>
      <c r="AF1" s="95"/>
      <c r="AG1" s="96"/>
      <c r="AH1" s="100" t="s">
        <v>11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5.75" customHeight="1">
      <c r="A2" s="101"/>
      <c r="B2" s="101"/>
      <c r="C2" s="103" t="s">
        <v>7</v>
      </c>
      <c r="D2" s="104"/>
      <c r="E2" s="104"/>
      <c r="F2" s="104"/>
      <c r="G2" s="104"/>
      <c r="H2" s="104"/>
      <c r="I2" s="104"/>
      <c r="J2" s="105" t="s">
        <v>10</v>
      </c>
      <c r="K2" s="106"/>
      <c r="L2" s="107"/>
      <c r="M2" s="112" t="s">
        <v>12</v>
      </c>
      <c r="N2" s="97"/>
      <c r="O2" s="98"/>
      <c r="P2" s="98"/>
      <c r="Q2" s="98"/>
      <c r="R2" s="98"/>
      <c r="S2" s="99"/>
      <c r="T2" s="99"/>
      <c r="U2" s="131"/>
      <c r="V2" s="131"/>
      <c r="W2" s="131"/>
      <c r="X2" s="132"/>
      <c r="Y2" s="136"/>
      <c r="Z2" s="131"/>
      <c r="AA2" s="131"/>
      <c r="AB2" s="132"/>
      <c r="AC2" s="102"/>
      <c r="AD2" s="97"/>
      <c r="AE2" s="98"/>
      <c r="AF2" s="98"/>
      <c r="AG2" s="99"/>
      <c r="AH2" s="10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15.75" customHeight="1">
      <c r="A3" s="102"/>
      <c r="B3" s="102"/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19</v>
      </c>
      <c r="M3" s="102"/>
      <c r="N3" s="2" t="s">
        <v>22</v>
      </c>
      <c r="O3" s="2" t="s">
        <v>23</v>
      </c>
      <c r="P3" s="2" t="s">
        <v>20</v>
      </c>
      <c r="Q3" s="2" t="s">
        <v>21</v>
      </c>
      <c r="R3" s="2" t="s">
        <v>24</v>
      </c>
      <c r="S3" s="2" t="s">
        <v>25</v>
      </c>
      <c r="T3" s="2" t="s">
        <v>30</v>
      </c>
      <c r="U3" s="133" t="s">
        <v>26</v>
      </c>
      <c r="V3" s="2" t="s">
        <v>27</v>
      </c>
      <c r="W3" s="2" t="s">
        <v>28</v>
      </c>
      <c r="X3" s="2" t="s">
        <v>29</v>
      </c>
      <c r="Y3" s="133" t="s">
        <v>26</v>
      </c>
      <c r="Z3" s="2" t="s">
        <v>27</v>
      </c>
      <c r="AA3" s="2" t="s">
        <v>28</v>
      </c>
      <c r="AB3" s="2" t="s">
        <v>29</v>
      </c>
      <c r="AC3" s="3" t="s">
        <v>31</v>
      </c>
      <c r="AD3" s="3" t="s">
        <v>33</v>
      </c>
      <c r="AE3" s="3" t="s">
        <v>34</v>
      </c>
      <c r="AF3" s="6" t="s">
        <v>35</v>
      </c>
      <c r="AG3" s="6" t="s">
        <v>36</v>
      </c>
      <c r="AH3" s="10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15.75" customHeight="1">
      <c r="A4" s="4">
        <v>45839</v>
      </c>
      <c r="B4" s="5" t="s">
        <v>38</v>
      </c>
      <c r="C4" s="7">
        <v>3</v>
      </c>
      <c r="D4" s="7">
        <v>2</v>
      </c>
      <c r="E4" s="7">
        <v>7</v>
      </c>
      <c r="F4" s="7">
        <v>3</v>
      </c>
      <c r="G4" s="7">
        <v>2</v>
      </c>
      <c r="H4" s="7">
        <v>2</v>
      </c>
      <c r="I4" s="12">
        <f t="shared" ref="I4:I34" si="0">C4+D4+E4+F4+G4+H4</f>
        <v>19</v>
      </c>
      <c r="J4" s="7">
        <v>6</v>
      </c>
      <c r="K4" s="14">
        <v>3</v>
      </c>
      <c r="L4" s="12">
        <f t="shared" ref="L4:L34" si="1">J4+K4</f>
        <v>9</v>
      </c>
      <c r="M4" s="14" t="s">
        <v>40</v>
      </c>
      <c r="N4" s="7"/>
      <c r="O4" s="7"/>
      <c r="P4" s="7"/>
      <c r="Q4" s="7"/>
      <c r="R4" s="16"/>
      <c r="S4" s="18"/>
      <c r="T4" s="20">
        <f t="shared" ref="T4:T34" si="2">U4+Z4</f>
        <v>5462</v>
      </c>
      <c r="U4" s="20">
        <f t="shared" ref="U4:U34" si="3">V4+W4+X4</f>
        <v>4522</v>
      </c>
      <c r="V4" s="20">
        <v>0</v>
      </c>
      <c r="W4" s="20">
        <v>37</v>
      </c>
      <c r="X4" s="20">
        <v>4485</v>
      </c>
      <c r="Y4" s="20">
        <f t="shared" ref="Y4:Y34" si="4">Z4+AA4+AB4</f>
        <v>2129</v>
      </c>
      <c r="Z4" s="16">
        <v>940</v>
      </c>
      <c r="AA4" s="16">
        <v>21</v>
      </c>
      <c r="AB4" s="16">
        <v>1168</v>
      </c>
      <c r="AC4" s="20">
        <v>11</v>
      </c>
      <c r="AD4" s="20">
        <v>213</v>
      </c>
      <c r="AE4" s="20">
        <v>85</v>
      </c>
      <c r="AF4" s="22">
        <v>0</v>
      </c>
      <c r="AG4" s="20">
        <f>85+AD4-AE4</f>
        <v>213</v>
      </c>
      <c r="AH4" s="22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5.75" customHeight="1">
      <c r="A5" s="4">
        <v>45840</v>
      </c>
      <c r="B5" s="5" t="s">
        <v>45</v>
      </c>
      <c r="C5" s="7">
        <v>3</v>
      </c>
      <c r="D5" s="7">
        <v>2</v>
      </c>
      <c r="E5" s="7">
        <v>7</v>
      </c>
      <c r="F5" s="7">
        <v>4</v>
      </c>
      <c r="G5" s="7">
        <v>2</v>
      </c>
      <c r="H5" s="7">
        <v>2</v>
      </c>
      <c r="I5" s="12">
        <f t="shared" si="0"/>
        <v>20</v>
      </c>
      <c r="J5" s="7">
        <v>6</v>
      </c>
      <c r="K5" s="14">
        <v>3</v>
      </c>
      <c r="L5" s="12">
        <f t="shared" si="1"/>
        <v>9</v>
      </c>
      <c r="M5" s="14" t="s">
        <v>40</v>
      </c>
      <c r="N5" s="7">
        <v>19</v>
      </c>
      <c r="O5" s="7"/>
      <c r="P5" s="7">
        <v>6</v>
      </c>
      <c r="Q5" s="7">
        <v>3</v>
      </c>
      <c r="R5" s="16">
        <v>90</v>
      </c>
      <c r="S5" s="18" t="s">
        <v>43</v>
      </c>
      <c r="T5" s="20">
        <f t="shared" si="2"/>
        <v>8059</v>
      </c>
      <c r="U5" s="20">
        <f t="shared" si="3"/>
        <v>7176</v>
      </c>
      <c r="V5" s="20">
        <v>0</v>
      </c>
      <c r="W5" s="20">
        <v>71</v>
      </c>
      <c r="X5" s="20">
        <v>7105</v>
      </c>
      <c r="Y5" s="20">
        <f t="shared" si="4"/>
        <v>3149</v>
      </c>
      <c r="Z5" s="16">
        <v>883</v>
      </c>
      <c r="AA5" s="16">
        <v>66</v>
      </c>
      <c r="AB5" s="16">
        <v>2200</v>
      </c>
      <c r="AC5" s="20">
        <v>3</v>
      </c>
      <c r="AD5" s="20">
        <v>113</v>
      </c>
      <c r="AE5" s="20">
        <v>0</v>
      </c>
      <c r="AF5" s="22">
        <v>0</v>
      </c>
      <c r="AG5" s="20">
        <f t="shared" ref="AG5:AG34" si="5">AG4+AD5-AE5-AF5</f>
        <v>326</v>
      </c>
      <c r="AH5" s="22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15.75" customHeight="1">
      <c r="A6" s="4">
        <v>45841</v>
      </c>
      <c r="B6" s="5" t="s">
        <v>32</v>
      </c>
      <c r="C6" s="7">
        <v>3</v>
      </c>
      <c r="D6" s="7">
        <v>1.5</v>
      </c>
      <c r="E6" s="7">
        <v>7</v>
      </c>
      <c r="F6" s="7">
        <v>4</v>
      </c>
      <c r="G6" s="7">
        <v>2</v>
      </c>
      <c r="H6" s="7">
        <v>2</v>
      </c>
      <c r="I6" s="12">
        <f t="shared" si="0"/>
        <v>19.5</v>
      </c>
      <c r="J6" s="7">
        <v>7</v>
      </c>
      <c r="K6" s="14">
        <v>3</v>
      </c>
      <c r="L6" s="12">
        <f t="shared" si="1"/>
        <v>10</v>
      </c>
      <c r="M6" s="14" t="s">
        <v>40</v>
      </c>
      <c r="N6" s="7">
        <v>1</v>
      </c>
      <c r="O6" s="7"/>
      <c r="P6" s="7"/>
      <c r="Q6" s="7"/>
      <c r="R6" s="16">
        <v>210</v>
      </c>
      <c r="S6" s="18" t="s">
        <v>48</v>
      </c>
      <c r="T6" s="20">
        <f t="shared" si="2"/>
        <v>5905</v>
      </c>
      <c r="U6" s="20">
        <f t="shared" si="3"/>
        <v>4966</v>
      </c>
      <c r="V6" s="20">
        <v>0</v>
      </c>
      <c r="W6" s="20">
        <v>23</v>
      </c>
      <c r="X6" s="20">
        <v>4943</v>
      </c>
      <c r="Y6" s="20">
        <f t="shared" si="4"/>
        <v>2151</v>
      </c>
      <c r="Z6" s="16">
        <v>939</v>
      </c>
      <c r="AA6" s="16">
        <v>111</v>
      </c>
      <c r="AB6" s="16">
        <v>1101</v>
      </c>
      <c r="AC6" s="20">
        <v>22</v>
      </c>
      <c r="AD6" s="20">
        <v>51</v>
      </c>
      <c r="AE6" s="20">
        <v>325</v>
      </c>
      <c r="AF6" s="22">
        <v>0</v>
      </c>
      <c r="AG6" s="20">
        <f t="shared" si="5"/>
        <v>52</v>
      </c>
      <c r="AH6" s="22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ht="15.75" customHeight="1">
      <c r="A7" s="4">
        <v>45842</v>
      </c>
      <c r="B7" s="5" t="s">
        <v>42</v>
      </c>
      <c r="C7" s="7">
        <v>2</v>
      </c>
      <c r="D7" s="7">
        <v>2</v>
      </c>
      <c r="E7" s="7">
        <v>6</v>
      </c>
      <c r="F7" s="7">
        <v>4</v>
      </c>
      <c r="G7" s="7">
        <v>2</v>
      </c>
      <c r="H7" s="7">
        <v>2</v>
      </c>
      <c r="I7" s="12">
        <f t="shared" si="0"/>
        <v>18</v>
      </c>
      <c r="J7" s="7">
        <v>6.5</v>
      </c>
      <c r="K7" s="14">
        <v>2</v>
      </c>
      <c r="L7" s="12">
        <f t="shared" si="1"/>
        <v>8.5</v>
      </c>
      <c r="M7" s="14" t="s">
        <v>49</v>
      </c>
      <c r="N7" s="7"/>
      <c r="O7" s="7"/>
      <c r="P7" s="7"/>
      <c r="Q7" s="7"/>
      <c r="R7" s="16"/>
      <c r="S7" s="18"/>
      <c r="T7" s="20">
        <f t="shared" si="2"/>
        <v>6545</v>
      </c>
      <c r="U7" s="20">
        <f t="shared" si="3"/>
        <v>5710</v>
      </c>
      <c r="V7" s="20">
        <v>0</v>
      </c>
      <c r="W7" s="20">
        <v>66</v>
      </c>
      <c r="X7" s="20">
        <v>5644</v>
      </c>
      <c r="Y7" s="20">
        <f t="shared" si="4"/>
        <v>2201</v>
      </c>
      <c r="Z7" s="16">
        <v>835</v>
      </c>
      <c r="AA7" s="16">
        <v>43</v>
      </c>
      <c r="AB7" s="16">
        <v>1323</v>
      </c>
      <c r="AC7" s="20">
        <v>1</v>
      </c>
      <c r="AD7" s="20">
        <v>32</v>
      </c>
      <c r="AE7" s="20">
        <v>78</v>
      </c>
      <c r="AF7" s="22">
        <v>0</v>
      </c>
      <c r="AG7" s="20">
        <f t="shared" si="5"/>
        <v>6</v>
      </c>
      <c r="AH7" s="22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ht="15.75" customHeight="1">
      <c r="A8" s="4">
        <v>45843</v>
      </c>
      <c r="B8" s="5" t="s">
        <v>39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12">
        <f t="shared" si="0"/>
        <v>0</v>
      </c>
      <c r="J8" s="7">
        <f t="shared" ref="J8:J9" si="6">M8+N8+P8</f>
        <v>0</v>
      </c>
      <c r="K8" s="14">
        <f t="shared" ref="K8:K9" si="7">M8+N8+P8</f>
        <v>0</v>
      </c>
      <c r="L8" s="12">
        <f t="shared" si="1"/>
        <v>0</v>
      </c>
      <c r="M8" s="14"/>
      <c r="N8" s="7"/>
      <c r="O8" s="7"/>
      <c r="P8" s="7"/>
      <c r="Q8" s="7"/>
      <c r="R8" s="16"/>
      <c r="S8" s="18"/>
      <c r="T8" s="20">
        <f t="shared" si="2"/>
        <v>0</v>
      </c>
      <c r="U8" s="20">
        <f t="shared" si="3"/>
        <v>0</v>
      </c>
      <c r="V8" s="20">
        <v>0</v>
      </c>
      <c r="W8" s="20">
        <v>0</v>
      </c>
      <c r="X8" s="20">
        <v>0</v>
      </c>
      <c r="Y8" s="20">
        <f t="shared" si="4"/>
        <v>0</v>
      </c>
      <c r="Z8" s="16">
        <v>0</v>
      </c>
      <c r="AA8" s="16">
        <v>0</v>
      </c>
      <c r="AB8" s="16">
        <v>0</v>
      </c>
      <c r="AC8" s="20">
        <v>0</v>
      </c>
      <c r="AD8" s="20">
        <v>0</v>
      </c>
      <c r="AE8" s="20">
        <v>0</v>
      </c>
      <c r="AF8" s="22">
        <v>0</v>
      </c>
      <c r="AG8" s="20">
        <f t="shared" si="5"/>
        <v>6</v>
      </c>
      <c r="AH8" s="2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15.75" customHeight="1">
      <c r="A9" s="4">
        <v>45844</v>
      </c>
      <c r="B9" s="5" t="s">
        <v>37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12">
        <f t="shared" si="0"/>
        <v>0</v>
      </c>
      <c r="J9" s="7">
        <f t="shared" si="6"/>
        <v>0</v>
      </c>
      <c r="K9" s="14">
        <f t="shared" si="7"/>
        <v>0</v>
      </c>
      <c r="L9" s="12">
        <f t="shared" si="1"/>
        <v>0</v>
      </c>
      <c r="M9" s="14"/>
      <c r="N9" s="7"/>
      <c r="O9" s="7"/>
      <c r="P9" s="7"/>
      <c r="Q9" s="7"/>
      <c r="R9" s="16"/>
      <c r="S9" s="18"/>
      <c r="T9" s="20">
        <f t="shared" si="2"/>
        <v>0</v>
      </c>
      <c r="U9" s="20">
        <f t="shared" si="3"/>
        <v>0</v>
      </c>
      <c r="V9" s="20">
        <v>0</v>
      </c>
      <c r="W9" s="20">
        <v>0</v>
      </c>
      <c r="X9" s="20">
        <v>0</v>
      </c>
      <c r="Y9" s="20">
        <f t="shared" si="4"/>
        <v>0</v>
      </c>
      <c r="Z9" s="16">
        <v>0</v>
      </c>
      <c r="AA9" s="16">
        <v>0</v>
      </c>
      <c r="AB9" s="16">
        <v>0</v>
      </c>
      <c r="AC9" s="20">
        <v>0</v>
      </c>
      <c r="AD9" s="20">
        <v>0</v>
      </c>
      <c r="AE9" s="20">
        <v>0</v>
      </c>
      <c r="AF9" s="22">
        <v>0</v>
      </c>
      <c r="AG9" s="20">
        <f t="shared" si="5"/>
        <v>6</v>
      </c>
      <c r="AH9" s="2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15.75" customHeight="1">
      <c r="A10" s="30">
        <v>45845</v>
      </c>
      <c r="B10" s="31" t="s">
        <v>44</v>
      </c>
      <c r="C10" s="25">
        <v>3</v>
      </c>
      <c r="D10" s="25">
        <v>2</v>
      </c>
      <c r="E10" s="25">
        <v>7</v>
      </c>
      <c r="F10" s="25">
        <v>4</v>
      </c>
      <c r="G10" s="25">
        <v>1</v>
      </c>
      <c r="H10" s="25">
        <v>2</v>
      </c>
      <c r="I10" s="26">
        <f t="shared" si="0"/>
        <v>19</v>
      </c>
      <c r="J10" s="25">
        <v>7</v>
      </c>
      <c r="K10" s="28">
        <v>5</v>
      </c>
      <c r="L10" s="26">
        <f t="shared" si="1"/>
        <v>12</v>
      </c>
      <c r="M10" s="28" t="s">
        <v>50</v>
      </c>
      <c r="N10" s="25">
        <v>19</v>
      </c>
      <c r="O10" s="25"/>
      <c r="P10" s="25">
        <v>7</v>
      </c>
      <c r="Q10" s="25">
        <v>5</v>
      </c>
      <c r="R10" s="29">
        <v>180</v>
      </c>
      <c r="S10" s="32" t="s">
        <v>51</v>
      </c>
      <c r="T10" s="20">
        <f t="shared" si="2"/>
        <v>8831</v>
      </c>
      <c r="U10" s="35">
        <f t="shared" si="3"/>
        <v>6273</v>
      </c>
      <c r="V10" s="35">
        <v>0</v>
      </c>
      <c r="W10" s="35">
        <v>62</v>
      </c>
      <c r="X10" s="35">
        <v>6211</v>
      </c>
      <c r="Y10" s="35">
        <f t="shared" si="4"/>
        <v>4357</v>
      </c>
      <c r="Z10" s="29">
        <v>2558</v>
      </c>
      <c r="AA10" s="29">
        <v>140</v>
      </c>
      <c r="AB10" s="29">
        <v>1659</v>
      </c>
      <c r="AC10" s="35">
        <v>1</v>
      </c>
      <c r="AD10" s="35">
        <v>42</v>
      </c>
      <c r="AE10" s="35">
        <v>0</v>
      </c>
      <c r="AF10" s="34">
        <v>0</v>
      </c>
      <c r="AG10" s="35">
        <f t="shared" si="5"/>
        <v>48</v>
      </c>
      <c r="AH10" s="34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ht="15.75" customHeight="1">
      <c r="A11" s="4">
        <v>45846</v>
      </c>
      <c r="B11" s="5" t="s">
        <v>38</v>
      </c>
      <c r="C11" s="7">
        <v>3</v>
      </c>
      <c r="D11" s="7">
        <v>2</v>
      </c>
      <c r="E11" s="7">
        <v>6</v>
      </c>
      <c r="F11" s="7">
        <v>5</v>
      </c>
      <c r="G11" s="7">
        <v>2</v>
      </c>
      <c r="H11" s="7">
        <v>2</v>
      </c>
      <c r="I11" s="12">
        <f t="shared" si="0"/>
        <v>20</v>
      </c>
      <c r="J11" s="7">
        <v>7</v>
      </c>
      <c r="K11" s="14">
        <v>5</v>
      </c>
      <c r="L11" s="12">
        <f t="shared" si="1"/>
        <v>12</v>
      </c>
      <c r="M11" s="14" t="s">
        <v>52</v>
      </c>
      <c r="N11" s="7"/>
      <c r="O11" s="7"/>
      <c r="P11" s="7"/>
      <c r="Q11" s="7"/>
      <c r="R11" s="16"/>
      <c r="S11" s="18"/>
      <c r="T11" s="20">
        <f t="shared" si="2"/>
        <v>7640</v>
      </c>
      <c r="U11" s="20">
        <f t="shared" si="3"/>
        <v>6624</v>
      </c>
      <c r="V11" s="20">
        <v>0</v>
      </c>
      <c r="W11" s="20">
        <v>66</v>
      </c>
      <c r="X11" s="20">
        <v>6558</v>
      </c>
      <c r="Y11" s="20">
        <f t="shared" si="4"/>
        <v>3367</v>
      </c>
      <c r="Z11" s="16">
        <v>1016</v>
      </c>
      <c r="AA11" s="16">
        <v>82</v>
      </c>
      <c r="AB11" s="16">
        <v>2269</v>
      </c>
      <c r="AC11" s="20">
        <v>4</v>
      </c>
      <c r="AD11" s="20">
        <v>79</v>
      </c>
      <c r="AE11" s="20">
        <v>44</v>
      </c>
      <c r="AF11" s="22">
        <v>1</v>
      </c>
      <c r="AG11" s="20">
        <f t="shared" si="5"/>
        <v>82</v>
      </c>
      <c r="AH11" s="2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ht="15.75" customHeight="1">
      <c r="A12" s="4">
        <v>45847</v>
      </c>
      <c r="B12" s="5" t="s">
        <v>45</v>
      </c>
      <c r="C12" s="7">
        <v>3</v>
      </c>
      <c r="D12" s="7">
        <v>2</v>
      </c>
      <c r="E12" s="7">
        <v>6</v>
      </c>
      <c r="F12" s="7">
        <v>4</v>
      </c>
      <c r="G12" s="7">
        <v>2</v>
      </c>
      <c r="H12" s="7">
        <v>2</v>
      </c>
      <c r="I12" s="12">
        <f t="shared" si="0"/>
        <v>19</v>
      </c>
      <c r="J12" s="7">
        <v>6</v>
      </c>
      <c r="K12" s="14">
        <v>6</v>
      </c>
      <c r="L12" s="12">
        <f t="shared" si="1"/>
        <v>12</v>
      </c>
      <c r="M12" s="14" t="s">
        <v>53</v>
      </c>
      <c r="N12" s="7"/>
      <c r="O12" s="7"/>
      <c r="P12" s="7"/>
      <c r="Q12" s="7"/>
      <c r="R12" s="16"/>
      <c r="S12" s="18"/>
      <c r="T12" s="20">
        <f t="shared" si="2"/>
        <v>7366</v>
      </c>
      <c r="U12" s="20">
        <f t="shared" si="3"/>
        <v>6473</v>
      </c>
      <c r="V12" s="20">
        <v>0</v>
      </c>
      <c r="W12" s="20">
        <v>69</v>
      </c>
      <c r="X12" s="20">
        <v>6404</v>
      </c>
      <c r="Y12" s="20">
        <f t="shared" si="4"/>
        <v>2750</v>
      </c>
      <c r="Z12" s="16">
        <v>893</v>
      </c>
      <c r="AA12" s="16">
        <v>86</v>
      </c>
      <c r="AB12" s="16">
        <v>1771</v>
      </c>
      <c r="AC12" s="20">
        <v>14</v>
      </c>
      <c r="AD12" s="20">
        <v>80</v>
      </c>
      <c r="AE12" s="20">
        <v>0</v>
      </c>
      <c r="AF12" s="22">
        <v>1</v>
      </c>
      <c r="AG12" s="20">
        <f t="shared" si="5"/>
        <v>161</v>
      </c>
      <c r="AH12" s="22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ht="15.75" customHeight="1">
      <c r="A13" s="4">
        <v>45848</v>
      </c>
      <c r="B13" s="5" t="s">
        <v>32</v>
      </c>
      <c r="C13" s="7">
        <v>3</v>
      </c>
      <c r="D13" s="7">
        <v>2</v>
      </c>
      <c r="E13" s="7">
        <v>5</v>
      </c>
      <c r="F13" s="7">
        <v>4</v>
      </c>
      <c r="G13" s="7">
        <v>2</v>
      </c>
      <c r="H13" s="7">
        <v>2</v>
      </c>
      <c r="I13" s="12">
        <f t="shared" si="0"/>
        <v>18</v>
      </c>
      <c r="J13" s="7">
        <v>7</v>
      </c>
      <c r="K13" s="14">
        <v>5</v>
      </c>
      <c r="L13" s="12">
        <f t="shared" si="1"/>
        <v>12</v>
      </c>
      <c r="M13" s="14" t="s">
        <v>52</v>
      </c>
      <c r="N13" s="7"/>
      <c r="O13" s="7"/>
      <c r="P13" s="7"/>
      <c r="Q13" s="7"/>
      <c r="R13" s="16"/>
      <c r="S13" s="18"/>
      <c r="T13" s="20">
        <f t="shared" si="2"/>
        <v>6516</v>
      </c>
      <c r="U13" s="20">
        <f t="shared" si="3"/>
        <v>5544</v>
      </c>
      <c r="V13" s="20">
        <v>0</v>
      </c>
      <c r="W13" s="20">
        <v>368</v>
      </c>
      <c r="X13" s="20">
        <v>5176</v>
      </c>
      <c r="Y13" s="20">
        <f t="shared" si="4"/>
        <v>2650</v>
      </c>
      <c r="Z13" s="16">
        <v>972</v>
      </c>
      <c r="AA13" s="16">
        <v>119</v>
      </c>
      <c r="AB13" s="16">
        <v>1559</v>
      </c>
      <c r="AC13" s="20">
        <v>1</v>
      </c>
      <c r="AD13" s="20">
        <v>14</v>
      </c>
      <c r="AE13" s="20">
        <v>0</v>
      </c>
      <c r="AF13" s="22">
        <v>0</v>
      </c>
      <c r="AG13" s="20">
        <f t="shared" si="5"/>
        <v>175</v>
      </c>
      <c r="AH13" s="22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ht="15.75" customHeight="1">
      <c r="A14" s="4">
        <v>45849</v>
      </c>
      <c r="B14" s="5" t="s">
        <v>42</v>
      </c>
      <c r="C14" s="7">
        <v>3</v>
      </c>
      <c r="D14" s="7">
        <v>2</v>
      </c>
      <c r="E14" s="7">
        <v>5</v>
      </c>
      <c r="F14" s="7">
        <v>4</v>
      </c>
      <c r="G14" s="7">
        <v>2</v>
      </c>
      <c r="H14" s="7">
        <v>2</v>
      </c>
      <c r="I14" s="12">
        <f t="shared" si="0"/>
        <v>18</v>
      </c>
      <c r="J14" s="7">
        <v>6</v>
      </c>
      <c r="K14" s="14">
        <v>15</v>
      </c>
      <c r="L14" s="12">
        <f t="shared" si="1"/>
        <v>21</v>
      </c>
      <c r="M14" s="14" t="s">
        <v>54</v>
      </c>
      <c r="N14" s="7"/>
      <c r="O14" s="7"/>
      <c r="P14" s="7"/>
      <c r="Q14" s="7"/>
      <c r="R14" s="16"/>
      <c r="S14" s="18"/>
      <c r="T14" s="20">
        <f t="shared" si="2"/>
        <v>5676</v>
      </c>
      <c r="U14" s="20">
        <f t="shared" si="3"/>
        <v>4745</v>
      </c>
      <c r="V14" s="20">
        <v>0</v>
      </c>
      <c r="W14" s="20">
        <v>87</v>
      </c>
      <c r="X14" s="20">
        <v>4658</v>
      </c>
      <c r="Y14" s="20">
        <f t="shared" si="4"/>
        <v>2280</v>
      </c>
      <c r="Z14" s="16">
        <v>931</v>
      </c>
      <c r="AA14" s="16">
        <v>29</v>
      </c>
      <c r="AB14" s="16">
        <v>1320</v>
      </c>
      <c r="AC14" s="20">
        <v>1</v>
      </c>
      <c r="AD14" s="20">
        <v>28</v>
      </c>
      <c r="AE14" s="20">
        <v>173</v>
      </c>
      <c r="AF14" s="22">
        <v>0</v>
      </c>
      <c r="AG14" s="20">
        <f t="shared" si="5"/>
        <v>30</v>
      </c>
      <c r="AH14" s="22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ht="15.75" customHeight="1">
      <c r="A15" s="4">
        <v>45850</v>
      </c>
      <c r="B15" s="5" t="s">
        <v>39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12">
        <f t="shared" si="0"/>
        <v>0</v>
      </c>
      <c r="J15" s="7">
        <f t="shared" ref="J15:J16" si="8">M15+N15+P15</f>
        <v>0</v>
      </c>
      <c r="K15" s="14">
        <f t="shared" ref="K15:K16" si="9">M15+N15+P15</f>
        <v>0</v>
      </c>
      <c r="L15" s="12">
        <f t="shared" si="1"/>
        <v>0</v>
      </c>
      <c r="M15" s="14"/>
      <c r="N15" s="7"/>
      <c r="O15" s="7"/>
      <c r="P15" s="7"/>
      <c r="Q15" s="7"/>
      <c r="R15" s="16"/>
      <c r="S15" s="18"/>
      <c r="T15" s="20">
        <f t="shared" si="2"/>
        <v>0</v>
      </c>
      <c r="U15" s="20">
        <f t="shared" si="3"/>
        <v>0</v>
      </c>
      <c r="V15" s="20">
        <v>0</v>
      </c>
      <c r="W15" s="20">
        <v>0</v>
      </c>
      <c r="X15" s="20">
        <v>0</v>
      </c>
      <c r="Y15" s="20">
        <f t="shared" si="4"/>
        <v>0</v>
      </c>
      <c r="Z15" s="16">
        <v>0</v>
      </c>
      <c r="AA15" s="16">
        <v>0</v>
      </c>
      <c r="AB15" s="16">
        <v>0</v>
      </c>
      <c r="AC15" s="20">
        <v>0</v>
      </c>
      <c r="AD15" s="20">
        <v>0</v>
      </c>
      <c r="AE15" s="20">
        <v>0</v>
      </c>
      <c r="AF15" s="22">
        <v>0</v>
      </c>
      <c r="AG15" s="20">
        <f t="shared" si="5"/>
        <v>30</v>
      </c>
      <c r="AH15" s="22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ht="15.75" customHeight="1">
      <c r="A16" s="4">
        <v>45851</v>
      </c>
      <c r="B16" s="5" t="s">
        <v>37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12">
        <f t="shared" si="0"/>
        <v>0</v>
      </c>
      <c r="J16" s="7">
        <f t="shared" si="8"/>
        <v>0</v>
      </c>
      <c r="K16" s="14">
        <f t="shared" si="9"/>
        <v>0</v>
      </c>
      <c r="L16" s="12">
        <f t="shared" si="1"/>
        <v>0</v>
      </c>
      <c r="M16" s="14"/>
      <c r="N16" s="7"/>
      <c r="O16" s="7"/>
      <c r="P16" s="7"/>
      <c r="Q16" s="7"/>
      <c r="R16" s="16"/>
      <c r="S16" s="18"/>
      <c r="T16" s="20">
        <f t="shared" si="2"/>
        <v>0</v>
      </c>
      <c r="U16" s="20">
        <f t="shared" si="3"/>
        <v>0</v>
      </c>
      <c r="V16" s="20">
        <v>0</v>
      </c>
      <c r="W16" s="20">
        <v>0</v>
      </c>
      <c r="X16" s="20">
        <v>0</v>
      </c>
      <c r="Y16" s="20">
        <f t="shared" si="4"/>
        <v>0</v>
      </c>
      <c r="Z16" s="16">
        <v>0</v>
      </c>
      <c r="AA16" s="16">
        <v>0</v>
      </c>
      <c r="AB16" s="16">
        <v>0</v>
      </c>
      <c r="AC16" s="20">
        <v>0</v>
      </c>
      <c r="AD16" s="20">
        <v>0</v>
      </c>
      <c r="AE16" s="20">
        <v>0</v>
      </c>
      <c r="AF16" s="22">
        <v>0</v>
      </c>
      <c r="AG16" s="20">
        <f t="shared" si="5"/>
        <v>30</v>
      </c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ht="15.75" customHeight="1">
      <c r="A17" s="4">
        <v>45852</v>
      </c>
      <c r="B17" s="5" t="s">
        <v>44</v>
      </c>
      <c r="C17" s="7">
        <v>3</v>
      </c>
      <c r="D17" s="7">
        <v>2</v>
      </c>
      <c r="E17" s="7">
        <v>6</v>
      </c>
      <c r="F17" s="7">
        <v>4</v>
      </c>
      <c r="G17" s="7">
        <v>2</v>
      </c>
      <c r="H17" s="7">
        <v>2</v>
      </c>
      <c r="I17" s="12">
        <f t="shared" si="0"/>
        <v>19</v>
      </c>
      <c r="J17" s="7">
        <v>7</v>
      </c>
      <c r="K17" s="14">
        <v>17</v>
      </c>
      <c r="L17" s="12">
        <f t="shared" si="1"/>
        <v>24</v>
      </c>
      <c r="M17" s="14" t="s">
        <v>55</v>
      </c>
      <c r="N17" s="7"/>
      <c r="O17" s="7"/>
      <c r="P17" s="7"/>
      <c r="Q17" s="7"/>
      <c r="R17" s="16"/>
      <c r="S17" s="18"/>
      <c r="T17" s="20">
        <f t="shared" si="2"/>
        <v>8198</v>
      </c>
      <c r="U17" s="20">
        <f t="shared" si="3"/>
        <v>5529</v>
      </c>
      <c r="V17" s="20">
        <v>0</v>
      </c>
      <c r="W17" s="20">
        <v>71</v>
      </c>
      <c r="X17" s="20">
        <v>5458</v>
      </c>
      <c r="Y17" s="20">
        <f t="shared" si="4"/>
        <v>3587</v>
      </c>
      <c r="Z17" s="16">
        <v>2669</v>
      </c>
      <c r="AA17" s="16">
        <v>71</v>
      </c>
      <c r="AB17" s="16">
        <v>847</v>
      </c>
      <c r="AC17" s="20">
        <v>5</v>
      </c>
      <c r="AD17" s="20">
        <v>47</v>
      </c>
      <c r="AE17" s="20">
        <v>0</v>
      </c>
      <c r="AF17" s="22">
        <v>0</v>
      </c>
      <c r="AG17" s="20">
        <f t="shared" si="5"/>
        <v>77</v>
      </c>
      <c r="AH17" s="22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ht="15.75" customHeight="1">
      <c r="A18" s="4">
        <v>45853</v>
      </c>
      <c r="B18" s="5" t="s">
        <v>38</v>
      </c>
      <c r="C18" s="7">
        <v>3</v>
      </c>
      <c r="D18" s="7">
        <v>2</v>
      </c>
      <c r="E18" s="7">
        <v>6</v>
      </c>
      <c r="F18" s="7">
        <v>4</v>
      </c>
      <c r="G18" s="7">
        <v>2</v>
      </c>
      <c r="H18" s="7">
        <v>2</v>
      </c>
      <c r="I18" s="12">
        <f t="shared" si="0"/>
        <v>19</v>
      </c>
      <c r="J18" s="7">
        <v>7</v>
      </c>
      <c r="K18" s="14">
        <v>20</v>
      </c>
      <c r="L18" s="12">
        <f t="shared" si="1"/>
        <v>27</v>
      </c>
      <c r="M18" s="14" t="s">
        <v>57</v>
      </c>
      <c r="N18" s="7"/>
      <c r="O18" s="7"/>
      <c r="P18" s="7"/>
      <c r="Q18" s="7"/>
      <c r="R18" s="16"/>
      <c r="S18" s="18"/>
      <c r="T18" s="20">
        <f t="shared" si="2"/>
        <v>6570</v>
      </c>
      <c r="U18" s="20">
        <f t="shared" si="3"/>
        <v>5482</v>
      </c>
      <c r="V18" s="20">
        <v>0</v>
      </c>
      <c r="W18" s="20">
        <v>66</v>
      </c>
      <c r="X18" s="20">
        <v>5416</v>
      </c>
      <c r="Y18" s="20">
        <f t="shared" si="4"/>
        <v>3810</v>
      </c>
      <c r="Z18" s="16">
        <v>1088</v>
      </c>
      <c r="AA18" s="16">
        <v>46</v>
      </c>
      <c r="AB18" s="16">
        <v>2676</v>
      </c>
      <c r="AC18" s="20">
        <v>44</v>
      </c>
      <c r="AD18" s="20">
        <v>453</v>
      </c>
      <c r="AE18" s="20">
        <v>45</v>
      </c>
      <c r="AF18" s="22">
        <v>0</v>
      </c>
      <c r="AG18" s="20">
        <f t="shared" si="5"/>
        <v>485</v>
      </c>
      <c r="AH18" s="22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ht="15.75" customHeight="1">
      <c r="A19" s="4">
        <v>45854</v>
      </c>
      <c r="B19" s="5" t="s">
        <v>45</v>
      </c>
      <c r="C19" s="7">
        <v>3</v>
      </c>
      <c r="D19" s="7">
        <v>2</v>
      </c>
      <c r="E19" s="7">
        <v>6</v>
      </c>
      <c r="F19" s="7">
        <v>4</v>
      </c>
      <c r="G19" s="7">
        <v>2</v>
      </c>
      <c r="H19" s="7">
        <v>2</v>
      </c>
      <c r="I19" s="12">
        <f t="shared" si="0"/>
        <v>19</v>
      </c>
      <c r="J19" s="7">
        <v>7</v>
      </c>
      <c r="K19" s="14">
        <v>14</v>
      </c>
      <c r="L19" s="12">
        <f t="shared" si="1"/>
        <v>21</v>
      </c>
      <c r="M19" s="14" t="s">
        <v>58</v>
      </c>
      <c r="N19" s="7"/>
      <c r="O19" s="7"/>
      <c r="P19" s="7"/>
      <c r="Q19" s="7"/>
      <c r="R19" s="16"/>
      <c r="S19" s="18"/>
      <c r="T19" s="20">
        <f t="shared" si="2"/>
        <v>5478</v>
      </c>
      <c r="U19" s="20">
        <f t="shared" si="3"/>
        <v>4242</v>
      </c>
      <c r="V19" s="20">
        <v>0</v>
      </c>
      <c r="W19" s="20">
        <v>62</v>
      </c>
      <c r="X19" s="20">
        <v>4180</v>
      </c>
      <c r="Y19" s="20">
        <f t="shared" si="4"/>
        <v>2564</v>
      </c>
      <c r="Z19" s="20">
        <v>1236</v>
      </c>
      <c r="AA19" s="20">
        <v>46</v>
      </c>
      <c r="AB19" s="20">
        <v>1282</v>
      </c>
      <c r="AC19" s="20">
        <v>3</v>
      </c>
      <c r="AD19" s="20">
        <v>42</v>
      </c>
      <c r="AE19" s="20">
        <v>0</v>
      </c>
      <c r="AF19" s="22">
        <v>3</v>
      </c>
      <c r="AG19" s="20">
        <f t="shared" si="5"/>
        <v>524</v>
      </c>
      <c r="AH19" s="22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4">
        <v>45855</v>
      </c>
      <c r="B20" s="5" t="s">
        <v>32</v>
      </c>
      <c r="C20" s="7">
        <v>3</v>
      </c>
      <c r="D20" s="7">
        <v>1</v>
      </c>
      <c r="E20" s="7">
        <v>5</v>
      </c>
      <c r="F20" s="7">
        <v>4</v>
      </c>
      <c r="G20" s="7">
        <v>2</v>
      </c>
      <c r="H20" s="7">
        <v>2</v>
      </c>
      <c r="I20" s="12">
        <f t="shared" si="0"/>
        <v>17</v>
      </c>
      <c r="J20" s="7">
        <v>7</v>
      </c>
      <c r="K20" s="14">
        <v>5</v>
      </c>
      <c r="L20" s="12">
        <f t="shared" si="1"/>
        <v>12</v>
      </c>
      <c r="M20" s="14" t="s">
        <v>52</v>
      </c>
      <c r="N20" s="14"/>
      <c r="O20" s="14"/>
      <c r="P20" s="14"/>
      <c r="Q20" s="14"/>
      <c r="R20" s="20"/>
      <c r="S20" s="36"/>
      <c r="T20" s="20">
        <f t="shared" si="2"/>
        <v>3823</v>
      </c>
      <c r="U20" s="20">
        <f t="shared" si="3"/>
        <v>2895</v>
      </c>
      <c r="V20" s="20">
        <v>0</v>
      </c>
      <c r="W20" s="16">
        <v>82</v>
      </c>
      <c r="X20" s="16">
        <v>2813</v>
      </c>
      <c r="Y20" s="20">
        <f t="shared" si="4"/>
        <v>1679</v>
      </c>
      <c r="Z20" s="20">
        <v>928</v>
      </c>
      <c r="AA20" s="20">
        <v>28</v>
      </c>
      <c r="AB20" s="20">
        <v>723</v>
      </c>
      <c r="AC20" s="20">
        <v>3</v>
      </c>
      <c r="AD20" s="20">
        <v>233</v>
      </c>
      <c r="AE20" s="20">
        <v>0</v>
      </c>
      <c r="AF20" s="22">
        <v>0</v>
      </c>
      <c r="AG20" s="20">
        <f t="shared" si="5"/>
        <v>757</v>
      </c>
      <c r="AH20" s="22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4">
        <v>45856</v>
      </c>
      <c r="B21" s="5" t="s">
        <v>42</v>
      </c>
      <c r="C21" s="7">
        <v>3</v>
      </c>
      <c r="D21" s="7">
        <v>1</v>
      </c>
      <c r="E21" s="7">
        <v>4</v>
      </c>
      <c r="F21" s="7">
        <v>3</v>
      </c>
      <c r="G21" s="7">
        <v>2</v>
      </c>
      <c r="H21" s="7">
        <v>2</v>
      </c>
      <c r="I21" s="12">
        <f t="shared" si="0"/>
        <v>15</v>
      </c>
      <c r="J21" s="7">
        <v>5</v>
      </c>
      <c r="K21" s="14">
        <v>5</v>
      </c>
      <c r="L21" s="12">
        <f t="shared" si="1"/>
        <v>10</v>
      </c>
      <c r="M21" s="14" t="s">
        <v>59</v>
      </c>
      <c r="N21" s="14"/>
      <c r="O21" s="14"/>
      <c r="P21" s="14"/>
      <c r="Q21" s="14"/>
      <c r="R21" s="20"/>
      <c r="S21" s="36"/>
      <c r="T21" s="20">
        <f t="shared" si="2"/>
        <v>3613</v>
      </c>
      <c r="U21" s="20">
        <f t="shared" si="3"/>
        <v>2628</v>
      </c>
      <c r="V21" s="16">
        <v>0</v>
      </c>
      <c r="W21" s="16">
        <v>60</v>
      </c>
      <c r="X21" s="16">
        <v>2568</v>
      </c>
      <c r="Y21" s="20">
        <f t="shared" si="4"/>
        <v>1826</v>
      </c>
      <c r="Z21" s="39">
        <v>985</v>
      </c>
      <c r="AA21" s="16">
        <v>38</v>
      </c>
      <c r="AB21" s="16">
        <v>803</v>
      </c>
      <c r="AC21" s="16">
        <v>25</v>
      </c>
      <c r="AD21" s="20">
        <v>371</v>
      </c>
      <c r="AE21" s="20">
        <v>755</v>
      </c>
      <c r="AF21" s="22">
        <v>0</v>
      </c>
      <c r="AG21" s="20">
        <f t="shared" si="5"/>
        <v>373</v>
      </c>
      <c r="AH21" s="22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4">
        <v>45857</v>
      </c>
      <c r="B22" s="5" t="s">
        <v>39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2">
        <f t="shared" si="0"/>
        <v>0</v>
      </c>
      <c r="J22" s="14">
        <v>0</v>
      </c>
      <c r="K22" s="14">
        <v>0</v>
      </c>
      <c r="L22" s="12">
        <f t="shared" si="1"/>
        <v>0</v>
      </c>
      <c r="M22" s="14"/>
      <c r="N22" s="14"/>
      <c r="O22" s="14"/>
      <c r="P22" s="14"/>
      <c r="Q22" s="14"/>
      <c r="R22" s="20"/>
      <c r="S22" s="36"/>
      <c r="T22" s="20">
        <f t="shared" si="2"/>
        <v>0</v>
      </c>
      <c r="U22" s="20">
        <f t="shared" si="3"/>
        <v>0</v>
      </c>
      <c r="V22" s="20">
        <v>0</v>
      </c>
      <c r="W22" s="20">
        <v>0</v>
      </c>
      <c r="X22" s="20">
        <v>0</v>
      </c>
      <c r="Y22" s="20">
        <f t="shared" si="4"/>
        <v>0</v>
      </c>
      <c r="Z22" s="20">
        <v>0</v>
      </c>
      <c r="AA22" s="20">
        <v>0</v>
      </c>
      <c r="AB22" s="20">
        <v>0</v>
      </c>
      <c r="AC22" s="20">
        <v>0</v>
      </c>
      <c r="AD22" s="22">
        <v>0</v>
      </c>
      <c r="AE22" s="22">
        <v>0</v>
      </c>
      <c r="AF22" s="22">
        <v>0</v>
      </c>
      <c r="AG22" s="20">
        <f t="shared" si="5"/>
        <v>373</v>
      </c>
      <c r="AH22" s="22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ht="15.75" customHeight="1">
      <c r="A23" s="4">
        <v>45858</v>
      </c>
      <c r="B23" s="5" t="s">
        <v>37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2">
        <f t="shared" si="0"/>
        <v>0</v>
      </c>
      <c r="J23" s="14">
        <v>0</v>
      </c>
      <c r="K23" s="14">
        <v>0</v>
      </c>
      <c r="L23" s="12">
        <f t="shared" si="1"/>
        <v>0</v>
      </c>
      <c r="M23" s="14"/>
      <c r="N23" s="14"/>
      <c r="O23" s="14"/>
      <c r="P23" s="14"/>
      <c r="Q23" s="14"/>
      <c r="R23" s="20"/>
      <c r="S23" s="36"/>
      <c r="T23" s="20">
        <f t="shared" si="2"/>
        <v>0</v>
      </c>
      <c r="U23" s="20">
        <f t="shared" si="3"/>
        <v>0</v>
      </c>
      <c r="V23" s="20">
        <v>0</v>
      </c>
      <c r="W23" s="20">
        <v>0</v>
      </c>
      <c r="X23" s="20">
        <v>0</v>
      </c>
      <c r="Y23" s="20">
        <f t="shared" si="4"/>
        <v>0</v>
      </c>
      <c r="Z23" s="20">
        <v>0</v>
      </c>
      <c r="AA23" s="20">
        <v>0</v>
      </c>
      <c r="AB23" s="20">
        <v>0</v>
      </c>
      <c r="AC23" s="20">
        <v>0</v>
      </c>
      <c r="AD23" s="22">
        <v>0</v>
      </c>
      <c r="AE23" s="22">
        <v>0</v>
      </c>
      <c r="AF23" s="22">
        <v>0</v>
      </c>
      <c r="AG23" s="20">
        <f t="shared" si="5"/>
        <v>373</v>
      </c>
      <c r="AH23" s="22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ht="15.75" customHeight="1">
      <c r="A24" s="4">
        <v>45859</v>
      </c>
      <c r="B24" s="5" t="s">
        <v>44</v>
      </c>
      <c r="C24" s="14">
        <v>3</v>
      </c>
      <c r="D24" s="14">
        <v>2</v>
      </c>
      <c r="E24" s="14">
        <v>7</v>
      </c>
      <c r="F24" s="14">
        <v>4</v>
      </c>
      <c r="G24" s="14">
        <v>2</v>
      </c>
      <c r="H24" s="14">
        <v>2</v>
      </c>
      <c r="I24" s="12">
        <f t="shared" si="0"/>
        <v>20</v>
      </c>
      <c r="J24" s="14">
        <v>6</v>
      </c>
      <c r="K24" s="14">
        <v>5</v>
      </c>
      <c r="L24" s="12">
        <f t="shared" si="1"/>
        <v>11</v>
      </c>
      <c r="M24" s="14" t="s">
        <v>61</v>
      </c>
      <c r="N24" s="14">
        <v>2</v>
      </c>
      <c r="O24" s="14"/>
      <c r="P24" s="14"/>
      <c r="Q24" s="14"/>
      <c r="R24" s="20">
        <v>90</v>
      </c>
      <c r="S24" s="36" t="s">
        <v>62</v>
      </c>
      <c r="T24" s="20">
        <f t="shared" si="2"/>
        <v>6430</v>
      </c>
      <c r="U24" s="20">
        <f t="shared" si="3"/>
        <v>3503</v>
      </c>
      <c r="V24" s="16">
        <v>0</v>
      </c>
      <c r="W24" s="16">
        <v>63</v>
      </c>
      <c r="X24" s="16">
        <v>3440</v>
      </c>
      <c r="Y24" s="20">
        <f t="shared" si="4"/>
        <v>3649</v>
      </c>
      <c r="Z24" s="16">
        <v>2927</v>
      </c>
      <c r="AA24" s="16">
        <v>78</v>
      </c>
      <c r="AB24" s="16">
        <v>644</v>
      </c>
      <c r="AC24" s="16">
        <v>4</v>
      </c>
      <c r="AD24" s="16">
        <v>400</v>
      </c>
      <c r="AE24" s="16">
        <v>0</v>
      </c>
      <c r="AF24" s="42">
        <v>0</v>
      </c>
      <c r="AG24" s="20">
        <f t="shared" si="5"/>
        <v>773</v>
      </c>
      <c r="AH24" s="22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ht="15.75" customHeight="1">
      <c r="A25" s="4">
        <v>45860</v>
      </c>
      <c r="B25" s="5" t="s">
        <v>38</v>
      </c>
      <c r="C25" s="14">
        <v>2</v>
      </c>
      <c r="D25" s="14">
        <v>2</v>
      </c>
      <c r="E25" s="14">
        <v>7</v>
      </c>
      <c r="F25" s="14">
        <v>4</v>
      </c>
      <c r="G25" s="14">
        <v>2</v>
      </c>
      <c r="H25" s="14">
        <v>2</v>
      </c>
      <c r="I25" s="12">
        <f t="shared" si="0"/>
        <v>19</v>
      </c>
      <c r="J25" s="14">
        <v>6</v>
      </c>
      <c r="K25" s="14">
        <v>4</v>
      </c>
      <c r="L25" s="12">
        <f t="shared" si="1"/>
        <v>10</v>
      </c>
      <c r="M25" s="14" t="s">
        <v>63</v>
      </c>
      <c r="N25" s="7">
        <v>9</v>
      </c>
      <c r="O25" s="7"/>
      <c r="P25" s="7">
        <v>2</v>
      </c>
      <c r="Q25" s="7">
        <v>1</v>
      </c>
      <c r="R25" s="16">
        <v>90</v>
      </c>
      <c r="S25" s="18" t="s">
        <v>64</v>
      </c>
      <c r="T25" s="20">
        <f t="shared" si="2"/>
        <v>5908</v>
      </c>
      <c r="U25" s="20">
        <f t="shared" si="3"/>
        <v>4902</v>
      </c>
      <c r="V25" s="16">
        <v>0</v>
      </c>
      <c r="W25" s="20">
        <v>45</v>
      </c>
      <c r="X25" s="20">
        <v>4857</v>
      </c>
      <c r="Y25" s="20">
        <f t="shared" si="4"/>
        <v>2837</v>
      </c>
      <c r="Z25" s="20">
        <v>1006</v>
      </c>
      <c r="AA25" s="20">
        <v>8</v>
      </c>
      <c r="AB25" s="20">
        <v>1823</v>
      </c>
      <c r="AC25" s="20">
        <v>21</v>
      </c>
      <c r="AD25" s="20">
        <v>34</v>
      </c>
      <c r="AE25" s="20">
        <v>388</v>
      </c>
      <c r="AF25" s="22">
        <v>0</v>
      </c>
      <c r="AG25" s="20">
        <f t="shared" si="5"/>
        <v>419</v>
      </c>
      <c r="AH25" s="22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ht="15.75" customHeight="1">
      <c r="A26" s="4">
        <v>45861</v>
      </c>
      <c r="B26" s="5" t="s">
        <v>45</v>
      </c>
      <c r="C26" s="14">
        <v>3</v>
      </c>
      <c r="D26" s="14">
        <v>2</v>
      </c>
      <c r="E26" s="14">
        <v>7</v>
      </c>
      <c r="F26" s="14">
        <v>3</v>
      </c>
      <c r="G26" s="14">
        <v>2</v>
      </c>
      <c r="H26" s="14">
        <v>2</v>
      </c>
      <c r="I26" s="12">
        <f t="shared" si="0"/>
        <v>19</v>
      </c>
      <c r="J26" s="7">
        <v>6.5</v>
      </c>
      <c r="K26" s="7">
        <v>12</v>
      </c>
      <c r="L26" s="12">
        <f t="shared" si="1"/>
        <v>18.5</v>
      </c>
      <c r="M26" s="7" t="s">
        <v>65</v>
      </c>
      <c r="N26" s="14"/>
      <c r="O26" s="14"/>
      <c r="P26" s="14"/>
      <c r="Q26" s="14"/>
      <c r="R26" s="20"/>
      <c r="S26" s="36"/>
      <c r="T26" s="20">
        <f t="shared" si="2"/>
        <v>4377</v>
      </c>
      <c r="U26" s="20">
        <f t="shared" si="3"/>
        <v>3419</v>
      </c>
      <c r="V26" s="16">
        <v>0</v>
      </c>
      <c r="W26" s="20">
        <v>55</v>
      </c>
      <c r="X26" s="20">
        <v>3364</v>
      </c>
      <c r="Y26" s="20">
        <f t="shared" si="4"/>
        <v>2162</v>
      </c>
      <c r="Z26" s="20">
        <v>958</v>
      </c>
      <c r="AA26" s="39">
        <v>16</v>
      </c>
      <c r="AB26" s="20">
        <v>1188</v>
      </c>
      <c r="AC26" s="20">
        <v>5</v>
      </c>
      <c r="AD26" s="20">
        <v>83</v>
      </c>
      <c r="AE26" s="20">
        <v>0</v>
      </c>
      <c r="AF26" s="22">
        <v>0</v>
      </c>
      <c r="AG26" s="20">
        <f t="shared" si="5"/>
        <v>502</v>
      </c>
      <c r="AH26" s="22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ht="15.75" customHeight="1">
      <c r="A27" s="4">
        <v>45862</v>
      </c>
      <c r="B27" s="5" t="s">
        <v>32</v>
      </c>
      <c r="C27" s="14">
        <v>3</v>
      </c>
      <c r="D27" s="14">
        <v>1</v>
      </c>
      <c r="E27" s="14">
        <v>7</v>
      </c>
      <c r="F27" s="14">
        <v>4</v>
      </c>
      <c r="G27" s="14">
        <v>2</v>
      </c>
      <c r="H27" s="14">
        <v>2</v>
      </c>
      <c r="I27" s="12">
        <f t="shared" si="0"/>
        <v>19</v>
      </c>
      <c r="J27" s="7">
        <v>7</v>
      </c>
      <c r="K27" s="7">
        <v>12</v>
      </c>
      <c r="L27" s="12">
        <f t="shared" si="1"/>
        <v>19</v>
      </c>
      <c r="M27" s="7" t="s">
        <v>65</v>
      </c>
      <c r="N27" s="14"/>
      <c r="O27" s="14"/>
      <c r="P27" s="14"/>
      <c r="Q27" s="14"/>
      <c r="R27" s="20"/>
      <c r="S27" s="36"/>
      <c r="T27" s="20">
        <f t="shared" si="2"/>
        <v>3602</v>
      </c>
      <c r="U27" s="20">
        <f t="shared" si="3"/>
        <v>2698</v>
      </c>
      <c r="V27" s="16">
        <v>0</v>
      </c>
      <c r="W27" s="16">
        <v>44</v>
      </c>
      <c r="X27" s="16">
        <v>2654</v>
      </c>
      <c r="Y27" s="20">
        <f t="shared" si="4"/>
        <v>1629</v>
      </c>
      <c r="Z27" s="20">
        <v>904</v>
      </c>
      <c r="AA27" s="20">
        <v>6</v>
      </c>
      <c r="AB27" s="20">
        <v>719</v>
      </c>
      <c r="AC27" s="20">
        <v>33</v>
      </c>
      <c r="AD27" s="20">
        <v>89</v>
      </c>
      <c r="AE27" s="20">
        <v>464</v>
      </c>
      <c r="AF27" s="22">
        <v>0</v>
      </c>
      <c r="AG27" s="20">
        <f t="shared" si="5"/>
        <v>127</v>
      </c>
      <c r="AH27" s="22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5.75" customHeight="1">
      <c r="A28" s="4">
        <v>45863</v>
      </c>
      <c r="B28" s="5" t="s">
        <v>42</v>
      </c>
      <c r="C28" s="14">
        <v>3</v>
      </c>
      <c r="D28" s="14">
        <v>2</v>
      </c>
      <c r="E28" s="14">
        <v>6</v>
      </c>
      <c r="F28" s="14">
        <v>3</v>
      </c>
      <c r="G28" s="14">
        <v>1</v>
      </c>
      <c r="H28" s="14">
        <v>2</v>
      </c>
      <c r="I28" s="12">
        <f t="shared" si="0"/>
        <v>17</v>
      </c>
      <c r="J28" s="7">
        <v>6</v>
      </c>
      <c r="K28" s="7">
        <v>2</v>
      </c>
      <c r="L28" s="12">
        <f t="shared" si="1"/>
        <v>8</v>
      </c>
      <c r="M28" s="14" t="s">
        <v>49</v>
      </c>
      <c r="N28" s="14"/>
      <c r="O28" s="14"/>
      <c r="P28" s="14"/>
      <c r="Q28" s="14"/>
      <c r="R28" s="20"/>
      <c r="S28" s="36"/>
      <c r="T28" s="20">
        <f t="shared" si="2"/>
        <v>3862</v>
      </c>
      <c r="U28" s="20">
        <f t="shared" si="3"/>
        <v>3024</v>
      </c>
      <c r="V28" s="16">
        <v>0</v>
      </c>
      <c r="W28" s="16">
        <v>59</v>
      </c>
      <c r="X28" s="16">
        <v>2965</v>
      </c>
      <c r="Y28" s="20">
        <f t="shared" si="4"/>
        <v>1583</v>
      </c>
      <c r="Z28" s="20">
        <v>838</v>
      </c>
      <c r="AA28" s="20">
        <v>17</v>
      </c>
      <c r="AB28" s="20">
        <v>728</v>
      </c>
      <c r="AC28" s="20">
        <v>6</v>
      </c>
      <c r="AD28" s="20">
        <v>568</v>
      </c>
      <c r="AE28" s="20">
        <v>500</v>
      </c>
      <c r="AF28" s="22">
        <v>0</v>
      </c>
      <c r="AG28" s="20">
        <f t="shared" si="5"/>
        <v>195</v>
      </c>
      <c r="AH28" s="22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ht="15.75" customHeight="1">
      <c r="A29" s="4">
        <v>45864</v>
      </c>
      <c r="B29" s="5" t="s">
        <v>39</v>
      </c>
      <c r="C29" s="14">
        <v>0</v>
      </c>
      <c r="D29" s="14">
        <v>0</v>
      </c>
      <c r="E29" s="14">
        <v>1</v>
      </c>
      <c r="F29" s="14">
        <v>1</v>
      </c>
      <c r="G29" s="14">
        <v>0</v>
      </c>
      <c r="H29" s="14">
        <v>0</v>
      </c>
      <c r="I29" s="12">
        <f t="shared" si="0"/>
        <v>2</v>
      </c>
      <c r="J29" s="14">
        <v>0</v>
      </c>
      <c r="K29" s="14">
        <v>0</v>
      </c>
      <c r="L29" s="12">
        <f t="shared" si="1"/>
        <v>0</v>
      </c>
      <c r="M29" s="14"/>
      <c r="N29" s="14"/>
      <c r="O29" s="14"/>
      <c r="P29" s="14"/>
      <c r="Q29" s="14"/>
      <c r="R29" s="20"/>
      <c r="S29" s="36"/>
      <c r="T29" s="20">
        <f t="shared" si="2"/>
        <v>67</v>
      </c>
      <c r="U29" s="20">
        <f t="shared" si="3"/>
        <v>67</v>
      </c>
      <c r="V29" s="16">
        <v>0</v>
      </c>
      <c r="W29" s="16">
        <v>0</v>
      </c>
      <c r="X29" s="16">
        <v>67</v>
      </c>
      <c r="Y29" s="20">
        <f t="shared" si="4"/>
        <v>67</v>
      </c>
      <c r="Z29" s="20">
        <v>0</v>
      </c>
      <c r="AA29" s="20">
        <v>0</v>
      </c>
      <c r="AB29" s="20">
        <v>67</v>
      </c>
      <c r="AC29" s="20">
        <v>0</v>
      </c>
      <c r="AD29" s="20">
        <v>0</v>
      </c>
      <c r="AE29" s="20">
        <v>0</v>
      </c>
      <c r="AF29" s="22">
        <v>0</v>
      </c>
      <c r="AG29" s="20">
        <f t="shared" si="5"/>
        <v>195</v>
      </c>
      <c r="AH29" s="22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5.75" customHeight="1">
      <c r="A30" s="4">
        <v>45865</v>
      </c>
      <c r="B30" s="5" t="s">
        <v>37</v>
      </c>
      <c r="C30" s="14">
        <v>0</v>
      </c>
      <c r="D30" s="14">
        <v>0</v>
      </c>
      <c r="E30" s="14">
        <v>1</v>
      </c>
      <c r="F30" s="14">
        <v>1</v>
      </c>
      <c r="G30" s="14">
        <v>0</v>
      </c>
      <c r="H30" s="14">
        <v>0</v>
      </c>
      <c r="I30" s="12">
        <f t="shared" si="0"/>
        <v>2</v>
      </c>
      <c r="J30" s="14">
        <v>0</v>
      </c>
      <c r="K30" s="14">
        <v>0</v>
      </c>
      <c r="L30" s="12">
        <f t="shared" si="1"/>
        <v>0</v>
      </c>
      <c r="M30" s="14"/>
      <c r="N30" s="14"/>
      <c r="O30" s="14"/>
      <c r="P30" s="14"/>
      <c r="Q30" s="14"/>
      <c r="R30" s="20"/>
      <c r="S30" s="36"/>
      <c r="T30" s="20">
        <f t="shared" si="2"/>
        <v>68</v>
      </c>
      <c r="U30" s="20">
        <f t="shared" si="3"/>
        <v>68</v>
      </c>
      <c r="V30" s="16">
        <v>0</v>
      </c>
      <c r="W30" s="16">
        <v>0</v>
      </c>
      <c r="X30" s="16">
        <v>68</v>
      </c>
      <c r="Y30" s="20">
        <f t="shared" si="4"/>
        <v>68</v>
      </c>
      <c r="Z30" s="20">
        <v>0</v>
      </c>
      <c r="AA30" s="20">
        <v>0</v>
      </c>
      <c r="AB30" s="20">
        <v>68</v>
      </c>
      <c r="AC30" s="20">
        <v>0</v>
      </c>
      <c r="AD30" s="20">
        <v>0</v>
      </c>
      <c r="AE30" s="20">
        <v>0</v>
      </c>
      <c r="AF30" s="22">
        <v>0</v>
      </c>
      <c r="AG30" s="20">
        <f t="shared" si="5"/>
        <v>195</v>
      </c>
      <c r="AH30" s="22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ht="15.75" customHeight="1">
      <c r="A31" s="4">
        <v>45866</v>
      </c>
      <c r="B31" s="5" t="s">
        <v>44</v>
      </c>
      <c r="C31" s="14">
        <v>3</v>
      </c>
      <c r="D31" s="14">
        <v>2</v>
      </c>
      <c r="E31" s="14">
        <v>6</v>
      </c>
      <c r="F31" s="14">
        <v>4</v>
      </c>
      <c r="G31" s="14">
        <v>2</v>
      </c>
      <c r="H31" s="14">
        <v>2</v>
      </c>
      <c r="I31" s="12">
        <f t="shared" si="0"/>
        <v>19</v>
      </c>
      <c r="J31" s="14">
        <v>7</v>
      </c>
      <c r="K31" s="14">
        <v>4</v>
      </c>
      <c r="L31" s="12">
        <f t="shared" si="1"/>
        <v>11</v>
      </c>
      <c r="M31" s="14" t="s">
        <v>66</v>
      </c>
      <c r="N31" s="14"/>
      <c r="O31" s="14"/>
      <c r="P31" s="14"/>
      <c r="Q31" s="14"/>
      <c r="R31" s="20"/>
      <c r="S31" s="36"/>
      <c r="T31" s="20">
        <f t="shared" si="2"/>
        <v>6453</v>
      </c>
      <c r="U31" s="20">
        <f t="shared" si="3"/>
        <v>4041</v>
      </c>
      <c r="V31" s="16">
        <v>0</v>
      </c>
      <c r="W31" s="20">
        <v>70</v>
      </c>
      <c r="X31" s="20">
        <v>3971</v>
      </c>
      <c r="Y31" s="20">
        <f t="shared" si="4"/>
        <v>3107</v>
      </c>
      <c r="Z31" s="20">
        <v>2412</v>
      </c>
      <c r="AA31" s="20">
        <v>68</v>
      </c>
      <c r="AB31" s="20">
        <v>627</v>
      </c>
      <c r="AC31" s="20">
        <v>1</v>
      </c>
      <c r="AD31" s="20">
        <v>204</v>
      </c>
      <c r="AE31" s="20">
        <v>0</v>
      </c>
      <c r="AF31" s="22">
        <v>0</v>
      </c>
      <c r="AG31" s="20">
        <f t="shared" si="5"/>
        <v>399</v>
      </c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ht="15.75" customHeight="1">
      <c r="A32" s="4">
        <v>45867</v>
      </c>
      <c r="B32" s="5" t="s">
        <v>38</v>
      </c>
      <c r="C32" s="14">
        <v>3</v>
      </c>
      <c r="D32" s="14">
        <v>2</v>
      </c>
      <c r="E32" s="14">
        <v>6</v>
      </c>
      <c r="F32" s="14">
        <v>4</v>
      </c>
      <c r="G32" s="14">
        <v>2</v>
      </c>
      <c r="H32" s="14">
        <v>2</v>
      </c>
      <c r="I32" s="12">
        <f t="shared" si="0"/>
        <v>19</v>
      </c>
      <c r="J32" s="14">
        <v>6.5</v>
      </c>
      <c r="K32" s="14">
        <v>3</v>
      </c>
      <c r="L32" s="12">
        <f t="shared" si="1"/>
        <v>9.5</v>
      </c>
      <c r="M32" s="14" t="s">
        <v>67</v>
      </c>
      <c r="N32" s="14"/>
      <c r="O32" s="14"/>
      <c r="P32" s="14"/>
      <c r="Q32" s="14"/>
      <c r="R32" s="20"/>
      <c r="S32" s="36"/>
      <c r="T32" s="20">
        <f t="shared" si="2"/>
        <v>6253</v>
      </c>
      <c r="U32" s="20">
        <f t="shared" si="3"/>
        <v>5229</v>
      </c>
      <c r="V32" s="16">
        <v>0</v>
      </c>
      <c r="W32" s="20">
        <v>83</v>
      </c>
      <c r="X32" s="20">
        <v>5146</v>
      </c>
      <c r="Y32" s="20">
        <f t="shared" si="4"/>
        <v>2950</v>
      </c>
      <c r="Z32" s="20">
        <v>1024</v>
      </c>
      <c r="AA32" s="20">
        <v>56</v>
      </c>
      <c r="AB32" s="20">
        <v>1870</v>
      </c>
      <c r="AC32" s="20">
        <v>1</v>
      </c>
      <c r="AD32" s="20">
        <v>261</v>
      </c>
      <c r="AE32" s="20">
        <v>395</v>
      </c>
      <c r="AF32" s="22">
        <v>2</v>
      </c>
      <c r="AG32" s="20">
        <f t="shared" si="5"/>
        <v>263</v>
      </c>
      <c r="AH32" s="22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ht="15.75" customHeight="1">
      <c r="A33" s="4">
        <v>45868</v>
      </c>
      <c r="B33" s="5" t="s">
        <v>45</v>
      </c>
      <c r="C33" s="14">
        <v>3</v>
      </c>
      <c r="D33" s="14">
        <v>2</v>
      </c>
      <c r="E33" s="14">
        <v>7</v>
      </c>
      <c r="F33" s="14">
        <v>3</v>
      </c>
      <c r="G33" s="14">
        <v>1</v>
      </c>
      <c r="H33" s="14">
        <v>2</v>
      </c>
      <c r="I33" s="12">
        <f t="shared" si="0"/>
        <v>18</v>
      </c>
      <c r="J33" s="14">
        <v>7</v>
      </c>
      <c r="K33" s="14">
        <v>2</v>
      </c>
      <c r="L33" s="12">
        <f t="shared" si="1"/>
        <v>9</v>
      </c>
      <c r="M33" s="14" t="s">
        <v>49</v>
      </c>
      <c r="N33" s="14">
        <v>1</v>
      </c>
      <c r="O33" s="14"/>
      <c r="P33" s="14"/>
      <c r="Q33" s="14"/>
      <c r="R33" s="20">
        <v>150</v>
      </c>
      <c r="S33" s="36" t="s">
        <v>68</v>
      </c>
      <c r="T33" s="20">
        <f t="shared" si="2"/>
        <v>4924</v>
      </c>
      <c r="U33" s="20">
        <f t="shared" si="3"/>
        <v>4038</v>
      </c>
      <c r="V33" s="16">
        <v>0</v>
      </c>
      <c r="W33" s="20">
        <v>65</v>
      </c>
      <c r="X33" s="20">
        <v>3973</v>
      </c>
      <c r="Y33" s="20">
        <f t="shared" si="4"/>
        <v>1570</v>
      </c>
      <c r="Z33" s="20">
        <v>886</v>
      </c>
      <c r="AA33" s="20">
        <v>35</v>
      </c>
      <c r="AB33" s="20">
        <v>649</v>
      </c>
      <c r="AC33" s="20">
        <v>3</v>
      </c>
      <c r="AD33" s="20">
        <v>106</v>
      </c>
      <c r="AE33" s="20">
        <v>0</v>
      </c>
      <c r="AF33" s="22">
        <v>0</v>
      </c>
      <c r="AG33" s="20">
        <f t="shared" si="5"/>
        <v>369</v>
      </c>
      <c r="AH33" s="22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5.75" customHeight="1">
      <c r="A34" s="4">
        <v>45869</v>
      </c>
      <c r="B34" s="5" t="s">
        <v>32</v>
      </c>
      <c r="C34" s="14">
        <v>3</v>
      </c>
      <c r="D34" s="14">
        <v>2</v>
      </c>
      <c r="E34" s="14">
        <v>7</v>
      </c>
      <c r="F34" s="14">
        <v>3</v>
      </c>
      <c r="G34" s="14">
        <v>1</v>
      </c>
      <c r="H34" s="14">
        <v>2</v>
      </c>
      <c r="I34" s="12">
        <f t="shared" si="0"/>
        <v>18</v>
      </c>
      <c r="J34" s="14">
        <v>7</v>
      </c>
      <c r="K34" s="14">
        <v>2</v>
      </c>
      <c r="L34" s="12">
        <f t="shared" si="1"/>
        <v>9</v>
      </c>
      <c r="M34" s="14" t="s">
        <v>49</v>
      </c>
      <c r="N34" s="14"/>
      <c r="O34" s="14"/>
      <c r="P34" s="14"/>
      <c r="Q34" s="14"/>
      <c r="R34" s="20"/>
      <c r="S34" s="36"/>
      <c r="T34" s="20">
        <f t="shared" si="2"/>
        <v>3888</v>
      </c>
      <c r="U34" s="20">
        <f t="shared" si="3"/>
        <v>2835</v>
      </c>
      <c r="V34" s="16">
        <v>0</v>
      </c>
      <c r="W34" s="20">
        <v>26</v>
      </c>
      <c r="X34" s="20">
        <v>2809</v>
      </c>
      <c r="Y34" s="20">
        <f t="shared" si="4"/>
        <v>1621</v>
      </c>
      <c r="Z34" s="20">
        <v>1053</v>
      </c>
      <c r="AA34" s="20">
        <v>9</v>
      </c>
      <c r="AB34" s="20">
        <v>559</v>
      </c>
      <c r="AC34" s="20">
        <v>14</v>
      </c>
      <c r="AD34" s="20">
        <v>66</v>
      </c>
      <c r="AE34" s="20">
        <v>366</v>
      </c>
      <c r="AF34" s="22">
        <v>1</v>
      </c>
      <c r="AG34" s="20">
        <f t="shared" si="5"/>
        <v>68</v>
      </c>
      <c r="AH34" s="22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ht="15.75" customHeight="1">
      <c r="A35" s="113" t="s">
        <v>19</v>
      </c>
      <c r="B35" s="107"/>
      <c r="C35" s="38">
        <f t="shared" ref="C35:L35" si="10">SUM(C4:C34)</f>
        <v>67</v>
      </c>
      <c r="D35" s="38">
        <f t="shared" si="10"/>
        <v>42.5</v>
      </c>
      <c r="E35" s="38">
        <f t="shared" si="10"/>
        <v>145</v>
      </c>
      <c r="F35" s="38">
        <f t="shared" si="10"/>
        <v>89</v>
      </c>
      <c r="G35" s="38">
        <f t="shared" si="10"/>
        <v>42</v>
      </c>
      <c r="H35" s="38">
        <f t="shared" si="10"/>
        <v>46</v>
      </c>
      <c r="I35" s="38">
        <f t="shared" si="10"/>
        <v>431.5</v>
      </c>
      <c r="J35" s="38">
        <f t="shared" si="10"/>
        <v>150.5</v>
      </c>
      <c r="K35" s="38">
        <f t="shared" si="10"/>
        <v>154</v>
      </c>
      <c r="L35" s="38">
        <f t="shared" si="10"/>
        <v>304.5</v>
      </c>
      <c r="M35" s="38"/>
      <c r="N35" s="38">
        <f>SUM(N4:N34)</f>
        <v>51</v>
      </c>
      <c r="O35" s="38"/>
      <c r="P35" s="38">
        <f t="shared" ref="P35:R35" si="11">SUM(P4:P34)</f>
        <v>15</v>
      </c>
      <c r="Q35" s="38">
        <f t="shared" si="11"/>
        <v>9</v>
      </c>
      <c r="R35" s="40">
        <f t="shared" si="11"/>
        <v>810</v>
      </c>
      <c r="S35" s="41"/>
      <c r="T35" s="40">
        <f t="shared" ref="T35:AF35" si="12">SUM(T4:T34)</f>
        <v>135514</v>
      </c>
      <c r="U35" s="137">
        <f t="shared" si="12"/>
        <v>106633</v>
      </c>
      <c r="V35" s="40">
        <f t="shared" si="12"/>
        <v>0</v>
      </c>
      <c r="W35" s="40">
        <f t="shared" si="12"/>
        <v>1700</v>
      </c>
      <c r="X35" s="40">
        <f t="shared" si="12"/>
        <v>104933</v>
      </c>
      <c r="Y35" s="137">
        <f t="shared" si="12"/>
        <v>59743</v>
      </c>
      <c r="Z35" s="40">
        <f t="shared" si="12"/>
        <v>28881</v>
      </c>
      <c r="AA35" s="40">
        <f t="shared" si="12"/>
        <v>1219</v>
      </c>
      <c r="AB35" s="40">
        <f t="shared" si="12"/>
        <v>29643</v>
      </c>
      <c r="AC35" s="40">
        <f t="shared" si="12"/>
        <v>226</v>
      </c>
      <c r="AD35" s="40">
        <f t="shared" si="12"/>
        <v>3609</v>
      </c>
      <c r="AE35" s="40">
        <f t="shared" si="12"/>
        <v>3618</v>
      </c>
      <c r="AF35" s="41">
        <f t="shared" si="12"/>
        <v>8</v>
      </c>
      <c r="AG35" s="41"/>
      <c r="AH35" s="4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ht="15.75" customHeight="1">
      <c r="A36" s="116" t="s">
        <v>69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</row>
    <row r="37" spans="1:45" ht="12.75">
      <c r="A37" s="116" t="s">
        <v>70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</row>
    <row r="38" spans="1:45" ht="12.75">
      <c r="A38" s="116" t="s">
        <v>71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</row>
    <row r="39" spans="1:45" ht="12.75">
      <c r="A39" s="116" t="s">
        <v>72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</row>
    <row r="40" spans="1:45" ht="12.75">
      <c r="A40" s="116" t="s">
        <v>73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</row>
    <row r="41" spans="1:45" ht="12.75">
      <c r="A41" s="116" t="s">
        <v>74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</row>
    <row r="42" spans="1:45" ht="12.75">
      <c r="A42" s="11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</sheetData>
  <mergeCells count="21">
    <mergeCell ref="A40:AH40"/>
    <mergeCell ref="A41:AH41"/>
    <mergeCell ref="A42:AH42"/>
    <mergeCell ref="C2:I2"/>
    <mergeCell ref="J2:L2"/>
    <mergeCell ref="A35:B35"/>
    <mergeCell ref="A36:AH36"/>
    <mergeCell ref="A37:AH37"/>
    <mergeCell ref="A38:AH38"/>
    <mergeCell ref="A39:AH39"/>
    <mergeCell ref="AC1:AC2"/>
    <mergeCell ref="AD1:AG2"/>
    <mergeCell ref="AH1:AH3"/>
    <mergeCell ref="A1:A3"/>
    <mergeCell ref="B1:B3"/>
    <mergeCell ref="C1:M1"/>
    <mergeCell ref="N1:S2"/>
    <mergeCell ref="T1:T2"/>
    <mergeCell ref="U1:X2"/>
    <mergeCell ref="Y1:AB2"/>
    <mergeCell ref="M2:M3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O1002"/>
  <sheetViews>
    <sheetView workbookViewId="0">
      <selection activeCell="U4" sqref="U4:U34"/>
    </sheetView>
  </sheetViews>
  <sheetFormatPr defaultColWidth="12.5703125" defaultRowHeight="15.75" customHeight="1"/>
  <cols>
    <col min="1" max="1" width="6" customWidth="1"/>
    <col min="2" max="2" width="4.42578125" customWidth="1"/>
    <col min="3" max="7" width="9.5703125" customWidth="1"/>
    <col min="8" max="8" width="9.85546875" customWidth="1"/>
    <col min="9" max="9" width="12.42578125" customWidth="1"/>
    <col min="10" max="14" width="9.5703125" customWidth="1"/>
    <col min="15" max="15" width="25.5703125" customWidth="1"/>
    <col min="16" max="16" width="8.28515625" customWidth="1"/>
    <col min="17" max="30" width="8.85546875" customWidth="1"/>
  </cols>
  <sheetData>
    <row r="1" spans="1:41" ht="15.75" customHeight="1">
      <c r="A1" s="109" t="s">
        <v>0</v>
      </c>
      <c r="B1" s="109" t="s">
        <v>1</v>
      </c>
      <c r="C1" s="110"/>
      <c r="D1" s="106"/>
      <c r="E1" s="106"/>
      <c r="F1" s="106"/>
      <c r="G1" s="106"/>
      <c r="H1" s="106"/>
      <c r="I1" s="107"/>
      <c r="J1" s="111" t="s">
        <v>3</v>
      </c>
      <c r="K1" s="95"/>
      <c r="L1" s="95"/>
      <c r="M1" s="95"/>
      <c r="N1" s="95"/>
      <c r="O1" s="96"/>
      <c r="P1" s="115" t="s">
        <v>4</v>
      </c>
      <c r="Q1" s="128" t="s">
        <v>5</v>
      </c>
      <c r="R1" s="129"/>
      <c r="S1" s="129"/>
      <c r="T1" s="130"/>
      <c r="U1" s="135" t="s">
        <v>6</v>
      </c>
      <c r="V1" s="129"/>
      <c r="W1" s="129"/>
      <c r="X1" s="130"/>
      <c r="Y1" s="100" t="s">
        <v>8</v>
      </c>
      <c r="Z1" s="94" t="s">
        <v>9</v>
      </c>
      <c r="AA1" s="95"/>
      <c r="AB1" s="95"/>
      <c r="AC1" s="96"/>
      <c r="AD1" s="100" t="s">
        <v>11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101"/>
      <c r="B2" s="101"/>
      <c r="C2" s="103" t="s">
        <v>7</v>
      </c>
      <c r="D2" s="104"/>
      <c r="E2" s="104"/>
      <c r="F2" s="105" t="s">
        <v>10</v>
      </c>
      <c r="G2" s="106"/>
      <c r="H2" s="107"/>
      <c r="I2" s="112" t="s">
        <v>12</v>
      </c>
      <c r="J2" s="97"/>
      <c r="K2" s="98"/>
      <c r="L2" s="98"/>
      <c r="M2" s="98"/>
      <c r="N2" s="98"/>
      <c r="O2" s="99"/>
      <c r="P2" s="99"/>
      <c r="Q2" s="131"/>
      <c r="R2" s="131"/>
      <c r="S2" s="131"/>
      <c r="T2" s="132"/>
      <c r="U2" s="136"/>
      <c r="V2" s="131"/>
      <c r="W2" s="131"/>
      <c r="X2" s="132"/>
      <c r="Y2" s="102"/>
      <c r="Z2" s="97"/>
      <c r="AA2" s="98"/>
      <c r="AB2" s="98"/>
      <c r="AC2" s="99"/>
      <c r="AD2" s="10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5.75" customHeight="1">
      <c r="A3" s="102"/>
      <c r="B3" s="102"/>
      <c r="C3" s="2" t="s">
        <v>22</v>
      </c>
      <c r="D3" s="2" t="s">
        <v>75</v>
      </c>
      <c r="E3" s="2" t="s">
        <v>19</v>
      </c>
      <c r="F3" s="2" t="s">
        <v>20</v>
      </c>
      <c r="G3" s="2" t="s">
        <v>21</v>
      </c>
      <c r="H3" s="2" t="s">
        <v>19</v>
      </c>
      <c r="I3" s="102"/>
      <c r="J3" s="2" t="s">
        <v>22</v>
      </c>
      <c r="K3" s="2" t="s">
        <v>23</v>
      </c>
      <c r="L3" s="2" t="s">
        <v>20</v>
      </c>
      <c r="M3" s="2" t="s">
        <v>21</v>
      </c>
      <c r="N3" s="2" t="s">
        <v>24</v>
      </c>
      <c r="O3" s="2" t="s">
        <v>25</v>
      </c>
      <c r="P3" s="2" t="s">
        <v>30</v>
      </c>
      <c r="Q3" s="133" t="s">
        <v>26</v>
      </c>
      <c r="R3" s="2" t="s">
        <v>27</v>
      </c>
      <c r="S3" s="2" t="s">
        <v>28</v>
      </c>
      <c r="T3" s="2" t="s">
        <v>29</v>
      </c>
      <c r="U3" s="133" t="s">
        <v>26</v>
      </c>
      <c r="V3" s="2" t="s">
        <v>27</v>
      </c>
      <c r="W3" s="2" t="s">
        <v>28</v>
      </c>
      <c r="X3" s="2" t="s">
        <v>29</v>
      </c>
      <c r="Y3" s="3" t="s">
        <v>31</v>
      </c>
      <c r="Z3" s="3" t="s">
        <v>33</v>
      </c>
      <c r="AA3" s="3" t="s">
        <v>34</v>
      </c>
      <c r="AB3" s="6" t="s">
        <v>35</v>
      </c>
      <c r="AC3" s="6" t="s">
        <v>36</v>
      </c>
      <c r="AD3" s="10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5.75" customHeight="1">
      <c r="A4" s="4">
        <v>45870</v>
      </c>
      <c r="B4" s="5" t="s">
        <v>42</v>
      </c>
      <c r="C4" s="7">
        <v>18</v>
      </c>
      <c r="D4" s="7">
        <v>0</v>
      </c>
      <c r="E4" s="12">
        <f t="shared" ref="E4:E34" si="0">C4+D4</f>
        <v>18</v>
      </c>
      <c r="F4" s="7">
        <v>7</v>
      </c>
      <c r="G4" s="14">
        <v>1</v>
      </c>
      <c r="H4" s="12">
        <f t="shared" ref="H4:H34" si="1">F4+G4</f>
        <v>8</v>
      </c>
      <c r="I4" s="14" t="s">
        <v>76</v>
      </c>
      <c r="J4" s="7">
        <v>5</v>
      </c>
      <c r="K4" s="7"/>
      <c r="L4" s="7"/>
      <c r="M4" s="7"/>
      <c r="N4" s="16">
        <v>90</v>
      </c>
      <c r="O4" s="18" t="s">
        <v>77</v>
      </c>
      <c r="P4" s="47">
        <f t="shared" ref="P4:P34" si="2">Q4+V4</f>
        <v>5294</v>
      </c>
      <c r="Q4" s="20">
        <f t="shared" ref="Q4:Q34" si="3">R4+S4+T4</f>
        <v>4326</v>
      </c>
      <c r="R4" s="16">
        <v>0</v>
      </c>
      <c r="S4" s="16">
        <v>53</v>
      </c>
      <c r="T4" s="16">
        <v>4273</v>
      </c>
      <c r="U4" s="20">
        <f t="shared" ref="U4:U34" si="4">V4+W4+X4</f>
        <v>2175</v>
      </c>
      <c r="V4" s="16">
        <v>968</v>
      </c>
      <c r="W4" s="16">
        <v>89</v>
      </c>
      <c r="X4" s="16">
        <v>1118</v>
      </c>
      <c r="Y4" s="20">
        <v>1</v>
      </c>
      <c r="Z4" s="20">
        <v>53</v>
      </c>
      <c r="AA4" s="20">
        <v>119</v>
      </c>
      <c r="AB4" s="22">
        <v>0</v>
      </c>
      <c r="AC4" s="16">
        <f>68+Z4-AA4-AB4</f>
        <v>2</v>
      </c>
      <c r="AD4" s="2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5.75" customHeight="1">
      <c r="A5" s="4">
        <v>45871</v>
      </c>
      <c r="B5" s="5" t="s">
        <v>39</v>
      </c>
      <c r="C5" s="7">
        <v>11</v>
      </c>
      <c r="D5" s="7">
        <v>0</v>
      </c>
      <c r="E5" s="12">
        <f t="shared" si="0"/>
        <v>11</v>
      </c>
      <c r="F5" s="7">
        <v>0</v>
      </c>
      <c r="G5" s="14">
        <v>0</v>
      </c>
      <c r="H5" s="12">
        <f t="shared" si="1"/>
        <v>0</v>
      </c>
      <c r="I5" s="14"/>
      <c r="J5" s="7"/>
      <c r="K5" s="7"/>
      <c r="L5" s="7"/>
      <c r="M5" s="7"/>
      <c r="N5" s="16"/>
      <c r="O5" s="18"/>
      <c r="P5" s="47">
        <f t="shared" si="2"/>
        <v>164</v>
      </c>
      <c r="Q5" s="20">
        <f t="shared" si="3"/>
        <v>164</v>
      </c>
      <c r="R5" s="16">
        <v>0</v>
      </c>
      <c r="S5" s="16">
        <v>0</v>
      </c>
      <c r="T5" s="16">
        <v>164</v>
      </c>
      <c r="U5" s="20">
        <f t="shared" si="4"/>
        <v>164</v>
      </c>
      <c r="V5" s="16">
        <v>0</v>
      </c>
      <c r="W5" s="16">
        <v>0</v>
      </c>
      <c r="X5" s="16">
        <v>164</v>
      </c>
      <c r="Y5" s="20">
        <v>0</v>
      </c>
      <c r="Z5" s="20">
        <v>0</v>
      </c>
      <c r="AA5" s="20">
        <v>0</v>
      </c>
      <c r="AB5" s="20">
        <v>0</v>
      </c>
      <c r="AC5" s="16">
        <f t="shared" ref="AC5:AC34" si="5">AC4+Z5-AA5-AB5</f>
        <v>2</v>
      </c>
      <c r="AD5" s="22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5.75" customHeight="1">
      <c r="A6" s="4">
        <v>45872</v>
      </c>
      <c r="B6" s="5" t="s">
        <v>37</v>
      </c>
      <c r="C6" s="7">
        <v>3</v>
      </c>
      <c r="D6" s="7">
        <v>0</v>
      </c>
      <c r="E6" s="12">
        <f t="shared" si="0"/>
        <v>3</v>
      </c>
      <c r="F6" s="7">
        <v>0</v>
      </c>
      <c r="G6" s="14">
        <v>0</v>
      </c>
      <c r="H6" s="12">
        <f t="shared" si="1"/>
        <v>0</v>
      </c>
      <c r="I6" s="14"/>
      <c r="J6" s="7"/>
      <c r="K6" s="7"/>
      <c r="L6" s="7"/>
      <c r="M6" s="7"/>
      <c r="N6" s="16"/>
      <c r="O6" s="18"/>
      <c r="P6" s="47">
        <f t="shared" si="2"/>
        <v>178</v>
      </c>
      <c r="Q6" s="20">
        <f t="shared" si="3"/>
        <v>178</v>
      </c>
      <c r="R6" s="16">
        <v>0</v>
      </c>
      <c r="S6" s="16">
        <v>0</v>
      </c>
      <c r="T6" s="16">
        <v>178</v>
      </c>
      <c r="U6" s="20">
        <f t="shared" si="4"/>
        <v>178</v>
      </c>
      <c r="V6" s="16">
        <v>0</v>
      </c>
      <c r="W6" s="16">
        <v>0</v>
      </c>
      <c r="X6" s="16">
        <v>178</v>
      </c>
      <c r="Y6" s="20">
        <v>0</v>
      </c>
      <c r="Z6" s="20">
        <v>0</v>
      </c>
      <c r="AA6" s="20">
        <v>0</v>
      </c>
      <c r="AB6" s="20">
        <v>0</v>
      </c>
      <c r="AC6" s="16">
        <f t="shared" si="5"/>
        <v>2</v>
      </c>
      <c r="AD6" s="22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5.75" customHeight="1">
      <c r="A7" s="4">
        <v>45873</v>
      </c>
      <c r="B7" s="5" t="s">
        <v>44</v>
      </c>
      <c r="C7" s="7">
        <v>17</v>
      </c>
      <c r="D7" s="7">
        <v>0</v>
      </c>
      <c r="E7" s="12">
        <f t="shared" si="0"/>
        <v>17</v>
      </c>
      <c r="F7" s="7">
        <v>6</v>
      </c>
      <c r="G7" s="14">
        <v>2</v>
      </c>
      <c r="H7" s="12">
        <f t="shared" si="1"/>
        <v>8</v>
      </c>
      <c r="I7" s="14" t="s">
        <v>49</v>
      </c>
      <c r="J7" s="7">
        <v>15</v>
      </c>
      <c r="K7" s="7"/>
      <c r="L7" s="7">
        <v>4</v>
      </c>
      <c r="M7" s="7">
        <v>3</v>
      </c>
      <c r="N7" s="16">
        <v>180</v>
      </c>
      <c r="O7" s="18" t="s">
        <v>78</v>
      </c>
      <c r="P7" s="47">
        <f t="shared" si="2"/>
        <v>8680</v>
      </c>
      <c r="Q7" s="20">
        <f t="shared" si="3"/>
        <v>5919</v>
      </c>
      <c r="R7" s="16">
        <v>0</v>
      </c>
      <c r="S7" s="16">
        <v>22</v>
      </c>
      <c r="T7" s="16">
        <v>5897</v>
      </c>
      <c r="U7" s="20">
        <f t="shared" si="4"/>
        <v>3380</v>
      </c>
      <c r="V7" s="16">
        <v>2761</v>
      </c>
      <c r="W7" s="16">
        <v>78</v>
      </c>
      <c r="X7" s="16">
        <v>541</v>
      </c>
      <c r="Y7" s="20">
        <v>23</v>
      </c>
      <c r="Z7" s="20">
        <v>23</v>
      </c>
      <c r="AA7" s="20">
        <v>0</v>
      </c>
      <c r="AB7" s="22">
        <v>0</v>
      </c>
      <c r="AC7" s="16">
        <f t="shared" si="5"/>
        <v>25</v>
      </c>
      <c r="AD7" s="2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5.75" customHeight="1">
      <c r="A8" s="4">
        <v>45874</v>
      </c>
      <c r="B8" s="5" t="s">
        <v>38</v>
      </c>
      <c r="C8" s="7">
        <v>18</v>
      </c>
      <c r="D8" s="7">
        <v>0</v>
      </c>
      <c r="E8" s="12">
        <f t="shared" si="0"/>
        <v>18</v>
      </c>
      <c r="F8" s="7">
        <v>7</v>
      </c>
      <c r="G8" s="14">
        <v>5</v>
      </c>
      <c r="H8" s="12">
        <f t="shared" si="1"/>
        <v>12</v>
      </c>
      <c r="I8" s="14" t="s">
        <v>61</v>
      </c>
      <c r="J8" s="7">
        <v>16</v>
      </c>
      <c r="K8" s="7"/>
      <c r="L8" s="7">
        <v>5</v>
      </c>
      <c r="M8" s="7">
        <v>3</v>
      </c>
      <c r="N8" s="16">
        <v>180</v>
      </c>
      <c r="O8" s="18" t="s">
        <v>79</v>
      </c>
      <c r="P8" s="47">
        <f t="shared" si="2"/>
        <v>13123</v>
      </c>
      <c r="Q8" s="20">
        <f t="shared" si="3"/>
        <v>11827</v>
      </c>
      <c r="R8" s="20">
        <v>0</v>
      </c>
      <c r="S8" s="20">
        <v>57</v>
      </c>
      <c r="T8" s="20">
        <v>11770</v>
      </c>
      <c r="U8" s="20">
        <f t="shared" si="4"/>
        <v>3965</v>
      </c>
      <c r="V8" s="16">
        <v>1296</v>
      </c>
      <c r="W8" s="16">
        <v>44</v>
      </c>
      <c r="X8" s="16">
        <v>2625</v>
      </c>
      <c r="Y8" s="20">
        <v>3</v>
      </c>
      <c r="Z8" s="20">
        <v>4</v>
      </c>
      <c r="AA8" s="20">
        <v>0</v>
      </c>
      <c r="AB8" s="22">
        <v>0</v>
      </c>
      <c r="AC8" s="16">
        <f t="shared" si="5"/>
        <v>29</v>
      </c>
      <c r="AD8" s="22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5.75" customHeight="1">
      <c r="A9" s="4">
        <v>45875</v>
      </c>
      <c r="B9" s="5" t="s">
        <v>45</v>
      </c>
      <c r="C9" s="7">
        <v>17</v>
      </c>
      <c r="D9" s="7">
        <v>14</v>
      </c>
      <c r="E9" s="12">
        <f t="shared" si="0"/>
        <v>31</v>
      </c>
      <c r="F9" s="7">
        <v>7</v>
      </c>
      <c r="G9" s="14">
        <v>1</v>
      </c>
      <c r="H9" s="12">
        <f t="shared" si="1"/>
        <v>8</v>
      </c>
      <c r="I9" s="14" t="s">
        <v>76</v>
      </c>
      <c r="J9" s="7">
        <v>15</v>
      </c>
      <c r="K9" s="7"/>
      <c r="L9" s="7">
        <v>2</v>
      </c>
      <c r="M9" s="7">
        <v>1</v>
      </c>
      <c r="N9" s="16">
        <v>180</v>
      </c>
      <c r="O9" s="18" t="s">
        <v>79</v>
      </c>
      <c r="P9" s="47">
        <f t="shared" si="2"/>
        <v>11803</v>
      </c>
      <c r="Q9" s="20">
        <f t="shared" si="3"/>
        <v>10735</v>
      </c>
      <c r="R9" s="20">
        <v>0</v>
      </c>
      <c r="S9" s="20">
        <v>85</v>
      </c>
      <c r="T9" s="20">
        <v>10650</v>
      </c>
      <c r="U9" s="20">
        <f t="shared" si="4"/>
        <v>3803</v>
      </c>
      <c r="V9" s="16">
        <v>1068</v>
      </c>
      <c r="W9" s="16">
        <v>66</v>
      </c>
      <c r="X9" s="16">
        <v>2669</v>
      </c>
      <c r="Y9" s="20">
        <v>36</v>
      </c>
      <c r="Z9" s="20">
        <v>0</v>
      </c>
      <c r="AA9" s="20">
        <v>27</v>
      </c>
      <c r="AB9" s="22">
        <v>0</v>
      </c>
      <c r="AC9" s="16">
        <f t="shared" si="5"/>
        <v>2</v>
      </c>
      <c r="AD9" s="22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5.75" customHeight="1">
      <c r="A10" s="4">
        <v>45876</v>
      </c>
      <c r="B10" s="5" t="s">
        <v>32</v>
      </c>
      <c r="C10" s="25">
        <v>16</v>
      </c>
      <c r="D10" s="25">
        <v>10</v>
      </c>
      <c r="E10" s="12">
        <f t="shared" si="0"/>
        <v>26</v>
      </c>
      <c r="F10" s="7">
        <v>7</v>
      </c>
      <c r="G10" s="14">
        <v>1</v>
      </c>
      <c r="H10" s="26">
        <f t="shared" si="1"/>
        <v>8</v>
      </c>
      <c r="I10" s="14" t="s">
        <v>76</v>
      </c>
      <c r="J10" s="25">
        <v>15</v>
      </c>
      <c r="K10" s="25"/>
      <c r="L10" s="25">
        <v>1</v>
      </c>
      <c r="M10" s="25">
        <v>1</v>
      </c>
      <c r="N10" s="16">
        <v>90</v>
      </c>
      <c r="O10" s="18" t="s">
        <v>79</v>
      </c>
      <c r="P10" s="47">
        <f t="shared" si="2"/>
        <v>6045</v>
      </c>
      <c r="Q10" s="35">
        <f t="shared" si="3"/>
        <v>5152</v>
      </c>
      <c r="R10" s="35">
        <v>0</v>
      </c>
      <c r="S10" s="35">
        <v>20</v>
      </c>
      <c r="T10" s="35">
        <v>5132</v>
      </c>
      <c r="U10" s="35">
        <f t="shared" si="4"/>
        <v>2898</v>
      </c>
      <c r="V10" s="29">
        <v>893</v>
      </c>
      <c r="W10" s="29">
        <v>6</v>
      </c>
      <c r="X10" s="29">
        <v>1999</v>
      </c>
      <c r="Y10" s="35">
        <v>25</v>
      </c>
      <c r="Z10" s="35">
        <v>291</v>
      </c>
      <c r="AA10" s="35">
        <v>0</v>
      </c>
      <c r="AB10" s="34">
        <v>1</v>
      </c>
      <c r="AC10" s="16">
        <f t="shared" si="5"/>
        <v>292</v>
      </c>
      <c r="AD10" s="34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5.75" customHeight="1">
      <c r="A11" s="4">
        <v>45877</v>
      </c>
      <c r="B11" s="5" t="s">
        <v>42</v>
      </c>
      <c r="C11" s="7">
        <v>16</v>
      </c>
      <c r="D11" s="7">
        <v>6</v>
      </c>
      <c r="E11" s="12">
        <f t="shared" si="0"/>
        <v>22</v>
      </c>
      <c r="F11" s="7">
        <v>6</v>
      </c>
      <c r="G11" s="14">
        <v>4</v>
      </c>
      <c r="H11" s="12">
        <f t="shared" si="1"/>
        <v>10</v>
      </c>
      <c r="I11" s="14" t="s">
        <v>63</v>
      </c>
      <c r="J11" s="7"/>
      <c r="K11" s="7"/>
      <c r="L11" s="7"/>
      <c r="M11" s="7"/>
      <c r="N11" s="16">
        <v>60</v>
      </c>
      <c r="O11" s="18" t="s">
        <v>41</v>
      </c>
      <c r="P11" s="47">
        <f t="shared" si="2"/>
        <v>7496</v>
      </c>
      <c r="Q11" s="20">
        <f t="shared" si="3"/>
        <v>6655</v>
      </c>
      <c r="R11" s="20">
        <v>0</v>
      </c>
      <c r="S11" s="20">
        <v>65</v>
      </c>
      <c r="T11" s="20">
        <v>6590</v>
      </c>
      <c r="U11" s="20">
        <f t="shared" si="4"/>
        <v>2673</v>
      </c>
      <c r="V11" s="16">
        <v>841</v>
      </c>
      <c r="W11" s="16">
        <v>43</v>
      </c>
      <c r="X11" s="16">
        <v>1789</v>
      </c>
      <c r="Y11" s="20">
        <v>25</v>
      </c>
      <c r="Z11" s="20">
        <v>95</v>
      </c>
      <c r="AA11" s="20">
        <v>290</v>
      </c>
      <c r="AB11" s="22">
        <v>0</v>
      </c>
      <c r="AC11" s="16">
        <f t="shared" si="5"/>
        <v>97</v>
      </c>
      <c r="AD11" s="2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5.75" customHeight="1">
      <c r="A12" s="4">
        <v>45878</v>
      </c>
      <c r="B12" s="5" t="s">
        <v>39</v>
      </c>
      <c r="C12" s="7">
        <v>2</v>
      </c>
      <c r="D12" s="7">
        <v>0</v>
      </c>
      <c r="E12" s="12">
        <f t="shared" si="0"/>
        <v>2</v>
      </c>
      <c r="F12" s="7">
        <v>0</v>
      </c>
      <c r="G12" s="14">
        <v>0</v>
      </c>
      <c r="H12" s="12">
        <f t="shared" si="1"/>
        <v>0</v>
      </c>
      <c r="I12" s="14"/>
      <c r="J12" s="7"/>
      <c r="K12" s="7"/>
      <c r="L12" s="7"/>
      <c r="M12" s="7"/>
      <c r="N12" s="16"/>
      <c r="O12" s="18"/>
      <c r="P12" s="47">
        <f t="shared" si="2"/>
        <v>188</v>
      </c>
      <c r="Q12" s="20">
        <f t="shared" si="3"/>
        <v>188</v>
      </c>
      <c r="R12" s="20">
        <v>0</v>
      </c>
      <c r="S12" s="20">
        <v>6</v>
      </c>
      <c r="T12" s="20">
        <v>182</v>
      </c>
      <c r="U12" s="20">
        <f t="shared" si="4"/>
        <v>187</v>
      </c>
      <c r="V12" s="16">
        <v>0</v>
      </c>
      <c r="W12" s="16">
        <v>6</v>
      </c>
      <c r="X12" s="16">
        <v>181</v>
      </c>
      <c r="Y12" s="20">
        <v>0</v>
      </c>
      <c r="Z12" s="20">
        <v>0</v>
      </c>
      <c r="AA12" s="20">
        <v>0</v>
      </c>
      <c r="AB12" s="20">
        <v>0</v>
      </c>
      <c r="AC12" s="16">
        <f t="shared" si="5"/>
        <v>97</v>
      </c>
      <c r="AD12" s="2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5.75" customHeight="1">
      <c r="A13" s="4">
        <v>45879</v>
      </c>
      <c r="B13" s="5" t="s">
        <v>37</v>
      </c>
      <c r="C13" s="7">
        <v>2</v>
      </c>
      <c r="D13" s="7">
        <v>0</v>
      </c>
      <c r="E13" s="12">
        <f t="shared" si="0"/>
        <v>2</v>
      </c>
      <c r="F13" s="7">
        <v>0</v>
      </c>
      <c r="G13" s="14">
        <v>0</v>
      </c>
      <c r="H13" s="12">
        <f t="shared" si="1"/>
        <v>0</v>
      </c>
      <c r="I13" s="14"/>
      <c r="J13" s="7"/>
      <c r="K13" s="7"/>
      <c r="L13" s="7"/>
      <c r="M13" s="7"/>
      <c r="N13" s="16"/>
      <c r="O13" s="18"/>
      <c r="P13" s="47">
        <f t="shared" si="2"/>
        <v>154</v>
      </c>
      <c r="Q13" s="20">
        <f t="shared" si="3"/>
        <v>154</v>
      </c>
      <c r="R13" s="20">
        <v>0</v>
      </c>
      <c r="S13" s="20">
        <v>0</v>
      </c>
      <c r="T13" s="20">
        <v>154</v>
      </c>
      <c r="U13" s="20">
        <f t="shared" si="4"/>
        <v>148</v>
      </c>
      <c r="V13" s="16">
        <v>0</v>
      </c>
      <c r="W13" s="16">
        <v>0</v>
      </c>
      <c r="X13" s="16">
        <v>148</v>
      </c>
      <c r="Y13" s="20">
        <v>0</v>
      </c>
      <c r="Z13" s="20">
        <v>0</v>
      </c>
      <c r="AA13" s="20">
        <v>0</v>
      </c>
      <c r="AB13" s="20">
        <v>0</v>
      </c>
      <c r="AC13" s="16">
        <f t="shared" si="5"/>
        <v>97</v>
      </c>
      <c r="AD13" s="2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5.75" customHeight="1">
      <c r="A14" s="4">
        <v>45880</v>
      </c>
      <c r="B14" s="5" t="s">
        <v>44</v>
      </c>
      <c r="C14" s="7">
        <v>17</v>
      </c>
      <c r="D14" s="7">
        <v>0</v>
      </c>
      <c r="E14" s="12">
        <f t="shared" si="0"/>
        <v>17</v>
      </c>
      <c r="F14" s="7">
        <v>6</v>
      </c>
      <c r="G14" s="14">
        <v>2</v>
      </c>
      <c r="H14" s="12">
        <f t="shared" si="1"/>
        <v>8</v>
      </c>
      <c r="I14" s="14" t="s">
        <v>49</v>
      </c>
      <c r="J14" s="7">
        <v>15</v>
      </c>
      <c r="K14" s="7"/>
      <c r="L14" s="7">
        <v>2</v>
      </c>
      <c r="M14" s="7">
        <v>2</v>
      </c>
      <c r="N14" s="16">
        <v>90</v>
      </c>
      <c r="O14" s="18" t="s">
        <v>77</v>
      </c>
      <c r="P14" s="47">
        <f t="shared" si="2"/>
        <v>8086</v>
      </c>
      <c r="Q14" s="20">
        <f t="shared" si="3"/>
        <v>5596</v>
      </c>
      <c r="R14" s="20">
        <v>0</v>
      </c>
      <c r="S14" s="20">
        <v>68</v>
      </c>
      <c r="T14" s="20">
        <v>5528</v>
      </c>
      <c r="U14" s="20">
        <f t="shared" si="4"/>
        <v>3226</v>
      </c>
      <c r="V14" s="16">
        <v>2490</v>
      </c>
      <c r="W14" s="16">
        <v>189</v>
      </c>
      <c r="X14" s="16">
        <v>547</v>
      </c>
      <c r="Y14" s="20">
        <v>7</v>
      </c>
      <c r="Z14" s="20">
        <v>80</v>
      </c>
      <c r="AA14" s="20">
        <v>0</v>
      </c>
      <c r="AB14" s="22">
        <v>0</v>
      </c>
      <c r="AC14" s="16">
        <f t="shared" si="5"/>
        <v>177</v>
      </c>
      <c r="AD14" s="2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5.75" customHeight="1">
      <c r="A15" s="4">
        <v>45881</v>
      </c>
      <c r="B15" s="5" t="s">
        <v>38</v>
      </c>
      <c r="C15" s="7">
        <v>17</v>
      </c>
      <c r="D15" s="7">
        <v>7</v>
      </c>
      <c r="E15" s="12">
        <f t="shared" si="0"/>
        <v>24</v>
      </c>
      <c r="F15" s="7">
        <v>3</v>
      </c>
      <c r="G15" s="14">
        <v>7</v>
      </c>
      <c r="H15" s="12">
        <f t="shared" si="1"/>
        <v>10</v>
      </c>
      <c r="I15" s="14" t="s">
        <v>80</v>
      </c>
      <c r="J15" s="7"/>
      <c r="K15" s="7"/>
      <c r="L15" s="7"/>
      <c r="M15" s="7"/>
      <c r="N15" s="16"/>
      <c r="O15" s="18"/>
      <c r="P15" s="47">
        <f t="shared" si="2"/>
        <v>8736</v>
      </c>
      <c r="Q15" s="20">
        <f t="shared" si="3"/>
        <v>7653</v>
      </c>
      <c r="R15" s="20">
        <v>0</v>
      </c>
      <c r="S15" s="20">
        <v>53</v>
      </c>
      <c r="T15" s="20">
        <v>7600</v>
      </c>
      <c r="U15" s="20">
        <f t="shared" si="4"/>
        <v>2582</v>
      </c>
      <c r="V15" s="16">
        <v>1083</v>
      </c>
      <c r="W15" s="16">
        <v>20</v>
      </c>
      <c r="X15" s="16">
        <v>1479</v>
      </c>
      <c r="Y15" s="20">
        <v>52</v>
      </c>
      <c r="Z15" s="20">
        <v>94</v>
      </c>
      <c r="AA15" s="20">
        <v>0</v>
      </c>
      <c r="AB15" s="22">
        <v>0</v>
      </c>
      <c r="AC15" s="16">
        <f t="shared" si="5"/>
        <v>271</v>
      </c>
      <c r="AD15" s="2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5.75" customHeight="1">
      <c r="A16" s="4">
        <v>45882</v>
      </c>
      <c r="B16" s="5" t="s">
        <v>45</v>
      </c>
      <c r="C16" s="7">
        <v>16</v>
      </c>
      <c r="D16" s="7">
        <v>0</v>
      </c>
      <c r="E16" s="12">
        <f t="shared" si="0"/>
        <v>16</v>
      </c>
      <c r="F16" s="7">
        <v>4</v>
      </c>
      <c r="G16" s="14">
        <v>6</v>
      </c>
      <c r="H16" s="12">
        <f t="shared" si="1"/>
        <v>10</v>
      </c>
      <c r="I16" s="14" t="s">
        <v>81</v>
      </c>
      <c r="J16" s="7">
        <v>13</v>
      </c>
      <c r="K16" s="7"/>
      <c r="L16" s="7">
        <v>4</v>
      </c>
      <c r="M16" s="7">
        <v>1</v>
      </c>
      <c r="N16" s="16">
        <v>90</v>
      </c>
      <c r="O16" s="18" t="s">
        <v>79</v>
      </c>
      <c r="P16" s="47">
        <f t="shared" si="2"/>
        <v>7229</v>
      </c>
      <c r="Q16" s="20">
        <f t="shared" si="3"/>
        <v>6257</v>
      </c>
      <c r="R16" s="16">
        <v>0</v>
      </c>
      <c r="S16" s="16">
        <v>42</v>
      </c>
      <c r="T16" s="16">
        <v>6215</v>
      </c>
      <c r="U16" s="20">
        <f t="shared" si="4"/>
        <v>2530</v>
      </c>
      <c r="V16" s="16">
        <v>972</v>
      </c>
      <c r="W16" s="16">
        <v>81</v>
      </c>
      <c r="X16" s="16">
        <v>1477</v>
      </c>
      <c r="Y16" s="20">
        <v>48</v>
      </c>
      <c r="Z16" s="20">
        <v>321</v>
      </c>
      <c r="AA16" s="20">
        <v>269</v>
      </c>
      <c r="AB16" s="22">
        <v>0</v>
      </c>
      <c r="AC16" s="16">
        <f t="shared" si="5"/>
        <v>323</v>
      </c>
      <c r="AD16" s="2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5.75" customHeight="1">
      <c r="A17" s="4">
        <v>45883</v>
      </c>
      <c r="B17" s="5" t="s">
        <v>32</v>
      </c>
      <c r="C17" s="7">
        <v>15</v>
      </c>
      <c r="D17" s="7">
        <v>0</v>
      </c>
      <c r="E17" s="12">
        <f t="shared" si="0"/>
        <v>15</v>
      </c>
      <c r="F17" s="7">
        <v>4</v>
      </c>
      <c r="G17" s="14">
        <v>3</v>
      </c>
      <c r="H17" s="12">
        <f t="shared" si="1"/>
        <v>7</v>
      </c>
      <c r="I17" s="14" t="s">
        <v>82</v>
      </c>
      <c r="J17" s="7">
        <v>6</v>
      </c>
      <c r="K17" s="7"/>
      <c r="L17" s="7">
        <v>0</v>
      </c>
      <c r="M17" s="7">
        <v>0</v>
      </c>
      <c r="N17" s="16">
        <v>120</v>
      </c>
      <c r="O17" s="18" t="s">
        <v>77</v>
      </c>
      <c r="P17" s="47">
        <f t="shared" si="2"/>
        <v>4050</v>
      </c>
      <c r="Q17" s="20">
        <f t="shared" si="3"/>
        <v>3163</v>
      </c>
      <c r="R17" s="20">
        <v>0</v>
      </c>
      <c r="S17" s="20">
        <v>41</v>
      </c>
      <c r="T17" s="20">
        <v>3122</v>
      </c>
      <c r="U17" s="20">
        <f t="shared" si="4"/>
        <v>1769</v>
      </c>
      <c r="V17" s="16">
        <v>887</v>
      </c>
      <c r="W17" s="16">
        <v>44</v>
      </c>
      <c r="X17" s="16">
        <v>838</v>
      </c>
      <c r="Y17" s="20">
        <v>38</v>
      </c>
      <c r="Z17" s="20">
        <v>202</v>
      </c>
      <c r="AA17" s="20">
        <v>0</v>
      </c>
      <c r="AB17" s="22">
        <v>0</v>
      </c>
      <c r="AC17" s="16">
        <f t="shared" si="5"/>
        <v>525</v>
      </c>
      <c r="AD17" s="2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5.75" customHeight="1">
      <c r="A18" s="4">
        <v>45884</v>
      </c>
      <c r="B18" s="5" t="s">
        <v>42</v>
      </c>
      <c r="C18" s="7">
        <v>6</v>
      </c>
      <c r="D18" s="7">
        <v>0</v>
      </c>
      <c r="E18" s="12">
        <f t="shared" si="0"/>
        <v>6</v>
      </c>
      <c r="F18" s="7">
        <v>0</v>
      </c>
      <c r="G18" s="14">
        <v>0</v>
      </c>
      <c r="H18" s="12">
        <f t="shared" si="1"/>
        <v>0</v>
      </c>
      <c r="I18" s="14"/>
      <c r="J18" s="7"/>
      <c r="K18" s="7"/>
      <c r="L18" s="7"/>
      <c r="M18" s="7"/>
      <c r="N18" s="16"/>
      <c r="O18" s="18"/>
      <c r="P18" s="47">
        <f t="shared" si="2"/>
        <v>341</v>
      </c>
      <c r="Q18" s="20">
        <f t="shared" si="3"/>
        <v>341</v>
      </c>
      <c r="R18" s="20">
        <v>0</v>
      </c>
      <c r="S18" s="20">
        <v>0</v>
      </c>
      <c r="T18" s="20">
        <v>341</v>
      </c>
      <c r="U18" s="20">
        <f t="shared" si="4"/>
        <v>176</v>
      </c>
      <c r="V18" s="16">
        <v>0</v>
      </c>
      <c r="W18" s="16">
        <v>0</v>
      </c>
      <c r="X18" s="16">
        <v>176</v>
      </c>
      <c r="Y18" s="20">
        <v>0</v>
      </c>
      <c r="Z18" s="20">
        <v>0</v>
      </c>
      <c r="AA18" s="20">
        <v>0</v>
      </c>
      <c r="AB18" s="22">
        <v>0</v>
      </c>
      <c r="AC18" s="16">
        <f t="shared" si="5"/>
        <v>525</v>
      </c>
      <c r="AD18" s="2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15.75" customHeight="1">
      <c r="A19" s="4">
        <v>45885</v>
      </c>
      <c r="B19" s="5" t="s">
        <v>39</v>
      </c>
      <c r="C19" s="7">
        <v>2</v>
      </c>
      <c r="D19" s="7">
        <v>0</v>
      </c>
      <c r="E19" s="12">
        <f t="shared" si="0"/>
        <v>2</v>
      </c>
      <c r="F19" s="7">
        <v>0</v>
      </c>
      <c r="G19" s="14">
        <v>0</v>
      </c>
      <c r="H19" s="12">
        <f t="shared" si="1"/>
        <v>0</v>
      </c>
      <c r="I19" s="14"/>
      <c r="J19" s="7"/>
      <c r="K19" s="7"/>
      <c r="L19" s="7"/>
      <c r="M19" s="7"/>
      <c r="N19" s="16"/>
      <c r="O19" s="18"/>
      <c r="P19" s="47">
        <f t="shared" si="2"/>
        <v>323</v>
      </c>
      <c r="Q19" s="20">
        <f t="shared" si="3"/>
        <v>142</v>
      </c>
      <c r="R19" s="20">
        <v>0</v>
      </c>
      <c r="S19" s="20">
        <v>0</v>
      </c>
      <c r="T19" s="20">
        <v>142</v>
      </c>
      <c r="U19" s="20">
        <f t="shared" si="4"/>
        <v>323</v>
      </c>
      <c r="V19" s="20">
        <v>181</v>
      </c>
      <c r="W19" s="20">
        <v>0</v>
      </c>
      <c r="X19" s="20">
        <v>142</v>
      </c>
      <c r="Y19" s="20">
        <v>0</v>
      </c>
      <c r="Z19" s="20">
        <v>0</v>
      </c>
      <c r="AA19" s="20">
        <v>0</v>
      </c>
      <c r="AB19" s="22">
        <v>0</v>
      </c>
      <c r="AC19" s="16">
        <f t="shared" si="5"/>
        <v>525</v>
      </c>
      <c r="AD19" s="2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4">
        <v>45886</v>
      </c>
      <c r="B20" s="5" t="s">
        <v>37</v>
      </c>
      <c r="C20" s="7">
        <v>2</v>
      </c>
      <c r="D20" s="7">
        <v>0</v>
      </c>
      <c r="E20" s="12">
        <f t="shared" si="0"/>
        <v>2</v>
      </c>
      <c r="F20" s="7">
        <v>0</v>
      </c>
      <c r="G20" s="14">
        <v>0</v>
      </c>
      <c r="H20" s="12">
        <f t="shared" si="1"/>
        <v>0</v>
      </c>
      <c r="I20" s="14"/>
      <c r="J20" s="14"/>
      <c r="K20" s="14"/>
      <c r="L20" s="14"/>
      <c r="M20" s="14"/>
      <c r="N20" s="20"/>
      <c r="O20" s="36"/>
      <c r="P20" s="47">
        <f t="shared" si="2"/>
        <v>248</v>
      </c>
      <c r="Q20" s="20">
        <f t="shared" si="3"/>
        <v>248</v>
      </c>
      <c r="R20" s="20">
        <v>0</v>
      </c>
      <c r="S20" s="16">
        <v>0</v>
      </c>
      <c r="T20" s="16">
        <v>248</v>
      </c>
      <c r="U20" s="20">
        <f t="shared" si="4"/>
        <v>248</v>
      </c>
      <c r="V20" s="20">
        <v>0</v>
      </c>
      <c r="W20" s="20">
        <v>0</v>
      </c>
      <c r="X20" s="20">
        <v>248</v>
      </c>
      <c r="Y20" s="20">
        <v>0</v>
      </c>
      <c r="Z20" s="20">
        <v>0</v>
      </c>
      <c r="AA20" s="20">
        <v>0</v>
      </c>
      <c r="AB20" s="22">
        <v>0</v>
      </c>
      <c r="AC20" s="16">
        <f t="shared" si="5"/>
        <v>525</v>
      </c>
      <c r="AD20" s="2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customHeight="1">
      <c r="A21" s="4">
        <v>45887</v>
      </c>
      <c r="B21" s="5" t="s">
        <v>44</v>
      </c>
      <c r="C21" s="7">
        <v>15</v>
      </c>
      <c r="D21" s="7">
        <v>0</v>
      </c>
      <c r="E21" s="12">
        <f t="shared" si="0"/>
        <v>15</v>
      </c>
      <c r="F21" s="7">
        <v>3</v>
      </c>
      <c r="G21" s="14">
        <v>1</v>
      </c>
      <c r="H21" s="12">
        <f t="shared" si="1"/>
        <v>4</v>
      </c>
      <c r="I21" s="14" t="s">
        <v>76</v>
      </c>
      <c r="J21" s="7">
        <v>12</v>
      </c>
      <c r="K21" s="14"/>
      <c r="L21" s="7">
        <v>3</v>
      </c>
      <c r="M21" s="14">
        <v>1</v>
      </c>
      <c r="N21" s="20">
        <v>180</v>
      </c>
      <c r="O21" s="18" t="s">
        <v>79</v>
      </c>
      <c r="P21" s="47">
        <f t="shared" si="2"/>
        <v>5913</v>
      </c>
      <c r="Q21" s="20">
        <f t="shared" si="3"/>
        <v>2992</v>
      </c>
      <c r="R21" s="16">
        <v>0</v>
      </c>
      <c r="S21" s="16">
        <v>7</v>
      </c>
      <c r="T21" s="16">
        <v>2985</v>
      </c>
      <c r="U21" s="20">
        <f t="shared" si="4"/>
        <v>3297</v>
      </c>
      <c r="V21" s="20">
        <v>2921</v>
      </c>
      <c r="W21" s="20">
        <v>322</v>
      </c>
      <c r="X21" s="20">
        <v>54</v>
      </c>
      <c r="Y21" s="16">
        <v>55</v>
      </c>
      <c r="Z21" s="20">
        <v>156</v>
      </c>
      <c r="AA21" s="20">
        <v>0</v>
      </c>
      <c r="AB21" s="22">
        <v>0</v>
      </c>
      <c r="AC21" s="16">
        <f t="shared" si="5"/>
        <v>681</v>
      </c>
      <c r="AD21" s="2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>
      <c r="A22" s="4">
        <v>45888</v>
      </c>
      <c r="B22" s="5" t="s">
        <v>38</v>
      </c>
      <c r="C22" s="7">
        <v>17</v>
      </c>
      <c r="D22" s="14">
        <v>0</v>
      </c>
      <c r="E22" s="12">
        <f t="shared" si="0"/>
        <v>17</v>
      </c>
      <c r="F22" s="14">
        <v>4</v>
      </c>
      <c r="G22" s="14">
        <v>4</v>
      </c>
      <c r="H22" s="12">
        <f t="shared" si="1"/>
        <v>8</v>
      </c>
      <c r="I22" s="14" t="s">
        <v>66</v>
      </c>
      <c r="J22" s="7">
        <v>14</v>
      </c>
      <c r="K22" s="7"/>
      <c r="L22" s="7">
        <v>0</v>
      </c>
      <c r="M22" s="7">
        <v>0</v>
      </c>
      <c r="N22" s="20">
        <v>90</v>
      </c>
      <c r="O22" s="18" t="s">
        <v>79</v>
      </c>
      <c r="P22" s="47">
        <f t="shared" si="2"/>
        <v>5865</v>
      </c>
      <c r="Q22" s="20">
        <f t="shared" si="3"/>
        <v>4912</v>
      </c>
      <c r="R22" s="20">
        <v>0</v>
      </c>
      <c r="S22" s="20">
        <v>67</v>
      </c>
      <c r="T22" s="20">
        <v>4845</v>
      </c>
      <c r="U22" s="20">
        <f t="shared" si="4"/>
        <v>2823</v>
      </c>
      <c r="V22" s="20">
        <v>953</v>
      </c>
      <c r="W22" s="20">
        <v>6</v>
      </c>
      <c r="X22" s="20">
        <v>1864</v>
      </c>
      <c r="Y22" s="20">
        <v>16</v>
      </c>
      <c r="Z22" s="22">
        <v>63</v>
      </c>
      <c r="AA22" s="22">
        <v>680</v>
      </c>
      <c r="AB22" s="22">
        <v>0</v>
      </c>
      <c r="AC22" s="16">
        <f t="shared" si="5"/>
        <v>64</v>
      </c>
      <c r="AD22" s="2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.75" customHeight="1">
      <c r="A23" s="4">
        <v>45889</v>
      </c>
      <c r="B23" s="5" t="s">
        <v>45</v>
      </c>
      <c r="C23" s="7">
        <v>18</v>
      </c>
      <c r="D23" s="14">
        <v>0</v>
      </c>
      <c r="E23" s="12">
        <f t="shared" si="0"/>
        <v>18</v>
      </c>
      <c r="F23" s="14">
        <v>4</v>
      </c>
      <c r="G23" s="14">
        <v>3</v>
      </c>
      <c r="H23" s="12">
        <f t="shared" si="1"/>
        <v>7</v>
      </c>
      <c r="I23" s="14" t="s">
        <v>67</v>
      </c>
      <c r="J23" s="14"/>
      <c r="K23" s="14"/>
      <c r="L23" s="14"/>
      <c r="M23" s="14"/>
      <c r="N23" s="20"/>
      <c r="O23" s="36"/>
      <c r="P23" s="47">
        <f t="shared" si="2"/>
        <v>5182</v>
      </c>
      <c r="Q23" s="20">
        <f t="shared" si="3"/>
        <v>4418</v>
      </c>
      <c r="R23" s="20">
        <v>0</v>
      </c>
      <c r="S23" s="20">
        <v>118</v>
      </c>
      <c r="T23" s="20">
        <v>4300</v>
      </c>
      <c r="U23" s="20">
        <f t="shared" si="4"/>
        <v>1215</v>
      </c>
      <c r="V23" s="16">
        <v>764</v>
      </c>
      <c r="W23" s="20">
        <v>132</v>
      </c>
      <c r="X23" s="20">
        <v>319</v>
      </c>
      <c r="Y23" s="20">
        <v>8</v>
      </c>
      <c r="Z23" s="22">
        <v>76</v>
      </c>
      <c r="AA23" s="22">
        <v>0</v>
      </c>
      <c r="AB23" s="22">
        <v>0</v>
      </c>
      <c r="AC23" s="16">
        <f t="shared" si="5"/>
        <v>140</v>
      </c>
      <c r="AD23" s="2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.75" customHeight="1">
      <c r="A24" s="4">
        <v>45890</v>
      </c>
      <c r="B24" s="5" t="s">
        <v>32</v>
      </c>
      <c r="C24" s="7">
        <v>18</v>
      </c>
      <c r="D24" s="14">
        <v>5</v>
      </c>
      <c r="E24" s="12">
        <f t="shared" si="0"/>
        <v>23</v>
      </c>
      <c r="F24" s="14">
        <v>4</v>
      </c>
      <c r="G24" s="14">
        <v>1</v>
      </c>
      <c r="H24" s="12">
        <f t="shared" si="1"/>
        <v>5</v>
      </c>
      <c r="I24" s="14" t="s">
        <v>76</v>
      </c>
      <c r="J24" s="7">
        <v>2</v>
      </c>
      <c r="K24" s="7"/>
      <c r="L24" s="7">
        <v>0</v>
      </c>
      <c r="M24" s="7">
        <v>0</v>
      </c>
      <c r="N24" s="20">
        <v>90</v>
      </c>
      <c r="O24" s="18" t="s">
        <v>83</v>
      </c>
      <c r="P24" s="47">
        <f t="shared" si="2"/>
        <v>3625</v>
      </c>
      <c r="Q24" s="20">
        <f t="shared" si="3"/>
        <v>2790</v>
      </c>
      <c r="R24" s="16">
        <v>0</v>
      </c>
      <c r="S24" s="16">
        <v>30</v>
      </c>
      <c r="T24" s="16">
        <v>2760</v>
      </c>
      <c r="U24" s="20">
        <f t="shared" si="4"/>
        <v>1372</v>
      </c>
      <c r="V24" s="16">
        <v>835</v>
      </c>
      <c r="W24" s="16">
        <v>1</v>
      </c>
      <c r="X24" s="16">
        <v>536</v>
      </c>
      <c r="Y24" s="16">
        <v>28</v>
      </c>
      <c r="Z24" s="16">
        <v>117</v>
      </c>
      <c r="AA24" s="16">
        <v>0</v>
      </c>
      <c r="AB24" s="42">
        <v>0</v>
      </c>
      <c r="AC24" s="16">
        <f t="shared" si="5"/>
        <v>257</v>
      </c>
      <c r="AD24" s="2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customHeight="1">
      <c r="A25" s="4">
        <v>45891</v>
      </c>
      <c r="B25" s="5" t="s">
        <v>42</v>
      </c>
      <c r="C25" s="7">
        <v>18</v>
      </c>
      <c r="D25" s="14">
        <v>0</v>
      </c>
      <c r="E25" s="12">
        <f t="shared" si="0"/>
        <v>18</v>
      </c>
      <c r="F25" s="7">
        <v>4</v>
      </c>
      <c r="G25" s="7">
        <v>6</v>
      </c>
      <c r="H25" s="12">
        <f t="shared" si="1"/>
        <v>10</v>
      </c>
      <c r="I25" s="14" t="s">
        <v>84</v>
      </c>
      <c r="J25" s="7"/>
      <c r="K25" s="7"/>
      <c r="L25" s="7"/>
      <c r="M25" s="7"/>
      <c r="N25" s="16"/>
      <c r="O25" s="18"/>
      <c r="P25" s="47">
        <f t="shared" si="2"/>
        <v>4864</v>
      </c>
      <c r="Q25" s="20">
        <f t="shared" si="3"/>
        <v>4097</v>
      </c>
      <c r="R25" s="16">
        <v>0</v>
      </c>
      <c r="S25" s="16">
        <v>92</v>
      </c>
      <c r="T25" s="16">
        <v>4005</v>
      </c>
      <c r="U25" s="20">
        <f t="shared" si="4"/>
        <v>1899</v>
      </c>
      <c r="V25" s="20">
        <v>767</v>
      </c>
      <c r="W25" s="20">
        <v>113</v>
      </c>
      <c r="X25" s="20">
        <v>1019</v>
      </c>
      <c r="Y25" s="20">
        <v>31</v>
      </c>
      <c r="Z25" s="20">
        <v>30</v>
      </c>
      <c r="AA25" s="20">
        <v>257</v>
      </c>
      <c r="AB25" s="22">
        <v>0</v>
      </c>
      <c r="AC25" s="16">
        <f t="shared" si="5"/>
        <v>30</v>
      </c>
      <c r="AD25" s="2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.75" customHeight="1">
      <c r="A26" s="4">
        <v>45892</v>
      </c>
      <c r="B26" s="5" t="s">
        <v>39</v>
      </c>
      <c r="C26" s="7">
        <v>2</v>
      </c>
      <c r="D26" s="14">
        <v>0</v>
      </c>
      <c r="E26" s="12">
        <f t="shared" si="0"/>
        <v>2</v>
      </c>
      <c r="F26" s="14">
        <v>0</v>
      </c>
      <c r="G26" s="14">
        <v>0</v>
      </c>
      <c r="H26" s="12">
        <f t="shared" si="1"/>
        <v>0</v>
      </c>
      <c r="I26" s="7"/>
      <c r="J26" s="14"/>
      <c r="K26" s="14"/>
      <c r="L26" s="14"/>
      <c r="M26" s="14"/>
      <c r="N26" s="20"/>
      <c r="O26" s="36"/>
      <c r="P26" s="47">
        <f t="shared" si="2"/>
        <v>212</v>
      </c>
      <c r="Q26" s="20">
        <f t="shared" si="3"/>
        <v>136</v>
      </c>
      <c r="R26" s="16">
        <v>0</v>
      </c>
      <c r="S26" s="16">
        <v>0</v>
      </c>
      <c r="T26" s="16">
        <v>136</v>
      </c>
      <c r="U26" s="20">
        <f t="shared" si="4"/>
        <v>212</v>
      </c>
      <c r="V26" s="20">
        <v>76</v>
      </c>
      <c r="W26" s="20">
        <v>0</v>
      </c>
      <c r="X26" s="20">
        <v>136</v>
      </c>
      <c r="Y26" s="20">
        <v>0</v>
      </c>
      <c r="Z26" s="20">
        <v>0</v>
      </c>
      <c r="AA26" s="20">
        <v>0</v>
      </c>
      <c r="AB26" s="22">
        <v>0</v>
      </c>
      <c r="AC26" s="16">
        <f t="shared" si="5"/>
        <v>30</v>
      </c>
      <c r="AD26" s="2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.75" customHeight="1">
      <c r="A27" s="4">
        <v>45893</v>
      </c>
      <c r="B27" s="5" t="s">
        <v>37</v>
      </c>
      <c r="C27" s="7">
        <v>2</v>
      </c>
      <c r="D27" s="14">
        <v>0</v>
      </c>
      <c r="E27" s="12">
        <f t="shared" si="0"/>
        <v>2</v>
      </c>
      <c r="F27" s="14">
        <v>0</v>
      </c>
      <c r="G27" s="14">
        <v>0</v>
      </c>
      <c r="H27" s="12">
        <f t="shared" si="1"/>
        <v>0</v>
      </c>
      <c r="I27" s="7"/>
      <c r="J27" s="14"/>
      <c r="K27" s="14"/>
      <c r="L27" s="14"/>
      <c r="M27" s="14"/>
      <c r="N27" s="20"/>
      <c r="O27" s="36"/>
      <c r="P27" s="47">
        <f t="shared" si="2"/>
        <v>168</v>
      </c>
      <c r="Q27" s="20">
        <f t="shared" si="3"/>
        <v>168</v>
      </c>
      <c r="R27" s="16">
        <v>0</v>
      </c>
      <c r="S27" s="16">
        <v>0</v>
      </c>
      <c r="T27" s="16">
        <v>168</v>
      </c>
      <c r="U27" s="20">
        <f t="shared" si="4"/>
        <v>168</v>
      </c>
      <c r="V27" s="20">
        <v>0</v>
      </c>
      <c r="W27" s="20">
        <v>0</v>
      </c>
      <c r="X27" s="20">
        <v>168</v>
      </c>
      <c r="Y27" s="20">
        <v>0</v>
      </c>
      <c r="Z27" s="20">
        <v>0</v>
      </c>
      <c r="AA27" s="20">
        <v>0</v>
      </c>
      <c r="AB27" s="22">
        <v>0</v>
      </c>
      <c r="AC27" s="16">
        <f t="shared" si="5"/>
        <v>30</v>
      </c>
      <c r="AD27" s="2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customHeight="1">
      <c r="A28" s="4">
        <v>45894</v>
      </c>
      <c r="B28" s="5" t="s">
        <v>44</v>
      </c>
      <c r="C28" s="7">
        <v>16</v>
      </c>
      <c r="D28" s="7">
        <v>0</v>
      </c>
      <c r="E28" s="12">
        <f t="shared" si="0"/>
        <v>16</v>
      </c>
      <c r="F28" s="7">
        <v>3</v>
      </c>
      <c r="G28" s="7">
        <v>6</v>
      </c>
      <c r="H28" s="12">
        <f t="shared" si="1"/>
        <v>9</v>
      </c>
      <c r="I28" s="14" t="s">
        <v>84</v>
      </c>
      <c r="J28" s="14">
        <v>4</v>
      </c>
      <c r="K28" s="14"/>
      <c r="L28" s="14">
        <v>1</v>
      </c>
      <c r="M28" s="14">
        <v>3</v>
      </c>
      <c r="N28" s="20">
        <v>90</v>
      </c>
      <c r="O28" s="18" t="s">
        <v>77</v>
      </c>
      <c r="P28" s="47">
        <f t="shared" si="2"/>
        <v>6632</v>
      </c>
      <c r="Q28" s="20">
        <f t="shared" si="3"/>
        <v>4361</v>
      </c>
      <c r="R28" s="16">
        <v>0</v>
      </c>
      <c r="S28" s="16">
        <v>58</v>
      </c>
      <c r="T28" s="16">
        <v>4303</v>
      </c>
      <c r="U28" s="20">
        <f t="shared" si="4"/>
        <v>2591</v>
      </c>
      <c r="V28" s="20">
        <v>2271</v>
      </c>
      <c r="W28" s="20">
        <v>21</v>
      </c>
      <c r="X28" s="20">
        <v>299</v>
      </c>
      <c r="Y28" s="20">
        <v>96</v>
      </c>
      <c r="Z28" s="16">
        <v>78</v>
      </c>
      <c r="AA28" s="16">
        <v>0</v>
      </c>
      <c r="AB28" s="42">
        <v>0</v>
      </c>
      <c r="AC28" s="16">
        <f t="shared" si="5"/>
        <v>108</v>
      </c>
      <c r="AD28" s="22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customHeight="1">
      <c r="A29" s="4">
        <v>45895</v>
      </c>
      <c r="B29" s="5" t="s">
        <v>38</v>
      </c>
      <c r="C29" s="7">
        <v>17</v>
      </c>
      <c r="D29" s="14">
        <v>0</v>
      </c>
      <c r="E29" s="12">
        <f t="shared" si="0"/>
        <v>17</v>
      </c>
      <c r="F29" s="14">
        <v>4</v>
      </c>
      <c r="G29" s="14">
        <v>11</v>
      </c>
      <c r="H29" s="12">
        <f t="shared" si="1"/>
        <v>15</v>
      </c>
      <c r="I29" s="14" t="s">
        <v>85</v>
      </c>
      <c r="J29" s="14"/>
      <c r="K29" s="14"/>
      <c r="L29" s="14"/>
      <c r="M29" s="14"/>
      <c r="N29" s="20"/>
      <c r="O29" s="36"/>
      <c r="P29" s="47">
        <f t="shared" si="2"/>
        <v>4764</v>
      </c>
      <c r="Q29" s="20">
        <f t="shared" si="3"/>
        <v>3764</v>
      </c>
      <c r="R29" s="16">
        <v>0</v>
      </c>
      <c r="S29" s="16">
        <v>10</v>
      </c>
      <c r="T29" s="16">
        <v>3754</v>
      </c>
      <c r="U29" s="20">
        <f t="shared" si="4"/>
        <v>2941</v>
      </c>
      <c r="V29" s="20">
        <v>1000</v>
      </c>
      <c r="W29" s="20">
        <v>154</v>
      </c>
      <c r="X29" s="20">
        <v>1787</v>
      </c>
      <c r="Y29" s="20">
        <v>93</v>
      </c>
      <c r="Z29" s="20">
        <v>99</v>
      </c>
      <c r="AA29" s="20">
        <v>0</v>
      </c>
      <c r="AB29" s="22">
        <v>0</v>
      </c>
      <c r="AC29" s="16">
        <f t="shared" si="5"/>
        <v>207</v>
      </c>
      <c r="AD29" s="2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customHeight="1">
      <c r="A30" s="4">
        <v>45896</v>
      </c>
      <c r="B30" s="5" t="s">
        <v>45</v>
      </c>
      <c r="C30" s="7">
        <v>16</v>
      </c>
      <c r="D30" s="14">
        <v>0</v>
      </c>
      <c r="E30" s="12">
        <f t="shared" si="0"/>
        <v>16</v>
      </c>
      <c r="F30" s="7">
        <v>4</v>
      </c>
      <c r="G30" s="7">
        <v>12</v>
      </c>
      <c r="H30" s="12">
        <f t="shared" si="1"/>
        <v>16</v>
      </c>
      <c r="I30" s="7" t="s">
        <v>86</v>
      </c>
      <c r="J30" s="14"/>
      <c r="K30" s="14"/>
      <c r="L30" s="14"/>
      <c r="M30" s="14"/>
      <c r="N30" s="20"/>
      <c r="O30" s="36"/>
      <c r="P30" s="47">
        <f t="shared" si="2"/>
        <v>7003</v>
      </c>
      <c r="Q30" s="20">
        <f t="shared" si="3"/>
        <v>6087</v>
      </c>
      <c r="R30" s="16">
        <v>0</v>
      </c>
      <c r="S30" s="16">
        <v>71</v>
      </c>
      <c r="T30" s="16">
        <v>6016</v>
      </c>
      <c r="U30" s="16">
        <f t="shared" si="4"/>
        <v>1879</v>
      </c>
      <c r="V30" s="20">
        <v>916</v>
      </c>
      <c r="W30" s="20">
        <v>159</v>
      </c>
      <c r="X30" s="20">
        <v>804</v>
      </c>
      <c r="Y30" s="20">
        <v>90</v>
      </c>
      <c r="Z30" s="20">
        <v>57</v>
      </c>
      <c r="AA30" s="20">
        <v>204</v>
      </c>
      <c r="AB30" s="22">
        <v>0</v>
      </c>
      <c r="AC30" s="16">
        <f t="shared" si="5"/>
        <v>60</v>
      </c>
      <c r="AD30" s="2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customHeight="1">
      <c r="A31" s="4">
        <v>45897</v>
      </c>
      <c r="B31" s="5" t="s">
        <v>32</v>
      </c>
      <c r="C31" s="7">
        <v>17</v>
      </c>
      <c r="D31" s="14">
        <v>0</v>
      </c>
      <c r="E31" s="12">
        <f t="shared" si="0"/>
        <v>17</v>
      </c>
      <c r="F31" s="7">
        <v>4</v>
      </c>
      <c r="G31" s="7">
        <v>10</v>
      </c>
      <c r="H31" s="12">
        <f t="shared" si="1"/>
        <v>14</v>
      </c>
      <c r="I31" s="7" t="s">
        <v>87</v>
      </c>
      <c r="J31" s="14"/>
      <c r="K31" s="14"/>
      <c r="L31" s="14"/>
      <c r="M31" s="14"/>
      <c r="N31" s="20"/>
      <c r="O31" s="36"/>
      <c r="P31" s="47">
        <f t="shared" si="2"/>
        <v>5425</v>
      </c>
      <c r="Q31" s="20">
        <f t="shared" si="3"/>
        <v>4608</v>
      </c>
      <c r="R31" s="16">
        <v>0</v>
      </c>
      <c r="S31" s="16">
        <v>48</v>
      </c>
      <c r="T31" s="16">
        <v>4560</v>
      </c>
      <c r="U31" s="20">
        <f t="shared" si="4"/>
        <v>2031</v>
      </c>
      <c r="V31" s="20">
        <v>817</v>
      </c>
      <c r="W31" s="20">
        <v>8</v>
      </c>
      <c r="X31" s="20">
        <v>1206</v>
      </c>
      <c r="Y31" s="20">
        <v>95</v>
      </c>
      <c r="Z31" s="20">
        <v>87</v>
      </c>
      <c r="AA31" s="20">
        <v>0</v>
      </c>
      <c r="AB31" s="22">
        <v>0</v>
      </c>
      <c r="AC31" s="16">
        <f t="shared" si="5"/>
        <v>147</v>
      </c>
      <c r="AD31" s="2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5.75" customHeight="1">
      <c r="A32" s="4">
        <v>45898</v>
      </c>
      <c r="B32" s="5" t="s">
        <v>42</v>
      </c>
      <c r="C32" s="7">
        <v>13.5</v>
      </c>
      <c r="D32" s="14">
        <v>0</v>
      </c>
      <c r="E32" s="12">
        <f t="shared" si="0"/>
        <v>13.5</v>
      </c>
      <c r="F32" s="7">
        <v>4</v>
      </c>
      <c r="G32" s="7">
        <v>14</v>
      </c>
      <c r="H32" s="12">
        <f t="shared" si="1"/>
        <v>18</v>
      </c>
      <c r="I32" s="7" t="s">
        <v>88</v>
      </c>
      <c r="J32" s="14"/>
      <c r="K32" s="14"/>
      <c r="L32" s="14"/>
      <c r="M32" s="14"/>
      <c r="N32" s="20"/>
      <c r="O32" s="36"/>
      <c r="P32" s="47">
        <f t="shared" si="2"/>
        <v>6172</v>
      </c>
      <c r="Q32" s="20">
        <f t="shared" si="3"/>
        <v>5506</v>
      </c>
      <c r="R32" s="16">
        <v>0</v>
      </c>
      <c r="S32" s="16">
        <v>40</v>
      </c>
      <c r="T32" s="16">
        <v>5466</v>
      </c>
      <c r="U32" s="20">
        <f t="shared" si="4"/>
        <v>2506</v>
      </c>
      <c r="V32" s="20">
        <v>666</v>
      </c>
      <c r="W32" s="20">
        <v>3</v>
      </c>
      <c r="X32" s="20">
        <v>1837</v>
      </c>
      <c r="Y32" s="20">
        <v>92</v>
      </c>
      <c r="Z32" s="20">
        <v>137</v>
      </c>
      <c r="AA32" s="20">
        <v>145</v>
      </c>
      <c r="AB32" s="22">
        <v>0</v>
      </c>
      <c r="AC32" s="16">
        <f t="shared" si="5"/>
        <v>139</v>
      </c>
      <c r="AD32" s="2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5.75" customHeight="1">
      <c r="A33" s="4">
        <v>45899</v>
      </c>
      <c r="B33" s="5" t="s">
        <v>39</v>
      </c>
      <c r="C33" s="7">
        <v>2</v>
      </c>
      <c r="D33" s="14">
        <v>0</v>
      </c>
      <c r="E33" s="12">
        <f t="shared" si="0"/>
        <v>2</v>
      </c>
      <c r="F33" s="14">
        <v>0</v>
      </c>
      <c r="G33" s="14">
        <v>0</v>
      </c>
      <c r="H33" s="12">
        <f t="shared" si="1"/>
        <v>0</v>
      </c>
      <c r="I33" s="14"/>
      <c r="J33" s="14"/>
      <c r="K33" s="14"/>
      <c r="L33" s="14"/>
      <c r="M33" s="14"/>
      <c r="N33" s="20"/>
      <c r="O33" s="36"/>
      <c r="P33" s="47">
        <f t="shared" si="2"/>
        <v>242</v>
      </c>
      <c r="Q33" s="20">
        <f t="shared" si="3"/>
        <v>168</v>
      </c>
      <c r="R33" s="16">
        <v>0</v>
      </c>
      <c r="S33" s="16">
        <v>0</v>
      </c>
      <c r="T33" s="16">
        <v>168</v>
      </c>
      <c r="U33" s="20">
        <f t="shared" si="4"/>
        <v>242</v>
      </c>
      <c r="V33" s="20">
        <v>74</v>
      </c>
      <c r="W33" s="20">
        <v>0</v>
      </c>
      <c r="X33" s="20">
        <v>168</v>
      </c>
      <c r="Y33" s="20">
        <v>0</v>
      </c>
      <c r="Z33" s="20">
        <v>0</v>
      </c>
      <c r="AA33" s="20">
        <v>0</v>
      </c>
      <c r="AB33" s="22">
        <v>0</v>
      </c>
      <c r="AC33" s="16">
        <f t="shared" si="5"/>
        <v>139</v>
      </c>
      <c r="AD33" s="22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customHeight="1">
      <c r="A34" s="4">
        <v>45900</v>
      </c>
      <c r="B34" s="5" t="s">
        <v>37</v>
      </c>
      <c r="C34" s="7">
        <v>2</v>
      </c>
      <c r="D34" s="14">
        <v>0</v>
      </c>
      <c r="E34" s="12">
        <f t="shared" si="0"/>
        <v>2</v>
      </c>
      <c r="F34" s="14">
        <v>0</v>
      </c>
      <c r="G34" s="14">
        <v>0</v>
      </c>
      <c r="H34" s="12">
        <f t="shared" si="1"/>
        <v>0</v>
      </c>
      <c r="I34" s="14"/>
      <c r="J34" s="14"/>
      <c r="K34" s="14"/>
      <c r="L34" s="14"/>
      <c r="M34" s="14"/>
      <c r="N34" s="20"/>
      <c r="O34" s="36"/>
      <c r="P34" s="47">
        <f t="shared" si="2"/>
        <v>487</v>
      </c>
      <c r="Q34" s="20">
        <f t="shared" si="3"/>
        <v>487</v>
      </c>
      <c r="R34" s="16">
        <v>0</v>
      </c>
      <c r="S34" s="16">
        <v>0</v>
      </c>
      <c r="T34" s="16">
        <v>487</v>
      </c>
      <c r="U34" s="20">
        <f t="shared" si="4"/>
        <v>456</v>
      </c>
      <c r="V34" s="20">
        <v>0</v>
      </c>
      <c r="W34" s="20">
        <v>0</v>
      </c>
      <c r="X34" s="20">
        <v>456</v>
      </c>
      <c r="Y34" s="20">
        <v>0</v>
      </c>
      <c r="Z34" s="20">
        <v>0</v>
      </c>
      <c r="AA34" s="20">
        <v>0</v>
      </c>
      <c r="AB34" s="22">
        <v>0</v>
      </c>
      <c r="AC34" s="16">
        <f t="shared" si="5"/>
        <v>139</v>
      </c>
      <c r="AD34" s="2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customHeight="1">
      <c r="A35" s="113" t="s">
        <v>19</v>
      </c>
      <c r="B35" s="107"/>
      <c r="C35" s="38">
        <f t="shared" ref="C35:H35" si="6">SUM(C4:C34)</f>
        <v>368.5</v>
      </c>
      <c r="D35" s="38">
        <f t="shared" si="6"/>
        <v>42</v>
      </c>
      <c r="E35" s="38">
        <f t="shared" si="6"/>
        <v>410.5</v>
      </c>
      <c r="F35" s="38">
        <f t="shared" si="6"/>
        <v>95</v>
      </c>
      <c r="G35" s="38">
        <f t="shared" si="6"/>
        <v>100</v>
      </c>
      <c r="H35" s="38">
        <f t="shared" si="6"/>
        <v>195</v>
      </c>
      <c r="I35" s="38"/>
      <c r="J35" s="38">
        <f>SUM(J4:J34)</f>
        <v>132</v>
      </c>
      <c r="K35" s="38"/>
      <c r="L35" s="38">
        <f t="shared" ref="L35:N35" si="7">SUM(L4:L34)</f>
        <v>22</v>
      </c>
      <c r="M35" s="38">
        <f t="shared" si="7"/>
        <v>15</v>
      </c>
      <c r="N35" s="40">
        <f t="shared" si="7"/>
        <v>1530</v>
      </c>
      <c r="O35" s="41"/>
      <c r="P35" s="40">
        <f t="shared" ref="P35:AB35" si="8">SUM(P4:P34)</f>
        <v>138692</v>
      </c>
      <c r="Q35" s="137">
        <f t="shared" si="8"/>
        <v>113192</v>
      </c>
      <c r="R35" s="40">
        <f t="shared" si="8"/>
        <v>0</v>
      </c>
      <c r="S35" s="40">
        <f t="shared" si="8"/>
        <v>1053</v>
      </c>
      <c r="T35" s="40">
        <f t="shared" si="8"/>
        <v>112139</v>
      </c>
      <c r="U35" s="137">
        <f t="shared" si="8"/>
        <v>54057</v>
      </c>
      <c r="V35" s="40">
        <f t="shared" si="8"/>
        <v>25500</v>
      </c>
      <c r="W35" s="40">
        <f t="shared" si="8"/>
        <v>1585</v>
      </c>
      <c r="X35" s="40">
        <f t="shared" si="8"/>
        <v>26972</v>
      </c>
      <c r="Y35" s="40">
        <f t="shared" si="8"/>
        <v>862</v>
      </c>
      <c r="Z35" s="40">
        <f t="shared" si="8"/>
        <v>2063</v>
      </c>
      <c r="AA35" s="40">
        <f t="shared" si="8"/>
        <v>1991</v>
      </c>
      <c r="AB35" s="41">
        <f t="shared" si="8"/>
        <v>1</v>
      </c>
      <c r="AC35" s="41"/>
      <c r="AD35" s="4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5.75" customHeight="1">
      <c r="A36" s="46" t="s">
        <v>69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</row>
    <row r="37" spans="1:41" ht="12.75">
      <c r="A37" s="46" t="s">
        <v>70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</row>
    <row r="38" spans="1:41" ht="12.75">
      <c r="A38" s="46" t="s">
        <v>71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</row>
    <row r="39" spans="1:41" ht="12.75">
      <c r="A39" s="46" t="s">
        <v>72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</row>
    <row r="40" spans="1:41" ht="12.75">
      <c r="A40" s="46" t="s">
        <v>73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</row>
    <row r="41" spans="1:41" ht="12.75">
      <c r="A41" s="46" t="s">
        <v>74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</row>
    <row r="42" spans="1:41" ht="12.75">
      <c r="A42" s="11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</sheetData>
  <mergeCells count="15">
    <mergeCell ref="A35:B35"/>
    <mergeCell ref="A42:AD42"/>
    <mergeCell ref="A1:A3"/>
    <mergeCell ref="B1:B3"/>
    <mergeCell ref="C1:I1"/>
    <mergeCell ref="J1:O2"/>
    <mergeCell ref="P1:P2"/>
    <mergeCell ref="Q1:T2"/>
    <mergeCell ref="U1:X2"/>
    <mergeCell ref="I2:I3"/>
    <mergeCell ref="Y1:Y2"/>
    <mergeCell ref="Z1:AC2"/>
    <mergeCell ref="AD1:AD3"/>
    <mergeCell ref="C2:E2"/>
    <mergeCell ref="F2:H2"/>
  </mergeCells>
  <phoneticPr fontId="1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Q1001"/>
  <sheetViews>
    <sheetView workbookViewId="0">
      <selection activeCell="W34" activeCellId="3" sqref="W1:Z2 W3 W4:W33 W34"/>
    </sheetView>
  </sheetViews>
  <sheetFormatPr defaultColWidth="12.5703125" defaultRowHeight="15.75" customHeight="1"/>
  <cols>
    <col min="1" max="1" width="6" customWidth="1"/>
    <col min="2" max="2" width="4.42578125" customWidth="1"/>
    <col min="3" max="7" width="9.5703125" customWidth="1"/>
    <col min="8" max="9" width="9.85546875" customWidth="1"/>
    <col min="10" max="10" width="12.42578125" customWidth="1"/>
    <col min="11" max="11" width="17.28515625" customWidth="1"/>
    <col min="12" max="16" width="9.5703125" customWidth="1"/>
    <col min="17" max="17" width="25.5703125" customWidth="1"/>
    <col min="18" max="18" width="8.28515625" customWidth="1"/>
    <col min="19" max="27" width="8.85546875" customWidth="1"/>
    <col min="28" max="31" width="8.85546875" hidden="1" customWidth="1"/>
    <col min="32" max="32" width="8.85546875" customWidth="1"/>
  </cols>
  <sheetData>
    <row r="1" spans="1:43" ht="15.75" customHeight="1">
      <c r="A1" s="109" t="s">
        <v>0</v>
      </c>
      <c r="B1" s="109" t="s">
        <v>1</v>
      </c>
      <c r="C1" s="110"/>
      <c r="D1" s="106"/>
      <c r="E1" s="106"/>
      <c r="F1" s="106"/>
      <c r="G1" s="106"/>
      <c r="H1" s="106"/>
      <c r="I1" s="106"/>
      <c r="J1" s="106"/>
      <c r="K1" s="107"/>
      <c r="L1" s="111" t="s">
        <v>3</v>
      </c>
      <c r="M1" s="95"/>
      <c r="N1" s="95"/>
      <c r="O1" s="95"/>
      <c r="P1" s="95"/>
      <c r="Q1" s="96"/>
      <c r="R1" s="115" t="s">
        <v>4</v>
      </c>
      <c r="S1" s="128" t="s">
        <v>5</v>
      </c>
      <c r="T1" s="129"/>
      <c r="U1" s="129"/>
      <c r="V1" s="130"/>
      <c r="W1" s="135" t="s">
        <v>6</v>
      </c>
      <c r="X1" s="129"/>
      <c r="Y1" s="129"/>
      <c r="Z1" s="130"/>
      <c r="AA1" s="100" t="s">
        <v>8</v>
      </c>
      <c r="AB1" s="94" t="s">
        <v>9</v>
      </c>
      <c r="AC1" s="95"/>
      <c r="AD1" s="95"/>
      <c r="AE1" s="96"/>
      <c r="AF1" s="100" t="s">
        <v>11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5.75" customHeight="1">
      <c r="A2" s="101"/>
      <c r="B2" s="101"/>
      <c r="C2" s="103" t="s">
        <v>7</v>
      </c>
      <c r="D2" s="104"/>
      <c r="E2" s="104"/>
      <c r="F2" s="105" t="s">
        <v>10</v>
      </c>
      <c r="G2" s="106"/>
      <c r="H2" s="106"/>
      <c r="I2" s="107"/>
      <c r="J2" s="48" t="s">
        <v>89</v>
      </c>
      <c r="K2" s="112" t="s">
        <v>12</v>
      </c>
      <c r="L2" s="97"/>
      <c r="M2" s="98"/>
      <c r="N2" s="98"/>
      <c r="O2" s="98"/>
      <c r="P2" s="98"/>
      <c r="Q2" s="99"/>
      <c r="R2" s="99"/>
      <c r="S2" s="131"/>
      <c r="T2" s="131"/>
      <c r="U2" s="131"/>
      <c r="V2" s="132"/>
      <c r="W2" s="136"/>
      <c r="X2" s="131"/>
      <c r="Y2" s="131"/>
      <c r="Z2" s="132"/>
      <c r="AA2" s="102"/>
      <c r="AB2" s="97"/>
      <c r="AC2" s="98"/>
      <c r="AD2" s="98"/>
      <c r="AE2" s="99"/>
      <c r="AF2" s="10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5.75" customHeight="1">
      <c r="A3" s="102"/>
      <c r="B3" s="102"/>
      <c r="C3" s="2" t="s">
        <v>22</v>
      </c>
      <c r="D3" s="2" t="s">
        <v>75</v>
      </c>
      <c r="E3" s="2" t="s">
        <v>19</v>
      </c>
      <c r="F3" s="2" t="s">
        <v>20</v>
      </c>
      <c r="G3" s="2" t="s">
        <v>21</v>
      </c>
      <c r="H3" s="2" t="s">
        <v>90</v>
      </c>
      <c r="I3" s="2" t="s">
        <v>19</v>
      </c>
      <c r="J3" s="48" t="s">
        <v>21</v>
      </c>
      <c r="K3" s="102"/>
      <c r="L3" s="2" t="s">
        <v>22</v>
      </c>
      <c r="M3" s="2" t="s">
        <v>23</v>
      </c>
      <c r="N3" s="2" t="s">
        <v>20</v>
      </c>
      <c r="O3" s="2" t="s">
        <v>21</v>
      </c>
      <c r="P3" s="2" t="s">
        <v>24</v>
      </c>
      <c r="Q3" s="2" t="s">
        <v>25</v>
      </c>
      <c r="R3" s="2" t="s">
        <v>30</v>
      </c>
      <c r="S3" s="133" t="s">
        <v>26</v>
      </c>
      <c r="T3" s="2" t="s">
        <v>27</v>
      </c>
      <c r="U3" s="2" t="s">
        <v>28</v>
      </c>
      <c r="V3" s="2" t="s">
        <v>29</v>
      </c>
      <c r="W3" s="133" t="s">
        <v>26</v>
      </c>
      <c r="X3" s="2" t="s">
        <v>27</v>
      </c>
      <c r="Y3" s="2" t="s">
        <v>28</v>
      </c>
      <c r="Z3" s="2" t="s">
        <v>29</v>
      </c>
      <c r="AA3" s="3" t="s">
        <v>31</v>
      </c>
      <c r="AB3" s="3" t="s">
        <v>33</v>
      </c>
      <c r="AC3" s="3" t="s">
        <v>34</v>
      </c>
      <c r="AD3" s="6" t="s">
        <v>35</v>
      </c>
      <c r="AE3" s="6" t="s">
        <v>36</v>
      </c>
      <c r="AF3" s="102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5.75" customHeight="1">
      <c r="A4" s="4">
        <v>45901</v>
      </c>
      <c r="B4" s="5" t="s">
        <v>44</v>
      </c>
      <c r="C4" s="7">
        <v>10</v>
      </c>
      <c r="D4" s="7">
        <f>4+5</f>
        <v>9</v>
      </c>
      <c r="E4" s="12">
        <f t="shared" ref="E4:E33" si="0">C4+D4</f>
        <v>19</v>
      </c>
      <c r="F4" s="7">
        <v>5</v>
      </c>
      <c r="G4" s="14">
        <v>24</v>
      </c>
      <c r="H4" s="7">
        <v>0</v>
      </c>
      <c r="I4" s="12">
        <f t="shared" ref="I4:I33" si="1">F4+G4+H4</f>
        <v>29</v>
      </c>
      <c r="J4" s="14">
        <v>0</v>
      </c>
      <c r="K4" s="14" t="s">
        <v>46</v>
      </c>
      <c r="L4" s="7">
        <v>9</v>
      </c>
      <c r="M4" s="7"/>
      <c r="N4" s="7">
        <v>5</v>
      </c>
      <c r="O4" s="7">
        <f>3+4</f>
        <v>7</v>
      </c>
      <c r="P4" s="16" t="s">
        <v>91</v>
      </c>
      <c r="Q4" s="18" t="s">
        <v>46</v>
      </c>
      <c r="R4" s="47">
        <f t="shared" ref="R4:R33" si="2">S4+X4</f>
        <v>20408</v>
      </c>
      <c r="S4" s="138">
        <f t="shared" ref="S4:S33" si="3">T4+U4+V4</f>
        <v>18598</v>
      </c>
      <c r="T4" s="16">
        <v>0</v>
      </c>
      <c r="U4" s="16">
        <v>25</v>
      </c>
      <c r="V4" s="16">
        <v>18573</v>
      </c>
      <c r="W4" s="138">
        <f t="shared" ref="W4:W33" si="4">X4+Y4+Z4</f>
        <v>6999</v>
      </c>
      <c r="X4" s="16">
        <v>1810</v>
      </c>
      <c r="Y4" s="16">
        <v>107</v>
      </c>
      <c r="Z4" s="16">
        <v>5082</v>
      </c>
      <c r="AA4" s="20">
        <v>91</v>
      </c>
      <c r="AB4" s="16">
        <v>105</v>
      </c>
      <c r="AC4" s="16">
        <v>0</v>
      </c>
      <c r="AD4" s="42">
        <v>0</v>
      </c>
      <c r="AE4" s="16">
        <f>139+AB4-AC4-AD4</f>
        <v>244</v>
      </c>
      <c r="AF4" s="4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5.75" customHeight="1">
      <c r="A5" s="4">
        <v>45902</v>
      </c>
      <c r="B5" s="5" t="s">
        <v>38</v>
      </c>
      <c r="C5" s="7">
        <v>10</v>
      </c>
      <c r="D5" s="7">
        <v>17</v>
      </c>
      <c r="E5" s="12">
        <f t="shared" si="0"/>
        <v>27</v>
      </c>
      <c r="F5" s="7">
        <v>5</v>
      </c>
      <c r="G5" s="14">
        <v>24</v>
      </c>
      <c r="H5" s="7">
        <v>0</v>
      </c>
      <c r="I5" s="12">
        <f t="shared" si="1"/>
        <v>29</v>
      </c>
      <c r="J5" s="14">
        <v>0</v>
      </c>
      <c r="K5" s="14" t="s">
        <v>46</v>
      </c>
      <c r="L5" s="7">
        <v>9</v>
      </c>
      <c r="M5" s="7"/>
      <c r="N5" s="7">
        <v>5</v>
      </c>
      <c r="O5" s="7">
        <v>8</v>
      </c>
      <c r="P5" s="16" t="s">
        <v>92</v>
      </c>
      <c r="Q5" s="18" t="s">
        <v>46</v>
      </c>
      <c r="R5" s="47">
        <f t="shared" si="2"/>
        <v>25165</v>
      </c>
      <c r="S5" s="138">
        <f t="shared" si="3"/>
        <v>24550</v>
      </c>
      <c r="T5" s="16">
        <v>0</v>
      </c>
      <c r="U5" s="16">
        <v>18</v>
      </c>
      <c r="V5" s="16">
        <v>24532</v>
      </c>
      <c r="W5" s="138">
        <f t="shared" si="4"/>
        <v>6861</v>
      </c>
      <c r="X5" s="16">
        <v>615</v>
      </c>
      <c r="Y5" s="16">
        <v>6</v>
      </c>
      <c r="Z5" s="16">
        <v>6240</v>
      </c>
      <c r="AA5" s="20">
        <v>91</v>
      </c>
      <c r="AB5" s="16">
        <v>131</v>
      </c>
      <c r="AC5" s="16">
        <v>0</v>
      </c>
      <c r="AD5" s="16">
        <v>0</v>
      </c>
      <c r="AE5" s="16">
        <f t="shared" ref="AE5:AE28" si="5">AE4+AB5-AC5-AD5</f>
        <v>375</v>
      </c>
      <c r="AF5" s="42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5.75" customHeight="1">
      <c r="A6" s="4">
        <v>45903</v>
      </c>
      <c r="B6" s="5" t="s">
        <v>45</v>
      </c>
      <c r="C6" s="7">
        <v>10</v>
      </c>
      <c r="D6" s="7">
        <v>16</v>
      </c>
      <c r="E6" s="12">
        <f t="shared" si="0"/>
        <v>26</v>
      </c>
      <c r="F6" s="7">
        <v>5</v>
      </c>
      <c r="G6" s="14">
        <v>53.5</v>
      </c>
      <c r="H6" s="7">
        <v>0</v>
      </c>
      <c r="I6" s="12">
        <f t="shared" si="1"/>
        <v>58.5</v>
      </c>
      <c r="J6" s="14">
        <v>16</v>
      </c>
      <c r="K6" s="14" t="s">
        <v>46</v>
      </c>
      <c r="L6" s="7">
        <v>9</v>
      </c>
      <c r="M6" s="7"/>
      <c r="N6" s="7">
        <v>5</v>
      </c>
      <c r="O6" s="7">
        <v>15</v>
      </c>
      <c r="P6" s="16" t="s">
        <v>93</v>
      </c>
      <c r="Q6" s="18" t="s">
        <v>46</v>
      </c>
      <c r="R6" s="47">
        <f t="shared" si="2"/>
        <v>27174</v>
      </c>
      <c r="S6" s="138">
        <f t="shared" si="3"/>
        <v>26241</v>
      </c>
      <c r="T6" s="16">
        <v>0</v>
      </c>
      <c r="U6" s="16">
        <v>0</v>
      </c>
      <c r="V6" s="16">
        <v>26241</v>
      </c>
      <c r="W6" s="138">
        <f t="shared" si="4"/>
        <v>8105</v>
      </c>
      <c r="X6" s="16">
        <v>933</v>
      </c>
      <c r="Y6" s="16">
        <v>5</v>
      </c>
      <c r="Z6" s="16">
        <v>7167</v>
      </c>
      <c r="AA6" s="20">
        <v>93</v>
      </c>
      <c r="AB6" s="20">
        <v>124</v>
      </c>
      <c r="AC6" s="20">
        <v>372</v>
      </c>
      <c r="AD6" s="16">
        <v>0</v>
      </c>
      <c r="AE6" s="16">
        <f t="shared" si="5"/>
        <v>127</v>
      </c>
      <c r="AF6" s="22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5.75" customHeight="1">
      <c r="A7" s="4">
        <v>45904</v>
      </c>
      <c r="B7" s="5" t="s">
        <v>32</v>
      </c>
      <c r="C7" s="7">
        <v>9</v>
      </c>
      <c r="D7" s="7">
        <v>7</v>
      </c>
      <c r="E7" s="12">
        <f t="shared" si="0"/>
        <v>16</v>
      </c>
      <c r="F7" s="7">
        <v>5</v>
      </c>
      <c r="G7" s="14">
        <v>41</v>
      </c>
      <c r="H7" s="7">
        <v>2</v>
      </c>
      <c r="I7" s="12">
        <f t="shared" si="1"/>
        <v>48</v>
      </c>
      <c r="J7" s="14">
        <v>9</v>
      </c>
      <c r="K7" s="14" t="s">
        <v>46</v>
      </c>
      <c r="L7" s="7">
        <v>9</v>
      </c>
      <c r="M7" s="7"/>
      <c r="N7" s="7">
        <v>5</v>
      </c>
      <c r="O7" s="7">
        <v>11</v>
      </c>
      <c r="P7" s="16" t="s">
        <v>94</v>
      </c>
      <c r="Q7" s="18" t="s">
        <v>46</v>
      </c>
      <c r="R7" s="47">
        <f t="shared" si="2"/>
        <v>36884</v>
      </c>
      <c r="S7" s="138">
        <f t="shared" si="3"/>
        <v>35672</v>
      </c>
      <c r="T7" s="16">
        <v>0</v>
      </c>
      <c r="U7" s="16">
        <v>62</v>
      </c>
      <c r="V7" s="16">
        <v>35610</v>
      </c>
      <c r="W7" s="138">
        <f t="shared" si="4"/>
        <v>5838</v>
      </c>
      <c r="X7" s="16">
        <v>1212</v>
      </c>
      <c r="Y7" s="16">
        <v>6</v>
      </c>
      <c r="Z7" s="16">
        <v>4620</v>
      </c>
      <c r="AA7" s="20">
        <v>91</v>
      </c>
      <c r="AB7" s="20">
        <v>268</v>
      </c>
      <c r="AC7" s="16">
        <v>0</v>
      </c>
      <c r="AD7" s="16">
        <v>0</v>
      </c>
      <c r="AE7" s="16">
        <f t="shared" si="5"/>
        <v>395</v>
      </c>
      <c r="AF7" s="2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5.75" customHeight="1">
      <c r="A8" s="4">
        <v>45905</v>
      </c>
      <c r="B8" s="5" t="s">
        <v>42</v>
      </c>
      <c r="C8" s="7">
        <v>10</v>
      </c>
      <c r="D8" s="7">
        <v>13</v>
      </c>
      <c r="E8" s="12">
        <f t="shared" si="0"/>
        <v>23</v>
      </c>
      <c r="F8" s="7">
        <v>5</v>
      </c>
      <c r="G8" s="14">
        <v>29</v>
      </c>
      <c r="H8" s="7">
        <v>2</v>
      </c>
      <c r="I8" s="12">
        <f t="shared" si="1"/>
        <v>36</v>
      </c>
      <c r="J8" s="14">
        <v>13</v>
      </c>
      <c r="K8" s="14" t="s">
        <v>46</v>
      </c>
      <c r="L8" s="7">
        <v>9</v>
      </c>
      <c r="M8" s="7"/>
      <c r="N8" s="7">
        <v>5</v>
      </c>
      <c r="O8" s="7">
        <v>7</v>
      </c>
      <c r="P8" s="16" t="s">
        <v>95</v>
      </c>
      <c r="Q8" s="18" t="s">
        <v>46</v>
      </c>
      <c r="R8" s="47">
        <f t="shared" si="2"/>
        <v>29645</v>
      </c>
      <c r="S8" s="138">
        <f t="shared" si="3"/>
        <v>28885</v>
      </c>
      <c r="T8" s="16">
        <v>0</v>
      </c>
      <c r="U8" s="20">
        <v>39</v>
      </c>
      <c r="V8" s="20">
        <v>28846</v>
      </c>
      <c r="W8" s="138">
        <f t="shared" si="4"/>
        <v>5170</v>
      </c>
      <c r="X8" s="16">
        <v>760</v>
      </c>
      <c r="Y8" s="16">
        <v>7</v>
      </c>
      <c r="Z8" s="16">
        <v>4403</v>
      </c>
      <c r="AA8" s="20">
        <v>102</v>
      </c>
      <c r="AB8" s="20">
        <v>0</v>
      </c>
      <c r="AC8" s="20">
        <v>369</v>
      </c>
      <c r="AD8" s="22">
        <v>0</v>
      </c>
      <c r="AE8" s="16">
        <f t="shared" si="5"/>
        <v>26</v>
      </c>
      <c r="AF8" s="22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5.75" customHeight="1">
      <c r="A9" s="49">
        <v>45906</v>
      </c>
      <c r="B9" s="50" t="s">
        <v>39</v>
      </c>
      <c r="C9" s="7">
        <v>8</v>
      </c>
      <c r="D9" s="7">
        <v>8</v>
      </c>
      <c r="E9" s="12">
        <f t="shared" si="0"/>
        <v>16</v>
      </c>
      <c r="F9" s="7">
        <v>5</v>
      </c>
      <c r="G9" s="14">
        <v>15</v>
      </c>
      <c r="H9" s="7">
        <v>4</v>
      </c>
      <c r="I9" s="12">
        <f t="shared" si="1"/>
        <v>24</v>
      </c>
      <c r="J9" s="14">
        <v>0</v>
      </c>
      <c r="K9" s="14" t="s">
        <v>46</v>
      </c>
      <c r="L9" s="7"/>
      <c r="M9" s="7"/>
      <c r="N9" s="7"/>
      <c r="O9" s="7"/>
      <c r="P9" s="16"/>
      <c r="Q9" s="18"/>
      <c r="R9" s="47">
        <f t="shared" si="2"/>
        <v>21336</v>
      </c>
      <c r="S9" s="138">
        <f t="shared" si="3"/>
        <v>21232</v>
      </c>
      <c r="T9" s="16">
        <v>0</v>
      </c>
      <c r="U9" s="20">
        <v>91</v>
      </c>
      <c r="V9" s="20">
        <v>21141</v>
      </c>
      <c r="W9" s="138">
        <f t="shared" si="4"/>
        <v>2583</v>
      </c>
      <c r="X9" s="16">
        <v>104</v>
      </c>
      <c r="Y9" s="16">
        <v>193</v>
      </c>
      <c r="Z9" s="16">
        <v>2286</v>
      </c>
      <c r="AA9" s="20">
        <v>0</v>
      </c>
      <c r="AB9" s="20">
        <v>0</v>
      </c>
      <c r="AC9" s="20">
        <v>0</v>
      </c>
      <c r="AD9" s="22">
        <v>0</v>
      </c>
      <c r="AE9" s="16">
        <f t="shared" si="5"/>
        <v>26</v>
      </c>
      <c r="AF9" s="2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5.75" customHeight="1">
      <c r="A10" s="49">
        <v>45907</v>
      </c>
      <c r="B10" s="50" t="s">
        <v>37</v>
      </c>
      <c r="C10" s="25">
        <v>10</v>
      </c>
      <c r="D10" s="7">
        <v>8</v>
      </c>
      <c r="E10" s="12">
        <f t="shared" si="0"/>
        <v>18</v>
      </c>
      <c r="F10" s="7">
        <v>5</v>
      </c>
      <c r="G10" s="14">
        <v>17</v>
      </c>
      <c r="H10" s="25">
        <v>4</v>
      </c>
      <c r="I10" s="12">
        <f t="shared" si="1"/>
        <v>26</v>
      </c>
      <c r="J10" s="14">
        <v>0</v>
      </c>
      <c r="K10" s="14" t="s">
        <v>46</v>
      </c>
      <c r="L10" s="25"/>
      <c r="M10" s="25"/>
      <c r="N10" s="25"/>
      <c r="O10" s="25"/>
      <c r="P10" s="16"/>
      <c r="Q10" s="18"/>
      <c r="R10" s="47">
        <f t="shared" si="2"/>
        <v>21980</v>
      </c>
      <c r="S10" s="139">
        <f t="shared" si="3"/>
        <v>21732</v>
      </c>
      <c r="T10" s="35">
        <v>0</v>
      </c>
      <c r="U10" s="35">
        <v>28</v>
      </c>
      <c r="V10" s="35">
        <v>21704</v>
      </c>
      <c r="W10" s="139">
        <f t="shared" si="4"/>
        <v>3147</v>
      </c>
      <c r="X10" s="29">
        <v>248</v>
      </c>
      <c r="Y10" s="29">
        <v>141</v>
      </c>
      <c r="Z10" s="29">
        <v>2758</v>
      </c>
      <c r="AA10" s="35">
        <v>0</v>
      </c>
      <c r="AB10" s="35">
        <v>0</v>
      </c>
      <c r="AC10" s="35">
        <v>0</v>
      </c>
      <c r="AD10" s="34">
        <v>0</v>
      </c>
      <c r="AE10" s="16">
        <f t="shared" si="5"/>
        <v>26</v>
      </c>
      <c r="AF10" s="34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5.75" customHeight="1">
      <c r="A11" s="4">
        <v>45908</v>
      </c>
      <c r="B11" s="5" t="s">
        <v>44</v>
      </c>
      <c r="C11" s="7">
        <v>9.5</v>
      </c>
      <c r="D11" s="7">
        <v>5</v>
      </c>
      <c r="E11" s="12">
        <f t="shared" si="0"/>
        <v>14.5</v>
      </c>
      <c r="F11" s="7">
        <v>5</v>
      </c>
      <c r="G11" s="14">
        <v>41</v>
      </c>
      <c r="H11" s="7">
        <v>4</v>
      </c>
      <c r="I11" s="12">
        <f t="shared" si="1"/>
        <v>50</v>
      </c>
      <c r="J11" s="14">
        <v>0</v>
      </c>
      <c r="K11" s="14" t="s">
        <v>46</v>
      </c>
      <c r="L11" s="7">
        <v>8</v>
      </c>
      <c r="M11" s="7"/>
      <c r="N11" s="7">
        <v>5</v>
      </c>
      <c r="O11" s="7">
        <v>11</v>
      </c>
      <c r="P11" s="16" t="s">
        <v>94</v>
      </c>
      <c r="Q11" s="18" t="s">
        <v>46</v>
      </c>
      <c r="R11" s="47">
        <f t="shared" si="2"/>
        <v>37045</v>
      </c>
      <c r="S11" s="138">
        <f t="shared" si="3"/>
        <v>34916</v>
      </c>
      <c r="T11" s="16">
        <v>0</v>
      </c>
      <c r="U11" s="16">
        <v>53</v>
      </c>
      <c r="V11" s="16">
        <v>34863</v>
      </c>
      <c r="W11" s="138">
        <f t="shared" si="4"/>
        <v>5941</v>
      </c>
      <c r="X11" s="16">
        <v>2129</v>
      </c>
      <c r="Y11" s="16">
        <v>27</v>
      </c>
      <c r="Z11" s="16">
        <v>3785</v>
      </c>
      <c r="AA11" s="20">
        <v>96</v>
      </c>
      <c r="AB11" s="16">
        <v>196</v>
      </c>
      <c r="AC11" s="35">
        <v>0</v>
      </c>
      <c r="AD11" s="34">
        <v>0</v>
      </c>
      <c r="AE11" s="16">
        <f t="shared" si="5"/>
        <v>222</v>
      </c>
      <c r="AF11" s="2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5.75" customHeight="1">
      <c r="A12" s="4">
        <v>45909</v>
      </c>
      <c r="B12" s="5" t="s">
        <v>38</v>
      </c>
      <c r="C12" s="7">
        <v>10</v>
      </c>
      <c r="D12" s="7">
        <v>5</v>
      </c>
      <c r="E12" s="12">
        <f t="shared" si="0"/>
        <v>15</v>
      </c>
      <c r="F12" s="7">
        <v>5</v>
      </c>
      <c r="G12" s="14">
        <v>27</v>
      </c>
      <c r="H12" s="7">
        <v>4</v>
      </c>
      <c r="I12" s="12">
        <f t="shared" si="1"/>
        <v>36</v>
      </c>
      <c r="J12" s="14">
        <v>0</v>
      </c>
      <c r="K12" s="14" t="s">
        <v>46</v>
      </c>
      <c r="L12" s="7">
        <v>9</v>
      </c>
      <c r="M12" s="7"/>
      <c r="N12" s="7">
        <v>5</v>
      </c>
      <c r="O12" s="7">
        <v>11</v>
      </c>
      <c r="P12" s="16" t="s">
        <v>94</v>
      </c>
      <c r="Q12" s="18" t="s">
        <v>46</v>
      </c>
      <c r="R12" s="47">
        <f t="shared" si="2"/>
        <v>18919</v>
      </c>
      <c r="S12" s="138">
        <f t="shared" si="3"/>
        <v>17795</v>
      </c>
      <c r="T12" s="16">
        <v>0</v>
      </c>
      <c r="U12" s="16">
        <v>16</v>
      </c>
      <c r="V12" s="16">
        <v>17779</v>
      </c>
      <c r="W12" s="138">
        <f t="shared" si="4"/>
        <v>6570</v>
      </c>
      <c r="X12" s="16">
        <v>1124</v>
      </c>
      <c r="Y12" s="16">
        <v>34</v>
      </c>
      <c r="Z12" s="16">
        <v>5412</v>
      </c>
      <c r="AA12" s="20">
        <v>117</v>
      </c>
      <c r="AB12" s="16">
        <v>49</v>
      </c>
      <c r="AC12" s="16">
        <v>0</v>
      </c>
      <c r="AD12" s="16">
        <v>0</v>
      </c>
      <c r="AE12" s="16">
        <f t="shared" si="5"/>
        <v>271</v>
      </c>
      <c r="AF12" s="2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5.75" customHeight="1">
      <c r="A13" s="4">
        <v>45910</v>
      </c>
      <c r="B13" s="5" t="s">
        <v>45</v>
      </c>
      <c r="C13" s="7">
        <v>10</v>
      </c>
      <c r="D13" s="7">
        <v>4</v>
      </c>
      <c r="E13" s="12">
        <f t="shared" si="0"/>
        <v>14</v>
      </c>
      <c r="F13" s="7">
        <v>5</v>
      </c>
      <c r="G13" s="14">
        <v>29</v>
      </c>
      <c r="H13" s="7">
        <v>2</v>
      </c>
      <c r="I13" s="12">
        <f t="shared" si="1"/>
        <v>36</v>
      </c>
      <c r="J13" s="14">
        <v>0</v>
      </c>
      <c r="K13" s="14" t="s">
        <v>46</v>
      </c>
      <c r="L13" s="7">
        <v>9</v>
      </c>
      <c r="M13" s="7"/>
      <c r="N13" s="7">
        <v>5</v>
      </c>
      <c r="O13" s="7">
        <v>7</v>
      </c>
      <c r="P13" s="16" t="s">
        <v>94</v>
      </c>
      <c r="Q13" s="18" t="s">
        <v>46</v>
      </c>
      <c r="R13" s="47">
        <f t="shared" si="2"/>
        <v>27643</v>
      </c>
      <c r="S13" s="138">
        <f t="shared" si="3"/>
        <v>26516</v>
      </c>
      <c r="T13" s="16">
        <v>0</v>
      </c>
      <c r="U13" s="16">
        <v>53</v>
      </c>
      <c r="V13" s="16">
        <v>26463</v>
      </c>
      <c r="W13" s="138">
        <f t="shared" si="4"/>
        <v>4161</v>
      </c>
      <c r="X13" s="16">
        <v>1127</v>
      </c>
      <c r="Y13" s="16">
        <v>46</v>
      </c>
      <c r="Z13" s="16">
        <v>2988</v>
      </c>
      <c r="AA13" s="20">
        <v>4</v>
      </c>
      <c r="AB13" s="16">
        <v>98</v>
      </c>
      <c r="AC13" s="20">
        <v>343</v>
      </c>
      <c r="AD13" s="20">
        <v>0</v>
      </c>
      <c r="AE13" s="16">
        <f t="shared" si="5"/>
        <v>26</v>
      </c>
      <c r="AF13" s="2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5.75" customHeight="1">
      <c r="A14" s="4">
        <v>45911</v>
      </c>
      <c r="B14" s="5" t="s">
        <v>32</v>
      </c>
      <c r="C14" s="7">
        <v>10</v>
      </c>
      <c r="D14" s="7">
        <v>3</v>
      </c>
      <c r="E14" s="12">
        <f t="shared" si="0"/>
        <v>13</v>
      </c>
      <c r="F14" s="7">
        <v>5</v>
      </c>
      <c r="G14" s="14">
        <v>15</v>
      </c>
      <c r="H14" s="7">
        <v>2</v>
      </c>
      <c r="I14" s="12">
        <f t="shared" si="1"/>
        <v>22</v>
      </c>
      <c r="J14" s="14">
        <v>0</v>
      </c>
      <c r="K14" s="14" t="s">
        <v>46</v>
      </c>
      <c r="L14" s="7">
        <v>9</v>
      </c>
      <c r="M14" s="7"/>
      <c r="N14" s="7">
        <v>4</v>
      </c>
      <c r="O14" s="7">
        <v>2</v>
      </c>
      <c r="P14" s="16" t="s">
        <v>94</v>
      </c>
      <c r="Q14" s="18" t="s">
        <v>46</v>
      </c>
      <c r="R14" s="47">
        <f t="shared" si="2"/>
        <v>23650</v>
      </c>
      <c r="S14" s="138">
        <f t="shared" si="3"/>
        <v>22598</v>
      </c>
      <c r="T14" s="16">
        <v>0</v>
      </c>
      <c r="U14" s="16">
        <v>35</v>
      </c>
      <c r="V14" s="16">
        <v>22563</v>
      </c>
      <c r="W14" s="138">
        <f t="shared" si="4"/>
        <v>2815</v>
      </c>
      <c r="X14" s="16">
        <v>1052</v>
      </c>
      <c r="Y14" s="16">
        <v>35</v>
      </c>
      <c r="Z14" s="16">
        <v>1728</v>
      </c>
      <c r="AA14" s="20">
        <v>6</v>
      </c>
      <c r="AB14" s="16">
        <v>126</v>
      </c>
      <c r="AC14" s="16">
        <v>0</v>
      </c>
      <c r="AD14" s="42">
        <v>0</v>
      </c>
      <c r="AE14" s="16">
        <f t="shared" si="5"/>
        <v>152</v>
      </c>
      <c r="AF14" s="2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5.75" customHeight="1">
      <c r="A15" s="4">
        <v>45912</v>
      </c>
      <c r="B15" s="5" t="s">
        <v>42</v>
      </c>
      <c r="C15" s="7">
        <v>12</v>
      </c>
      <c r="D15" s="7">
        <v>2</v>
      </c>
      <c r="E15" s="12">
        <f t="shared" si="0"/>
        <v>14</v>
      </c>
      <c r="F15" s="7">
        <v>5</v>
      </c>
      <c r="G15" s="14">
        <v>24</v>
      </c>
      <c r="H15" s="7">
        <v>2</v>
      </c>
      <c r="I15" s="12">
        <f t="shared" si="1"/>
        <v>31</v>
      </c>
      <c r="J15" s="14">
        <v>0</v>
      </c>
      <c r="K15" s="14" t="s">
        <v>96</v>
      </c>
      <c r="L15" s="7">
        <v>9</v>
      </c>
      <c r="M15" s="7"/>
      <c r="N15" s="7">
        <v>5</v>
      </c>
      <c r="O15" s="7">
        <v>14</v>
      </c>
      <c r="P15" s="18">
        <v>120</v>
      </c>
      <c r="Q15" s="18" t="s">
        <v>46</v>
      </c>
      <c r="R15" s="47">
        <f t="shared" si="2"/>
        <v>29349</v>
      </c>
      <c r="S15" s="138">
        <f t="shared" si="3"/>
        <v>27674</v>
      </c>
      <c r="T15" s="16">
        <v>0</v>
      </c>
      <c r="U15" s="16">
        <v>46</v>
      </c>
      <c r="V15" s="16">
        <v>27628</v>
      </c>
      <c r="W15" s="138">
        <f t="shared" si="4"/>
        <v>3403</v>
      </c>
      <c r="X15" s="16">
        <v>1675</v>
      </c>
      <c r="Y15" s="16">
        <v>13</v>
      </c>
      <c r="Z15" s="16">
        <v>1715</v>
      </c>
      <c r="AA15" s="20">
        <v>1</v>
      </c>
      <c r="AB15" s="16">
        <v>72</v>
      </c>
      <c r="AC15" s="20">
        <v>123</v>
      </c>
      <c r="AD15" s="22">
        <v>0</v>
      </c>
      <c r="AE15" s="16">
        <f t="shared" si="5"/>
        <v>101</v>
      </c>
      <c r="AF15" s="2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5.75" customHeight="1">
      <c r="A16" s="4">
        <v>45913</v>
      </c>
      <c r="B16" s="50" t="s">
        <v>39</v>
      </c>
      <c r="C16" s="7">
        <v>10</v>
      </c>
      <c r="D16" s="7">
        <v>2</v>
      </c>
      <c r="E16" s="12">
        <f t="shared" si="0"/>
        <v>12</v>
      </c>
      <c r="F16" s="7">
        <v>5</v>
      </c>
      <c r="G16" s="14">
        <v>7</v>
      </c>
      <c r="H16" s="7">
        <v>0</v>
      </c>
      <c r="I16" s="12">
        <f t="shared" si="1"/>
        <v>12</v>
      </c>
      <c r="J16" s="14">
        <v>0</v>
      </c>
      <c r="K16" s="14" t="s">
        <v>46</v>
      </c>
      <c r="L16" s="7"/>
      <c r="M16" s="7"/>
      <c r="N16" s="7"/>
      <c r="O16" s="7"/>
      <c r="P16" s="16"/>
      <c r="Q16" s="18"/>
      <c r="R16" s="47">
        <f t="shared" si="2"/>
        <v>19136</v>
      </c>
      <c r="S16" s="138">
        <f t="shared" si="3"/>
        <v>19136</v>
      </c>
      <c r="T16" s="16">
        <v>0</v>
      </c>
      <c r="U16" s="16">
        <v>23</v>
      </c>
      <c r="V16" s="16">
        <v>19113</v>
      </c>
      <c r="W16" s="138">
        <f t="shared" si="4"/>
        <v>2203</v>
      </c>
      <c r="X16" s="16">
        <v>0</v>
      </c>
      <c r="Y16" s="16">
        <v>1</v>
      </c>
      <c r="Z16" s="16">
        <v>2202</v>
      </c>
      <c r="AA16" s="20">
        <v>0</v>
      </c>
      <c r="AB16" s="20">
        <v>0</v>
      </c>
      <c r="AC16" s="20">
        <v>0</v>
      </c>
      <c r="AD16" s="22">
        <v>0</v>
      </c>
      <c r="AE16" s="16">
        <f t="shared" si="5"/>
        <v>101</v>
      </c>
      <c r="AF16" s="2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5.75" customHeight="1">
      <c r="A17" s="4">
        <v>45914</v>
      </c>
      <c r="B17" s="50" t="s">
        <v>37</v>
      </c>
      <c r="C17" s="7">
        <v>10</v>
      </c>
      <c r="D17" s="7">
        <v>0</v>
      </c>
      <c r="E17" s="12">
        <f t="shared" si="0"/>
        <v>10</v>
      </c>
      <c r="F17" s="7">
        <v>3</v>
      </c>
      <c r="G17" s="14">
        <v>15</v>
      </c>
      <c r="H17" s="7">
        <v>0</v>
      </c>
      <c r="I17" s="12">
        <f t="shared" si="1"/>
        <v>18</v>
      </c>
      <c r="J17" s="14">
        <v>0</v>
      </c>
      <c r="K17" s="14" t="s">
        <v>46</v>
      </c>
      <c r="L17" s="7"/>
      <c r="M17" s="7"/>
      <c r="N17" s="7"/>
      <c r="O17" s="7"/>
      <c r="P17" s="16"/>
      <c r="Q17" s="18"/>
      <c r="R17" s="47">
        <f t="shared" si="2"/>
        <v>20505</v>
      </c>
      <c r="S17" s="138">
        <f t="shared" si="3"/>
        <v>20370</v>
      </c>
      <c r="T17" s="16">
        <v>0</v>
      </c>
      <c r="U17" s="16">
        <v>27</v>
      </c>
      <c r="V17" s="16">
        <v>20343</v>
      </c>
      <c r="W17" s="138">
        <f t="shared" si="4"/>
        <v>739</v>
      </c>
      <c r="X17" s="16">
        <v>135</v>
      </c>
      <c r="Y17" s="16">
        <v>0</v>
      </c>
      <c r="Z17" s="16">
        <v>604</v>
      </c>
      <c r="AA17" s="20">
        <v>0</v>
      </c>
      <c r="AB17" s="20">
        <v>0</v>
      </c>
      <c r="AC17" s="20">
        <v>0</v>
      </c>
      <c r="AD17" s="22">
        <v>0</v>
      </c>
      <c r="AE17" s="16">
        <f t="shared" si="5"/>
        <v>101</v>
      </c>
      <c r="AF17" s="2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5.75" customHeight="1">
      <c r="A18" s="4">
        <v>45915</v>
      </c>
      <c r="B18" s="5" t="s">
        <v>44</v>
      </c>
      <c r="C18" s="7">
        <v>12</v>
      </c>
      <c r="D18" s="7">
        <v>0</v>
      </c>
      <c r="E18" s="12">
        <f t="shared" si="0"/>
        <v>12</v>
      </c>
      <c r="F18" s="7">
        <v>5</v>
      </c>
      <c r="G18" s="14">
        <v>10</v>
      </c>
      <c r="H18" s="7">
        <v>0</v>
      </c>
      <c r="I18" s="12">
        <f t="shared" si="1"/>
        <v>15</v>
      </c>
      <c r="J18" s="14">
        <v>0</v>
      </c>
      <c r="K18" s="14" t="s">
        <v>96</v>
      </c>
      <c r="L18" s="51">
        <v>11</v>
      </c>
      <c r="M18" s="7"/>
      <c r="N18" s="51">
        <v>5</v>
      </c>
      <c r="O18" s="51"/>
      <c r="P18" s="16" t="s">
        <v>97</v>
      </c>
      <c r="Q18" s="18" t="s">
        <v>46</v>
      </c>
      <c r="R18" s="47">
        <f t="shared" si="2"/>
        <v>14500</v>
      </c>
      <c r="S18" s="138">
        <f t="shared" si="3"/>
        <v>12392</v>
      </c>
      <c r="T18" s="16">
        <v>0</v>
      </c>
      <c r="U18" s="16">
        <v>9</v>
      </c>
      <c r="V18" s="16">
        <v>12383</v>
      </c>
      <c r="W18" s="138">
        <f t="shared" si="4"/>
        <v>2825</v>
      </c>
      <c r="X18" s="16">
        <v>2108</v>
      </c>
      <c r="Y18" s="16">
        <v>46</v>
      </c>
      <c r="Z18" s="16">
        <v>671</v>
      </c>
      <c r="AA18" s="20">
        <v>2</v>
      </c>
      <c r="AB18" s="16">
        <v>248</v>
      </c>
      <c r="AC18" s="16">
        <v>0</v>
      </c>
      <c r="AD18" s="42">
        <v>0</v>
      </c>
      <c r="AE18" s="16">
        <f t="shared" si="5"/>
        <v>349</v>
      </c>
      <c r="AF18" s="22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5.75" customHeight="1">
      <c r="A19" s="4">
        <v>45916</v>
      </c>
      <c r="B19" s="5" t="s">
        <v>38</v>
      </c>
      <c r="C19" s="7">
        <v>12</v>
      </c>
      <c r="D19" s="7">
        <v>0</v>
      </c>
      <c r="E19" s="12">
        <f t="shared" si="0"/>
        <v>12</v>
      </c>
      <c r="F19" s="7">
        <v>5</v>
      </c>
      <c r="G19" s="14">
        <v>10</v>
      </c>
      <c r="H19" s="7">
        <v>0</v>
      </c>
      <c r="I19" s="12">
        <f t="shared" si="1"/>
        <v>15</v>
      </c>
      <c r="J19" s="14">
        <v>0</v>
      </c>
      <c r="K19" s="14" t="s">
        <v>98</v>
      </c>
      <c r="L19" s="7">
        <v>2</v>
      </c>
      <c r="M19" s="7"/>
      <c r="N19" s="7">
        <v>0</v>
      </c>
      <c r="O19" s="7">
        <v>0</v>
      </c>
      <c r="P19" s="36">
        <v>210</v>
      </c>
      <c r="Q19" s="36" t="s">
        <v>99</v>
      </c>
      <c r="R19" s="47">
        <f t="shared" si="2"/>
        <v>11081</v>
      </c>
      <c r="S19" s="138">
        <f t="shared" si="3"/>
        <v>10309</v>
      </c>
      <c r="T19" s="20">
        <v>0</v>
      </c>
      <c r="U19" s="20">
        <v>26</v>
      </c>
      <c r="V19" s="20">
        <v>10283</v>
      </c>
      <c r="W19" s="138">
        <f t="shared" si="4"/>
        <v>3488</v>
      </c>
      <c r="X19" s="20">
        <v>772</v>
      </c>
      <c r="Y19" s="20">
        <v>25</v>
      </c>
      <c r="Z19" s="20">
        <v>2691</v>
      </c>
      <c r="AA19" s="20">
        <v>5</v>
      </c>
      <c r="AB19" s="16">
        <v>63</v>
      </c>
      <c r="AC19" s="20">
        <v>0</v>
      </c>
      <c r="AD19" s="22">
        <v>0</v>
      </c>
      <c r="AE19" s="16">
        <f t="shared" si="5"/>
        <v>412</v>
      </c>
      <c r="AF19" s="2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4">
        <v>45917</v>
      </c>
      <c r="B20" s="5" t="s">
        <v>45</v>
      </c>
      <c r="C20" s="7">
        <v>10</v>
      </c>
      <c r="D20" s="7">
        <v>0</v>
      </c>
      <c r="E20" s="12">
        <f t="shared" si="0"/>
        <v>10</v>
      </c>
      <c r="F20" s="7">
        <v>5</v>
      </c>
      <c r="G20" s="14">
        <v>12</v>
      </c>
      <c r="H20" s="7">
        <v>0</v>
      </c>
      <c r="I20" s="12">
        <f t="shared" si="1"/>
        <v>17</v>
      </c>
      <c r="J20" s="14">
        <v>0</v>
      </c>
      <c r="K20" s="14" t="s">
        <v>100</v>
      </c>
      <c r="L20" s="14">
        <v>3</v>
      </c>
      <c r="M20" s="14"/>
      <c r="N20" s="14">
        <v>0</v>
      </c>
      <c r="O20" s="14">
        <v>0</v>
      </c>
      <c r="P20" s="36">
        <v>360</v>
      </c>
      <c r="Q20" s="36" t="s">
        <v>99</v>
      </c>
      <c r="R20" s="47">
        <f t="shared" si="2"/>
        <v>13476</v>
      </c>
      <c r="S20" s="138">
        <f t="shared" si="3"/>
        <v>12342</v>
      </c>
      <c r="T20" s="20">
        <v>0</v>
      </c>
      <c r="U20" s="16">
        <v>69</v>
      </c>
      <c r="V20" s="16">
        <v>12273</v>
      </c>
      <c r="W20" s="138">
        <f t="shared" si="4"/>
        <v>2190</v>
      </c>
      <c r="X20" s="20">
        <v>1134</v>
      </c>
      <c r="Y20" s="20">
        <v>101</v>
      </c>
      <c r="Z20" s="20">
        <v>955</v>
      </c>
      <c r="AA20" s="20">
        <v>5</v>
      </c>
      <c r="AB20" s="16">
        <v>76</v>
      </c>
      <c r="AC20" s="20">
        <v>270</v>
      </c>
      <c r="AD20" s="22">
        <v>0</v>
      </c>
      <c r="AE20" s="16">
        <f t="shared" si="5"/>
        <v>218</v>
      </c>
      <c r="AF20" s="22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4">
        <v>45918</v>
      </c>
      <c r="B21" s="5" t="s">
        <v>32</v>
      </c>
      <c r="C21" s="7">
        <v>11</v>
      </c>
      <c r="D21" s="7">
        <v>0</v>
      </c>
      <c r="E21" s="12">
        <f t="shared" si="0"/>
        <v>11</v>
      </c>
      <c r="F21" s="7">
        <v>5</v>
      </c>
      <c r="G21" s="14">
        <f>2+4+2</f>
        <v>8</v>
      </c>
      <c r="H21" s="7">
        <v>0</v>
      </c>
      <c r="I21" s="12">
        <f t="shared" si="1"/>
        <v>13</v>
      </c>
      <c r="J21" s="14">
        <v>0</v>
      </c>
      <c r="K21" s="14" t="s">
        <v>101</v>
      </c>
      <c r="L21" s="7">
        <v>4</v>
      </c>
      <c r="M21" s="14"/>
      <c r="N21" s="7">
        <v>0</v>
      </c>
      <c r="O21" s="14">
        <v>0</v>
      </c>
      <c r="P21" s="36">
        <v>360</v>
      </c>
      <c r="Q21" s="18" t="s">
        <v>102</v>
      </c>
      <c r="R21" s="47">
        <f t="shared" si="2"/>
        <v>6771</v>
      </c>
      <c r="S21" s="138">
        <f t="shared" si="3"/>
        <v>5669</v>
      </c>
      <c r="T21" s="20">
        <v>0</v>
      </c>
      <c r="U21" s="16">
        <v>37</v>
      </c>
      <c r="V21" s="16">
        <v>5632</v>
      </c>
      <c r="W21" s="138">
        <f t="shared" si="4"/>
        <v>1973</v>
      </c>
      <c r="X21" s="20">
        <v>1102</v>
      </c>
      <c r="Y21" s="20">
        <v>15</v>
      </c>
      <c r="Z21" s="20">
        <v>856</v>
      </c>
      <c r="AA21" s="16">
        <v>6</v>
      </c>
      <c r="AB21" s="20">
        <v>0</v>
      </c>
      <c r="AC21" s="20">
        <v>0</v>
      </c>
      <c r="AD21" s="22">
        <v>0</v>
      </c>
      <c r="AE21" s="16">
        <f t="shared" si="5"/>
        <v>218</v>
      </c>
      <c r="AF21" s="22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5.75" customHeight="1">
      <c r="A22" s="4">
        <v>45919</v>
      </c>
      <c r="B22" s="5" t="s">
        <v>42</v>
      </c>
      <c r="C22" s="7">
        <v>11</v>
      </c>
      <c r="D22" s="14">
        <v>0</v>
      </c>
      <c r="E22" s="12">
        <f t="shared" si="0"/>
        <v>11</v>
      </c>
      <c r="F22" s="14">
        <v>5</v>
      </c>
      <c r="G22" s="7">
        <v>9</v>
      </c>
      <c r="H22" s="7">
        <v>0</v>
      </c>
      <c r="I22" s="12">
        <f t="shared" si="1"/>
        <v>14</v>
      </c>
      <c r="J22" s="14">
        <v>0</v>
      </c>
      <c r="K22" s="14" t="s">
        <v>103</v>
      </c>
      <c r="L22" s="7">
        <v>1</v>
      </c>
      <c r="M22" s="7"/>
      <c r="N22" s="7">
        <v>0</v>
      </c>
      <c r="O22" s="7">
        <v>0</v>
      </c>
      <c r="P22" s="36">
        <v>420</v>
      </c>
      <c r="Q22" s="18" t="s">
        <v>8</v>
      </c>
      <c r="R22" s="47">
        <f t="shared" si="2"/>
        <v>6602</v>
      </c>
      <c r="S22" s="138">
        <f t="shared" si="3"/>
        <v>5570</v>
      </c>
      <c r="T22" s="20">
        <v>0</v>
      </c>
      <c r="U22" s="16">
        <v>127</v>
      </c>
      <c r="V22" s="16">
        <v>5443</v>
      </c>
      <c r="W22" s="138">
        <f t="shared" si="4"/>
        <v>1540</v>
      </c>
      <c r="X22" s="20">
        <v>1032</v>
      </c>
      <c r="Y22" s="20">
        <v>17</v>
      </c>
      <c r="Z22" s="20">
        <v>491</v>
      </c>
      <c r="AA22" s="20">
        <v>12</v>
      </c>
      <c r="AB22" s="22">
        <v>0</v>
      </c>
      <c r="AC22" s="22">
        <v>49</v>
      </c>
      <c r="AD22" s="22">
        <v>0</v>
      </c>
      <c r="AE22" s="16">
        <f t="shared" si="5"/>
        <v>169</v>
      </c>
      <c r="AF22" s="2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5.75" customHeight="1">
      <c r="A23" s="4">
        <v>45920</v>
      </c>
      <c r="B23" s="50" t="s">
        <v>39</v>
      </c>
      <c r="C23" s="7">
        <v>2</v>
      </c>
      <c r="D23" s="14">
        <v>0</v>
      </c>
      <c r="E23" s="12">
        <f t="shared" si="0"/>
        <v>2</v>
      </c>
      <c r="F23" s="14">
        <v>0</v>
      </c>
      <c r="G23" s="14">
        <v>0</v>
      </c>
      <c r="H23" s="7">
        <v>0</v>
      </c>
      <c r="I23" s="12">
        <f t="shared" si="1"/>
        <v>0</v>
      </c>
      <c r="J23" s="14">
        <v>0</v>
      </c>
      <c r="K23" s="14"/>
      <c r="L23" s="14"/>
      <c r="M23" s="14"/>
      <c r="N23" s="14"/>
      <c r="O23" s="14"/>
      <c r="P23" s="20"/>
      <c r="Q23" s="36"/>
      <c r="R23" s="47">
        <f t="shared" si="2"/>
        <v>28</v>
      </c>
      <c r="S23" s="138">
        <f t="shared" si="3"/>
        <v>28</v>
      </c>
      <c r="T23" s="20">
        <v>0</v>
      </c>
      <c r="U23" s="16">
        <v>0</v>
      </c>
      <c r="V23" s="16">
        <v>28</v>
      </c>
      <c r="W23" s="138">
        <f t="shared" si="4"/>
        <v>159</v>
      </c>
      <c r="X23" s="16">
        <v>0</v>
      </c>
      <c r="Y23" s="20">
        <v>131</v>
      </c>
      <c r="Z23" s="20">
        <v>28</v>
      </c>
      <c r="AA23" s="20">
        <v>0</v>
      </c>
      <c r="AB23" s="22">
        <v>0</v>
      </c>
      <c r="AC23" s="22">
        <v>0</v>
      </c>
      <c r="AD23" s="22">
        <v>0</v>
      </c>
      <c r="AE23" s="16">
        <f t="shared" si="5"/>
        <v>169</v>
      </c>
      <c r="AF23" s="22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5.75" customHeight="1">
      <c r="A24" s="4">
        <v>45921</v>
      </c>
      <c r="B24" s="50" t="s">
        <v>37</v>
      </c>
      <c r="C24" s="7">
        <v>2</v>
      </c>
      <c r="D24" s="14">
        <v>0</v>
      </c>
      <c r="E24" s="12">
        <f t="shared" si="0"/>
        <v>2</v>
      </c>
      <c r="F24" s="14">
        <v>0</v>
      </c>
      <c r="G24" s="14">
        <v>0</v>
      </c>
      <c r="H24" s="7">
        <v>0</v>
      </c>
      <c r="I24" s="12">
        <f t="shared" si="1"/>
        <v>0</v>
      </c>
      <c r="J24" s="14">
        <v>0</v>
      </c>
      <c r="K24" s="14"/>
      <c r="L24" s="7"/>
      <c r="M24" s="7"/>
      <c r="N24" s="7"/>
      <c r="O24" s="7"/>
      <c r="P24" s="20"/>
      <c r="Q24" s="18"/>
      <c r="R24" s="47">
        <f t="shared" si="2"/>
        <v>314</v>
      </c>
      <c r="S24" s="138">
        <f t="shared" si="3"/>
        <v>314</v>
      </c>
      <c r="T24" s="20">
        <v>0</v>
      </c>
      <c r="U24" s="16">
        <v>0</v>
      </c>
      <c r="V24" s="16">
        <v>314</v>
      </c>
      <c r="W24" s="138">
        <f t="shared" si="4"/>
        <v>322</v>
      </c>
      <c r="X24" s="16">
        <v>0</v>
      </c>
      <c r="Y24" s="16">
        <v>23</v>
      </c>
      <c r="Z24" s="16">
        <v>299</v>
      </c>
      <c r="AA24" s="16">
        <v>0</v>
      </c>
      <c r="AB24" s="22">
        <v>0</v>
      </c>
      <c r="AC24" s="22">
        <v>0</v>
      </c>
      <c r="AD24" s="22">
        <v>0</v>
      </c>
      <c r="AE24" s="16">
        <f t="shared" si="5"/>
        <v>169</v>
      </c>
      <c r="AF24" s="22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5.75" customHeight="1">
      <c r="A25" s="4">
        <v>45922</v>
      </c>
      <c r="B25" s="5" t="s">
        <v>44</v>
      </c>
      <c r="C25" s="7">
        <v>12</v>
      </c>
      <c r="D25" s="14">
        <v>0</v>
      </c>
      <c r="E25" s="12">
        <f t="shared" si="0"/>
        <v>12</v>
      </c>
      <c r="F25" s="7">
        <v>5</v>
      </c>
      <c r="G25" s="7">
        <v>8</v>
      </c>
      <c r="H25" s="7">
        <v>0</v>
      </c>
      <c r="I25" s="12">
        <f t="shared" si="1"/>
        <v>13</v>
      </c>
      <c r="J25" s="14">
        <v>0</v>
      </c>
      <c r="K25" s="14" t="s">
        <v>104</v>
      </c>
      <c r="L25" s="7">
        <v>3</v>
      </c>
      <c r="M25" s="7"/>
      <c r="N25" s="7">
        <v>0</v>
      </c>
      <c r="O25" s="7">
        <v>0</v>
      </c>
      <c r="P25" s="36">
        <v>360</v>
      </c>
      <c r="Q25" s="36" t="s">
        <v>99</v>
      </c>
      <c r="R25" s="47">
        <f t="shared" si="2"/>
        <v>5238</v>
      </c>
      <c r="S25" s="138">
        <f t="shared" si="3"/>
        <v>3030</v>
      </c>
      <c r="T25" s="16">
        <v>0</v>
      </c>
      <c r="U25" s="16">
        <v>34</v>
      </c>
      <c r="V25" s="16">
        <v>2996</v>
      </c>
      <c r="W25" s="138">
        <f t="shared" si="4"/>
        <v>2676</v>
      </c>
      <c r="X25" s="20">
        <v>2208</v>
      </c>
      <c r="Y25" s="20">
        <v>50</v>
      </c>
      <c r="Z25" s="20">
        <v>418</v>
      </c>
      <c r="AA25" s="20">
        <v>6</v>
      </c>
      <c r="AB25" s="22">
        <v>0</v>
      </c>
      <c r="AC25" s="22">
        <v>0</v>
      </c>
      <c r="AD25" s="22">
        <v>0</v>
      </c>
      <c r="AE25" s="16">
        <f t="shared" si="5"/>
        <v>169</v>
      </c>
      <c r="AF25" s="22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5.75" customHeight="1">
      <c r="A26" s="4">
        <v>45923</v>
      </c>
      <c r="B26" s="5" t="s">
        <v>38</v>
      </c>
      <c r="C26" s="7">
        <v>11</v>
      </c>
      <c r="D26" s="14">
        <v>0</v>
      </c>
      <c r="E26" s="12">
        <f t="shared" si="0"/>
        <v>11</v>
      </c>
      <c r="F26" s="14">
        <v>5</v>
      </c>
      <c r="G26" s="14">
        <v>9</v>
      </c>
      <c r="H26" s="7">
        <v>0</v>
      </c>
      <c r="I26" s="12">
        <f t="shared" si="1"/>
        <v>14</v>
      </c>
      <c r="J26" s="7">
        <v>0</v>
      </c>
      <c r="K26" s="7" t="s">
        <v>105</v>
      </c>
      <c r="L26" s="14">
        <v>2</v>
      </c>
      <c r="M26" s="14"/>
      <c r="N26" s="14">
        <v>0</v>
      </c>
      <c r="O26" s="14">
        <v>0</v>
      </c>
      <c r="P26" s="36">
        <v>270</v>
      </c>
      <c r="Q26" s="36" t="s">
        <v>99</v>
      </c>
      <c r="R26" s="47">
        <f t="shared" si="2"/>
        <v>5141</v>
      </c>
      <c r="S26" s="138">
        <f t="shared" si="3"/>
        <v>4272</v>
      </c>
      <c r="T26" s="16">
        <v>0</v>
      </c>
      <c r="U26" s="16">
        <v>75</v>
      </c>
      <c r="V26" s="16">
        <v>4197</v>
      </c>
      <c r="W26" s="138">
        <f t="shared" si="4"/>
        <v>2676</v>
      </c>
      <c r="X26" s="20">
        <v>869</v>
      </c>
      <c r="Y26" s="20">
        <v>26</v>
      </c>
      <c r="Z26" s="20">
        <v>1781</v>
      </c>
      <c r="AA26" s="20">
        <v>7</v>
      </c>
      <c r="AB26" s="22">
        <v>0</v>
      </c>
      <c r="AC26" s="22">
        <v>0</v>
      </c>
      <c r="AD26" s="22">
        <v>0</v>
      </c>
      <c r="AE26" s="16">
        <f t="shared" si="5"/>
        <v>169</v>
      </c>
      <c r="AF26" s="22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5.75" customHeight="1">
      <c r="A27" s="4">
        <v>45924</v>
      </c>
      <c r="B27" s="5" t="s">
        <v>45</v>
      </c>
      <c r="C27" s="7">
        <v>12</v>
      </c>
      <c r="D27" s="14">
        <v>0</v>
      </c>
      <c r="E27" s="12">
        <f t="shared" si="0"/>
        <v>12</v>
      </c>
      <c r="F27" s="14">
        <v>5</v>
      </c>
      <c r="G27" s="14">
        <v>7</v>
      </c>
      <c r="H27" s="7">
        <v>0</v>
      </c>
      <c r="I27" s="12">
        <f t="shared" si="1"/>
        <v>12</v>
      </c>
      <c r="J27" s="7">
        <v>0</v>
      </c>
      <c r="K27" s="7" t="s">
        <v>106</v>
      </c>
      <c r="L27" s="14">
        <v>3</v>
      </c>
      <c r="M27" s="14"/>
      <c r="N27" s="14">
        <v>0</v>
      </c>
      <c r="O27" s="14">
        <v>0</v>
      </c>
      <c r="P27" s="20" t="s">
        <v>107</v>
      </c>
      <c r="Q27" s="36" t="s">
        <v>99</v>
      </c>
      <c r="R27" s="47">
        <f t="shared" si="2"/>
        <v>5401</v>
      </c>
      <c r="S27" s="138">
        <f t="shared" si="3"/>
        <v>4559</v>
      </c>
      <c r="T27" s="16">
        <v>0</v>
      </c>
      <c r="U27" s="16">
        <v>81</v>
      </c>
      <c r="V27" s="16">
        <v>4478</v>
      </c>
      <c r="W27" s="138">
        <f t="shared" si="4"/>
        <v>1516</v>
      </c>
      <c r="X27" s="20">
        <v>842</v>
      </c>
      <c r="Y27" s="20">
        <v>72</v>
      </c>
      <c r="Z27" s="20">
        <v>602</v>
      </c>
      <c r="AA27" s="20">
        <v>10</v>
      </c>
      <c r="AB27" s="20">
        <v>499</v>
      </c>
      <c r="AC27" s="20">
        <v>0</v>
      </c>
      <c r="AD27" s="22">
        <v>0</v>
      </c>
      <c r="AE27" s="16">
        <f t="shared" si="5"/>
        <v>668</v>
      </c>
      <c r="AF27" s="22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5.75" customHeight="1">
      <c r="A28" s="4">
        <v>45925</v>
      </c>
      <c r="B28" s="5" t="s">
        <v>32</v>
      </c>
      <c r="C28" s="7">
        <v>12</v>
      </c>
      <c r="D28" s="7">
        <v>0</v>
      </c>
      <c r="E28" s="12">
        <f t="shared" si="0"/>
        <v>12</v>
      </c>
      <c r="F28" s="7">
        <v>5</v>
      </c>
      <c r="G28" s="7">
        <v>8</v>
      </c>
      <c r="H28" s="7">
        <v>0</v>
      </c>
      <c r="I28" s="12">
        <f t="shared" si="1"/>
        <v>13</v>
      </c>
      <c r="J28" s="14">
        <v>0</v>
      </c>
      <c r="K28" s="14" t="s">
        <v>104</v>
      </c>
      <c r="L28" s="14">
        <v>4</v>
      </c>
      <c r="M28" s="14"/>
      <c r="N28" s="14">
        <v>0</v>
      </c>
      <c r="O28" s="14">
        <v>0</v>
      </c>
      <c r="P28" s="36">
        <v>120</v>
      </c>
      <c r="Q28" s="36" t="s">
        <v>108</v>
      </c>
      <c r="R28" s="47">
        <f t="shared" si="2"/>
        <v>3115</v>
      </c>
      <c r="S28" s="138">
        <f t="shared" si="3"/>
        <v>2258</v>
      </c>
      <c r="T28" s="16">
        <v>0</v>
      </c>
      <c r="U28" s="16">
        <v>33</v>
      </c>
      <c r="V28" s="16">
        <v>2225</v>
      </c>
      <c r="W28" s="138">
        <f t="shared" si="4"/>
        <v>1416</v>
      </c>
      <c r="X28" s="20">
        <v>857</v>
      </c>
      <c r="Y28" s="20">
        <v>25</v>
      </c>
      <c r="Z28" s="20">
        <v>534</v>
      </c>
      <c r="AA28" s="20">
        <v>9</v>
      </c>
      <c r="AB28" s="16">
        <v>28</v>
      </c>
      <c r="AC28" s="16">
        <v>0</v>
      </c>
      <c r="AD28" s="42">
        <v>114</v>
      </c>
      <c r="AE28" s="16">
        <f t="shared" si="5"/>
        <v>582</v>
      </c>
      <c r="AF28" s="2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5.75" customHeight="1">
      <c r="A29" s="4">
        <v>45926</v>
      </c>
      <c r="B29" s="5" t="s">
        <v>42</v>
      </c>
      <c r="C29" s="7">
        <v>10.5</v>
      </c>
      <c r="D29" s="14">
        <v>0</v>
      </c>
      <c r="E29" s="12">
        <f t="shared" si="0"/>
        <v>10.5</v>
      </c>
      <c r="F29" s="14">
        <v>5</v>
      </c>
      <c r="G29" s="14">
        <v>8</v>
      </c>
      <c r="H29" s="7">
        <v>0</v>
      </c>
      <c r="I29" s="12">
        <f t="shared" si="1"/>
        <v>13</v>
      </c>
      <c r="J29" s="14">
        <v>0</v>
      </c>
      <c r="K29" s="14" t="s">
        <v>104</v>
      </c>
      <c r="L29" s="14"/>
      <c r="M29" s="14"/>
      <c r="N29" s="14"/>
      <c r="O29" s="14"/>
      <c r="P29" s="20"/>
      <c r="Q29" s="36"/>
      <c r="R29" s="47">
        <f t="shared" si="2"/>
        <v>3556</v>
      </c>
      <c r="S29" s="138">
        <f t="shared" si="3"/>
        <v>2601</v>
      </c>
      <c r="T29" s="16">
        <v>0</v>
      </c>
      <c r="U29" s="16">
        <v>55</v>
      </c>
      <c r="V29" s="16">
        <v>2546</v>
      </c>
      <c r="W29" s="138">
        <f t="shared" si="4"/>
        <v>1588</v>
      </c>
      <c r="X29" s="20">
        <v>955</v>
      </c>
      <c r="Y29" s="20">
        <v>130</v>
      </c>
      <c r="Z29" s="20">
        <v>503</v>
      </c>
      <c r="AA29" s="20">
        <v>2</v>
      </c>
      <c r="AB29" s="20"/>
      <c r="AC29" s="20">
        <v>511</v>
      </c>
      <c r="AD29" s="22"/>
      <c r="AE29" s="42"/>
      <c r="AF29" s="22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5.75" customHeight="1">
      <c r="A30" s="4">
        <v>45927</v>
      </c>
      <c r="B30" s="50" t="s">
        <v>39</v>
      </c>
      <c r="C30" s="7">
        <v>2</v>
      </c>
      <c r="D30" s="14">
        <v>0</v>
      </c>
      <c r="E30" s="12">
        <f t="shared" si="0"/>
        <v>2</v>
      </c>
      <c r="F30" s="7">
        <v>0</v>
      </c>
      <c r="G30" s="7">
        <v>0</v>
      </c>
      <c r="H30" s="7">
        <v>0</v>
      </c>
      <c r="I30" s="12">
        <f t="shared" si="1"/>
        <v>0</v>
      </c>
      <c r="J30" s="7">
        <v>0</v>
      </c>
      <c r="K30" s="7"/>
      <c r="L30" s="14"/>
      <c r="M30" s="14"/>
      <c r="N30" s="14"/>
      <c r="O30" s="14"/>
      <c r="P30" s="20"/>
      <c r="Q30" s="36"/>
      <c r="R30" s="47">
        <f t="shared" si="2"/>
        <v>22</v>
      </c>
      <c r="S30" s="138">
        <f t="shared" si="3"/>
        <v>22</v>
      </c>
      <c r="T30" s="16">
        <v>0</v>
      </c>
      <c r="U30" s="16">
        <v>0</v>
      </c>
      <c r="V30" s="16">
        <v>22</v>
      </c>
      <c r="W30" s="140">
        <f t="shared" si="4"/>
        <v>22</v>
      </c>
      <c r="X30" s="20">
        <v>0</v>
      </c>
      <c r="Y30" s="20">
        <v>0</v>
      </c>
      <c r="Z30" s="20">
        <v>22</v>
      </c>
      <c r="AA30" s="20">
        <v>0</v>
      </c>
      <c r="AB30" s="20"/>
      <c r="AC30" s="20"/>
      <c r="AD30" s="22"/>
      <c r="AE30" s="42"/>
      <c r="AF30" s="22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5.75" customHeight="1">
      <c r="A31" s="4">
        <v>45928</v>
      </c>
      <c r="B31" s="50" t="s">
        <v>37</v>
      </c>
      <c r="C31" s="7">
        <v>2</v>
      </c>
      <c r="D31" s="14">
        <v>0</v>
      </c>
      <c r="E31" s="12">
        <f t="shared" si="0"/>
        <v>2</v>
      </c>
      <c r="F31" s="7">
        <v>0</v>
      </c>
      <c r="G31" s="7">
        <v>0</v>
      </c>
      <c r="H31" s="7">
        <v>0</v>
      </c>
      <c r="I31" s="12">
        <f t="shared" si="1"/>
        <v>0</v>
      </c>
      <c r="J31" s="7">
        <v>0</v>
      </c>
      <c r="K31" s="7"/>
      <c r="L31" s="14"/>
      <c r="M31" s="14"/>
      <c r="N31" s="14"/>
      <c r="O31" s="14"/>
      <c r="P31" s="20"/>
      <c r="Q31" s="36"/>
      <c r="R31" s="47">
        <f t="shared" si="2"/>
        <v>23</v>
      </c>
      <c r="S31" s="138">
        <f t="shared" si="3"/>
        <v>23</v>
      </c>
      <c r="T31" s="16">
        <v>0</v>
      </c>
      <c r="U31" s="16">
        <v>0</v>
      </c>
      <c r="V31" s="16">
        <v>23</v>
      </c>
      <c r="W31" s="138">
        <f t="shared" si="4"/>
        <v>23</v>
      </c>
      <c r="X31" s="20">
        <v>0</v>
      </c>
      <c r="Y31" s="20">
        <v>0</v>
      </c>
      <c r="Z31" s="20">
        <v>23</v>
      </c>
      <c r="AA31" s="20">
        <v>0</v>
      </c>
      <c r="AB31" s="20"/>
      <c r="AC31" s="20"/>
      <c r="AD31" s="22"/>
      <c r="AE31" s="42"/>
      <c r="AF31" s="22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5.75" customHeight="1">
      <c r="A32" s="4">
        <v>45929</v>
      </c>
      <c r="B32" s="5" t="s">
        <v>44</v>
      </c>
      <c r="C32" s="7">
        <v>12</v>
      </c>
      <c r="D32" s="14">
        <v>0</v>
      </c>
      <c r="E32" s="12">
        <f t="shared" si="0"/>
        <v>12</v>
      </c>
      <c r="F32" s="7">
        <v>5</v>
      </c>
      <c r="G32" s="7">
        <v>6</v>
      </c>
      <c r="H32" s="7">
        <v>0</v>
      </c>
      <c r="I32" s="12">
        <f t="shared" si="1"/>
        <v>11</v>
      </c>
      <c r="J32" s="7">
        <v>0</v>
      </c>
      <c r="K32" s="7" t="s">
        <v>109</v>
      </c>
      <c r="L32" s="14">
        <v>11</v>
      </c>
      <c r="M32" s="14"/>
      <c r="N32" s="14">
        <v>0</v>
      </c>
      <c r="O32" s="14">
        <v>0</v>
      </c>
      <c r="P32" s="20" t="s">
        <v>110</v>
      </c>
      <c r="Q32" s="36" t="s">
        <v>99</v>
      </c>
      <c r="R32" s="47">
        <f t="shared" si="2"/>
        <v>4663</v>
      </c>
      <c r="S32" s="138">
        <f t="shared" si="3"/>
        <v>2586</v>
      </c>
      <c r="T32" s="16">
        <v>0</v>
      </c>
      <c r="U32" s="16">
        <v>62</v>
      </c>
      <c r="V32" s="16">
        <v>2524</v>
      </c>
      <c r="W32" s="140">
        <f t="shared" si="4"/>
        <v>2656</v>
      </c>
      <c r="X32" s="20">
        <v>2077</v>
      </c>
      <c r="Y32" s="20">
        <v>82</v>
      </c>
      <c r="Z32" s="20">
        <v>497</v>
      </c>
      <c r="AA32" s="20">
        <v>2</v>
      </c>
      <c r="AB32" s="20"/>
      <c r="AC32" s="20"/>
      <c r="AD32" s="22"/>
      <c r="AE32" s="42"/>
      <c r="AF32" s="22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5.75" customHeight="1">
      <c r="A33" s="4">
        <v>45930</v>
      </c>
      <c r="B33" s="5" t="s">
        <v>38</v>
      </c>
      <c r="C33" s="7">
        <v>13</v>
      </c>
      <c r="D33" s="14">
        <v>0</v>
      </c>
      <c r="E33" s="12">
        <f t="shared" si="0"/>
        <v>13</v>
      </c>
      <c r="F33" s="14">
        <v>5</v>
      </c>
      <c r="G33" s="14">
        <v>7</v>
      </c>
      <c r="H33" s="7">
        <v>0</v>
      </c>
      <c r="I33" s="12">
        <f t="shared" si="1"/>
        <v>12</v>
      </c>
      <c r="J33" s="14">
        <v>0</v>
      </c>
      <c r="K33" s="7" t="s">
        <v>111</v>
      </c>
      <c r="L33" s="14">
        <v>3</v>
      </c>
      <c r="M33" s="14"/>
      <c r="N33" s="14">
        <v>0</v>
      </c>
      <c r="O33" s="14">
        <v>0</v>
      </c>
      <c r="P33" s="36">
        <v>360</v>
      </c>
      <c r="Q33" s="36" t="s">
        <v>112</v>
      </c>
      <c r="R33" s="47">
        <f t="shared" si="2"/>
        <v>4383</v>
      </c>
      <c r="S33" s="138">
        <f t="shared" si="3"/>
        <v>3594</v>
      </c>
      <c r="T33" s="16">
        <v>0</v>
      </c>
      <c r="U33" s="16">
        <v>67</v>
      </c>
      <c r="V33" s="16">
        <v>3527</v>
      </c>
      <c r="W33" s="138">
        <f t="shared" si="4"/>
        <v>2320</v>
      </c>
      <c r="X33" s="20">
        <v>789</v>
      </c>
      <c r="Y33" s="20">
        <v>78</v>
      </c>
      <c r="Z33" s="20">
        <v>1453</v>
      </c>
      <c r="AA33" s="20">
        <v>2</v>
      </c>
      <c r="AB33" s="20"/>
      <c r="AC33" s="20"/>
      <c r="AD33" s="22"/>
      <c r="AE33" s="22"/>
      <c r="AF33" s="22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5.75" customHeight="1">
      <c r="A34" s="113" t="s">
        <v>19</v>
      </c>
      <c r="B34" s="107"/>
      <c r="C34" s="38">
        <f t="shared" ref="C34:J34" si="6">SUM(C4:C33)</f>
        <v>285</v>
      </c>
      <c r="D34" s="38">
        <f t="shared" si="6"/>
        <v>99</v>
      </c>
      <c r="E34" s="38">
        <f t="shared" si="6"/>
        <v>384</v>
      </c>
      <c r="F34" s="38">
        <f t="shared" si="6"/>
        <v>128</v>
      </c>
      <c r="G34" s="38">
        <f t="shared" si="6"/>
        <v>463.5</v>
      </c>
      <c r="H34" s="38">
        <f t="shared" si="6"/>
        <v>26</v>
      </c>
      <c r="I34" s="38">
        <f t="shared" si="6"/>
        <v>617.5</v>
      </c>
      <c r="J34" s="38">
        <f t="shared" si="6"/>
        <v>38</v>
      </c>
      <c r="K34" s="38"/>
      <c r="L34" s="38">
        <f>SUM(L4:L33)</f>
        <v>136</v>
      </c>
      <c r="M34" s="38"/>
      <c r="N34" s="38">
        <f t="shared" ref="N34:P34" si="7">SUM(N4:N33)</f>
        <v>54</v>
      </c>
      <c r="O34" s="38">
        <f t="shared" si="7"/>
        <v>93</v>
      </c>
      <c r="P34" s="40">
        <f t="shared" si="7"/>
        <v>2580</v>
      </c>
      <c r="Q34" s="41"/>
      <c r="R34" s="40">
        <f t="shared" ref="R34:AD34" si="8">SUM(R4:R33)</f>
        <v>443153</v>
      </c>
      <c r="S34" s="137">
        <f t="shared" si="8"/>
        <v>415484</v>
      </c>
      <c r="T34" s="40">
        <f t="shared" si="8"/>
        <v>0</v>
      </c>
      <c r="U34" s="40">
        <f t="shared" si="8"/>
        <v>1191</v>
      </c>
      <c r="V34" s="40">
        <f t="shared" si="8"/>
        <v>414293</v>
      </c>
      <c r="W34" s="137">
        <f t="shared" si="8"/>
        <v>91925</v>
      </c>
      <c r="X34" s="40">
        <f t="shared" si="8"/>
        <v>27669</v>
      </c>
      <c r="Y34" s="40">
        <f t="shared" si="8"/>
        <v>1442</v>
      </c>
      <c r="Z34" s="40">
        <f t="shared" si="8"/>
        <v>62814</v>
      </c>
      <c r="AA34" s="40">
        <f t="shared" si="8"/>
        <v>760</v>
      </c>
      <c r="AB34" s="40">
        <f t="shared" si="8"/>
        <v>2083</v>
      </c>
      <c r="AC34" s="40">
        <f t="shared" si="8"/>
        <v>2037</v>
      </c>
      <c r="AD34" s="41">
        <f t="shared" si="8"/>
        <v>114</v>
      </c>
      <c r="AE34" s="41"/>
      <c r="AF34" s="4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5.75" customHeight="1">
      <c r="A35" s="46" t="s">
        <v>69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</row>
    <row r="36" spans="1:43" ht="15.75" customHeight="1">
      <c r="A36" s="46" t="s">
        <v>70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</row>
    <row r="37" spans="1:43" ht="12.75">
      <c r="A37" s="46" t="s">
        <v>71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</row>
    <row r="38" spans="1:43" ht="12.75">
      <c r="A38" s="46" t="s">
        <v>72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</row>
    <row r="39" spans="1:43" ht="12.75">
      <c r="A39" s="46" t="s">
        <v>73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</row>
    <row r="40" spans="1:43" ht="12.75">
      <c r="A40" s="46" t="s">
        <v>74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</row>
    <row r="41" spans="1:43" ht="12.75">
      <c r="A41" s="11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</sheetData>
  <mergeCells count="15">
    <mergeCell ref="A34:B34"/>
    <mergeCell ref="A41:AF41"/>
    <mergeCell ref="A1:A3"/>
    <mergeCell ref="B1:B3"/>
    <mergeCell ref="C1:K1"/>
    <mergeCell ref="L1:Q2"/>
    <mergeCell ref="R1:R2"/>
    <mergeCell ref="S1:V2"/>
    <mergeCell ref="W1:Z2"/>
    <mergeCell ref="K2:K3"/>
    <mergeCell ref="AA1:AA2"/>
    <mergeCell ref="AB1:AE2"/>
    <mergeCell ref="AF1:AF3"/>
    <mergeCell ref="C2:E2"/>
    <mergeCell ref="F2:I2"/>
  </mergeCells>
  <phoneticPr fontId="1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P997"/>
  <sheetViews>
    <sheetView topLeftCell="A7" workbookViewId="0">
      <selection activeCell="U3" activeCellId="2" sqref="U36 U1:Y2 U3"/>
    </sheetView>
  </sheetViews>
  <sheetFormatPr defaultColWidth="12.5703125" defaultRowHeight="15.75" customHeight="1"/>
  <cols>
    <col min="1" max="1" width="6" customWidth="1"/>
    <col min="2" max="2" width="4.42578125" customWidth="1"/>
    <col min="3" max="6" width="9.5703125" customWidth="1"/>
    <col min="7" max="7" width="9.85546875" customWidth="1"/>
    <col min="8" max="8" width="12.42578125" customWidth="1"/>
    <col min="9" max="9" width="18.28515625" customWidth="1"/>
    <col min="10" max="14" width="9.5703125" customWidth="1"/>
    <col min="15" max="15" width="25.5703125" customWidth="1"/>
    <col min="16" max="16" width="8.28515625" customWidth="1"/>
    <col min="17" max="26" width="8.85546875" customWidth="1"/>
    <col min="27" max="30" width="8.85546875" hidden="1" customWidth="1"/>
    <col min="31" max="31" width="8.85546875" customWidth="1"/>
  </cols>
  <sheetData>
    <row r="1" spans="1:42" ht="15.75" customHeight="1">
      <c r="A1" s="109" t="s">
        <v>0</v>
      </c>
      <c r="B1" s="109" t="s">
        <v>1</v>
      </c>
      <c r="C1" s="110"/>
      <c r="D1" s="106"/>
      <c r="E1" s="106"/>
      <c r="F1" s="106"/>
      <c r="G1" s="106"/>
      <c r="H1" s="106"/>
      <c r="I1" s="107"/>
      <c r="J1" s="111" t="s">
        <v>3</v>
      </c>
      <c r="K1" s="95"/>
      <c r="L1" s="95"/>
      <c r="M1" s="95"/>
      <c r="N1" s="95"/>
      <c r="O1" s="96"/>
      <c r="P1" s="117" t="s">
        <v>4</v>
      </c>
      <c r="Q1" s="128" t="s">
        <v>5</v>
      </c>
      <c r="R1" s="129"/>
      <c r="S1" s="129"/>
      <c r="T1" s="130"/>
      <c r="U1" s="135" t="s">
        <v>113</v>
      </c>
      <c r="V1" s="129"/>
      <c r="W1" s="129"/>
      <c r="X1" s="129"/>
      <c r="Y1" s="130"/>
      <c r="Z1" s="100" t="s">
        <v>8</v>
      </c>
      <c r="AA1" s="94" t="s">
        <v>9</v>
      </c>
      <c r="AB1" s="95"/>
      <c r="AC1" s="95"/>
      <c r="AD1" s="96"/>
      <c r="AE1" s="100" t="s">
        <v>11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101"/>
      <c r="B2" s="101"/>
      <c r="C2" s="103" t="s">
        <v>7</v>
      </c>
      <c r="D2" s="104"/>
      <c r="E2" s="105" t="s">
        <v>10</v>
      </c>
      <c r="F2" s="106"/>
      <c r="G2" s="107"/>
      <c r="H2" s="48" t="s">
        <v>89</v>
      </c>
      <c r="I2" s="112" t="s">
        <v>12</v>
      </c>
      <c r="J2" s="97"/>
      <c r="K2" s="98"/>
      <c r="L2" s="98"/>
      <c r="M2" s="98"/>
      <c r="N2" s="98"/>
      <c r="O2" s="99"/>
      <c r="P2" s="99"/>
      <c r="Q2" s="131"/>
      <c r="R2" s="131"/>
      <c r="S2" s="131"/>
      <c r="T2" s="132"/>
      <c r="U2" s="136"/>
      <c r="V2" s="131"/>
      <c r="W2" s="131"/>
      <c r="X2" s="131"/>
      <c r="Y2" s="132"/>
      <c r="Z2" s="102"/>
      <c r="AA2" s="97"/>
      <c r="AB2" s="98"/>
      <c r="AC2" s="98"/>
      <c r="AD2" s="99"/>
      <c r="AE2" s="10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102"/>
      <c r="B3" s="102"/>
      <c r="C3" s="2" t="s">
        <v>22</v>
      </c>
      <c r="D3" s="2" t="s">
        <v>19</v>
      </c>
      <c r="E3" s="2" t="s">
        <v>20</v>
      </c>
      <c r="F3" s="2" t="s">
        <v>21</v>
      </c>
      <c r="G3" s="2" t="s">
        <v>19</v>
      </c>
      <c r="H3" s="48" t="s">
        <v>21</v>
      </c>
      <c r="I3" s="102"/>
      <c r="J3" s="2" t="s">
        <v>22</v>
      </c>
      <c r="K3" s="2" t="s">
        <v>23</v>
      </c>
      <c r="L3" s="2" t="s">
        <v>20</v>
      </c>
      <c r="M3" s="2" t="s">
        <v>21</v>
      </c>
      <c r="N3" s="2" t="s">
        <v>24</v>
      </c>
      <c r="O3" s="2" t="s">
        <v>25</v>
      </c>
      <c r="P3" s="52" t="s">
        <v>30</v>
      </c>
      <c r="Q3" s="133" t="s">
        <v>26</v>
      </c>
      <c r="R3" s="2" t="s">
        <v>27</v>
      </c>
      <c r="S3" s="2" t="s">
        <v>28</v>
      </c>
      <c r="T3" s="2" t="s">
        <v>29</v>
      </c>
      <c r="U3" s="133" t="s">
        <v>26</v>
      </c>
      <c r="V3" s="2" t="s">
        <v>27</v>
      </c>
      <c r="W3" s="110" t="s">
        <v>28</v>
      </c>
      <c r="X3" s="107"/>
      <c r="Y3" s="2" t="s">
        <v>29</v>
      </c>
      <c r="Z3" s="3" t="s">
        <v>31</v>
      </c>
      <c r="AA3" s="3" t="s">
        <v>33</v>
      </c>
      <c r="AB3" s="3" t="s">
        <v>34</v>
      </c>
      <c r="AC3" s="6" t="s">
        <v>35</v>
      </c>
      <c r="AD3" s="6" t="s">
        <v>36</v>
      </c>
      <c r="AE3" s="102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2"/>
      <c r="B4" s="2"/>
      <c r="C4" s="2"/>
      <c r="D4" s="2"/>
      <c r="E4" s="2"/>
      <c r="F4" s="2"/>
      <c r="G4" s="2"/>
      <c r="H4" s="48"/>
      <c r="I4" s="48"/>
      <c r="J4" s="2"/>
      <c r="K4" s="2"/>
      <c r="L4" s="2"/>
      <c r="M4" s="2"/>
      <c r="N4" s="2"/>
      <c r="O4" s="2"/>
      <c r="P4" s="52"/>
      <c r="Q4" s="2"/>
      <c r="R4" s="2"/>
      <c r="S4" s="2"/>
      <c r="T4" s="2"/>
      <c r="U4" s="2"/>
      <c r="V4" s="2"/>
      <c r="W4" s="2" t="s">
        <v>114</v>
      </c>
      <c r="X4" s="2" t="s">
        <v>115</v>
      </c>
      <c r="Y4" s="2"/>
      <c r="Z4" s="3"/>
      <c r="AA4" s="3"/>
      <c r="AB4" s="3"/>
      <c r="AC4" s="6"/>
      <c r="AD4" s="6"/>
      <c r="AE4" s="6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4">
        <v>45931</v>
      </c>
      <c r="B5" s="5" t="s">
        <v>45</v>
      </c>
      <c r="C5" s="7">
        <v>13</v>
      </c>
      <c r="D5" s="12">
        <f t="shared" ref="D5:D35" si="0">C5</f>
        <v>13</v>
      </c>
      <c r="E5" s="7">
        <v>5</v>
      </c>
      <c r="F5" s="7">
        <v>7</v>
      </c>
      <c r="G5" s="12">
        <f t="shared" ref="G5:G35" si="1">E5+F5</f>
        <v>12</v>
      </c>
      <c r="H5" s="14"/>
      <c r="I5" s="14" t="s">
        <v>116</v>
      </c>
      <c r="J5" s="7">
        <v>3</v>
      </c>
      <c r="K5" s="7"/>
      <c r="L5" s="7"/>
      <c r="M5" s="7"/>
      <c r="N5" s="16" t="s">
        <v>117</v>
      </c>
      <c r="O5" s="18" t="s">
        <v>118</v>
      </c>
      <c r="P5" s="53">
        <f t="shared" ref="P5:P35" si="2">Q5+V5+X5</f>
        <v>4892</v>
      </c>
      <c r="Q5" s="20">
        <f t="shared" ref="Q5:Q35" si="3">R5+S5+T5</f>
        <v>3978</v>
      </c>
      <c r="R5" s="16">
        <v>0</v>
      </c>
      <c r="S5" s="16">
        <v>103</v>
      </c>
      <c r="T5" s="16">
        <v>3875</v>
      </c>
      <c r="U5" s="20">
        <f t="shared" ref="U5:U35" si="4">V5+W5+Y5+X5</f>
        <v>1501</v>
      </c>
      <c r="V5" s="16">
        <v>900</v>
      </c>
      <c r="W5" s="16">
        <v>3</v>
      </c>
      <c r="X5" s="16">
        <v>14</v>
      </c>
      <c r="Y5" s="16">
        <v>584</v>
      </c>
      <c r="Z5" s="20">
        <v>7</v>
      </c>
      <c r="AA5" s="16"/>
      <c r="AB5" s="16"/>
      <c r="AC5" s="42"/>
      <c r="AD5" s="42"/>
      <c r="AE5" s="42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>
      <c r="A6" s="4">
        <v>45932</v>
      </c>
      <c r="B6" s="5" t="s">
        <v>32</v>
      </c>
      <c r="C6" s="7">
        <v>12</v>
      </c>
      <c r="D6" s="12">
        <f t="shared" si="0"/>
        <v>12</v>
      </c>
      <c r="E6" s="7">
        <v>4</v>
      </c>
      <c r="F6" s="7">
        <v>7</v>
      </c>
      <c r="G6" s="12">
        <f t="shared" si="1"/>
        <v>11</v>
      </c>
      <c r="H6" s="14"/>
      <c r="I6" s="14" t="s">
        <v>116</v>
      </c>
      <c r="J6" s="7">
        <v>11</v>
      </c>
      <c r="K6" s="7"/>
      <c r="L6" s="7"/>
      <c r="M6" s="7"/>
      <c r="N6" s="18">
        <v>120</v>
      </c>
      <c r="O6" s="18" t="s">
        <v>119</v>
      </c>
      <c r="P6" s="53">
        <f t="shared" si="2"/>
        <v>6209</v>
      </c>
      <c r="Q6" s="20">
        <f t="shared" si="3"/>
        <v>5559</v>
      </c>
      <c r="R6" s="16">
        <v>0</v>
      </c>
      <c r="S6" s="16">
        <v>87</v>
      </c>
      <c r="T6" s="16">
        <v>5472</v>
      </c>
      <c r="U6" s="20">
        <f t="shared" si="4"/>
        <v>1865</v>
      </c>
      <c r="V6" s="16">
        <v>631</v>
      </c>
      <c r="W6" s="16">
        <v>1</v>
      </c>
      <c r="X6" s="16">
        <v>19</v>
      </c>
      <c r="Y6" s="16">
        <v>1214</v>
      </c>
      <c r="Z6" s="20">
        <v>1</v>
      </c>
      <c r="AA6" s="16"/>
      <c r="AB6" s="16"/>
      <c r="AC6" s="16"/>
      <c r="AD6" s="42"/>
      <c r="AE6" s="42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>
      <c r="A7" s="54">
        <v>45933</v>
      </c>
      <c r="B7" s="50" t="s">
        <v>42</v>
      </c>
      <c r="C7" s="7">
        <v>1</v>
      </c>
      <c r="D7" s="12">
        <f t="shared" si="0"/>
        <v>1</v>
      </c>
      <c r="E7" s="7">
        <v>0</v>
      </c>
      <c r="F7" s="7">
        <v>0</v>
      </c>
      <c r="G7" s="12">
        <f t="shared" si="1"/>
        <v>0</v>
      </c>
      <c r="H7" s="14"/>
      <c r="I7" s="14" t="s">
        <v>120</v>
      </c>
      <c r="J7" s="7"/>
      <c r="K7" s="7"/>
      <c r="L7" s="7"/>
      <c r="M7" s="7"/>
      <c r="N7" s="16"/>
      <c r="O7" s="18"/>
      <c r="P7" s="53">
        <f t="shared" si="2"/>
        <v>148</v>
      </c>
      <c r="Q7" s="20">
        <f t="shared" si="3"/>
        <v>148</v>
      </c>
      <c r="R7" s="16">
        <v>0</v>
      </c>
      <c r="S7" s="16">
        <v>0</v>
      </c>
      <c r="T7" s="16">
        <v>148</v>
      </c>
      <c r="U7" s="20">
        <f t="shared" si="4"/>
        <v>148</v>
      </c>
      <c r="V7" s="16">
        <v>0</v>
      </c>
      <c r="W7" s="16">
        <v>0</v>
      </c>
      <c r="X7" s="16">
        <v>0</v>
      </c>
      <c r="Y7" s="16">
        <v>148</v>
      </c>
      <c r="Z7" s="20">
        <v>0</v>
      </c>
      <c r="AA7" s="20"/>
      <c r="AB7" s="20"/>
      <c r="AC7" s="16"/>
      <c r="AD7" s="42"/>
      <c r="AE7" s="22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>
      <c r="A8" s="54">
        <v>45934</v>
      </c>
      <c r="B8" s="50" t="s">
        <v>39</v>
      </c>
      <c r="C8" s="7">
        <v>0</v>
      </c>
      <c r="D8" s="12">
        <f t="shared" si="0"/>
        <v>0</v>
      </c>
      <c r="E8" s="7">
        <v>0</v>
      </c>
      <c r="F8" s="7">
        <v>0</v>
      </c>
      <c r="G8" s="12">
        <f t="shared" si="1"/>
        <v>0</v>
      </c>
      <c r="H8" s="14"/>
      <c r="I8" s="14"/>
      <c r="J8" s="7"/>
      <c r="K8" s="7"/>
      <c r="L8" s="7"/>
      <c r="M8" s="7"/>
      <c r="N8" s="16"/>
      <c r="O8" s="18"/>
      <c r="P8" s="53">
        <f t="shared" si="2"/>
        <v>0</v>
      </c>
      <c r="Q8" s="20">
        <f t="shared" si="3"/>
        <v>0</v>
      </c>
      <c r="R8" s="16">
        <v>0</v>
      </c>
      <c r="S8" s="16">
        <v>0</v>
      </c>
      <c r="T8" s="16">
        <v>0</v>
      </c>
      <c r="U8" s="20">
        <f t="shared" si="4"/>
        <v>0</v>
      </c>
      <c r="V8" s="16">
        <v>0</v>
      </c>
      <c r="W8" s="16">
        <v>0</v>
      </c>
      <c r="X8" s="16">
        <v>0</v>
      </c>
      <c r="Y8" s="16">
        <v>0</v>
      </c>
      <c r="Z8" s="20">
        <v>0</v>
      </c>
      <c r="AA8" s="20"/>
      <c r="AB8" s="16"/>
      <c r="AC8" s="16"/>
      <c r="AD8" s="42"/>
      <c r="AE8" s="22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>
      <c r="A9" s="54">
        <v>45935</v>
      </c>
      <c r="B9" s="50" t="s">
        <v>37</v>
      </c>
      <c r="C9" s="7">
        <v>0</v>
      </c>
      <c r="D9" s="12">
        <f t="shared" si="0"/>
        <v>0</v>
      </c>
      <c r="E9" s="7">
        <v>0</v>
      </c>
      <c r="F9" s="7">
        <v>0</v>
      </c>
      <c r="G9" s="12">
        <f t="shared" si="1"/>
        <v>0</v>
      </c>
      <c r="H9" s="14"/>
      <c r="I9" s="14"/>
      <c r="J9" s="7"/>
      <c r="K9" s="7"/>
      <c r="L9" s="7"/>
      <c r="M9" s="7"/>
      <c r="N9" s="16"/>
      <c r="O9" s="18"/>
      <c r="P9" s="53">
        <f t="shared" si="2"/>
        <v>0</v>
      </c>
      <c r="Q9" s="20">
        <f t="shared" si="3"/>
        <v>0</v>
      </c>
      <c r="R9" s="16">
        <v>0</v>
      </c>
      <c r="S9" s="20">
        <v>0</v>
      </c>
      <c r="T9" s="20">
        <v>0</v>
      </c>
      <c r="U9" s="20">
        <f t="shared" si="4"/>
        <v>0</v>
      </c>
      <c r="V9" s="16">
        <v>0</v>
      </c>
      <c r="W9" s="16">
        <v>0</v>
      </c>
      <c r="X9" s="16">
        <v>0</v>
      </c>
      <c r="Y9" s="16">
        <v>0</v>
      </c>
      <c r="Z9" s="20">
        <v>0</v>
      </c>
      <c r="AA9" s="20"/>
      <c r="AB9" s="20"/>
      <c r="AC9" s="22"/>
      <c r="AD9" s="42"/>
      <c r="AE9" s="22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>
      <c r="A10" s="54">
        <v>45936</v>
      </c>
      <c r="B10" s="50" t="s">
        <v>44</v>
      </c>
      <c r="C10" s="7">
        <v>0</v>
      </c>
      <c r="D10" s="12">
        <f t="shared" si="0"/>
        <v>0</v>
      </c>
      <c r="E10" s="7">
        <v>0</v>
      </c>
      <c r="F10" s="7">
        <v>0</v>
      </c>
      <c r="G10" s="12">
        <f t="shared" si="1"/>
        <v>0</v>
      </c>
      <c r="H10" s="14"/>
      <c r="I10" s="14"/>
      <c r="J10" s="7"/>
      <c r="K10" s="7"/>
      <c r="L10" s="7"/>
      <c r="M10" s="7"/>
      <c r="N10" s="16"/>
      <c r="O10" s="18"/>
      <c r="P10" s="53">
        <f t="shared" si="2"/>
        <v>0</v>
      </c>
      <c r="Q10" s="20">
        <f t="shared" si="3"/>
        <v>0</v>
      </c>
      <c r="R10" s="16">
        <v>0</v>
      </c>
      <c r="S10" s="20">
        <v>0</v>
      </c>
      <c r="T10" s="20">
        <v>0</v>
      </c>
      <c r="U10" s="20">
        <f t="shared" si="4"/>
        <v>0</v>
      </c>
      <c r="V10" s="16">
        <v>0</v>
      </c>
      <c r="W10" s="16">
        <v>0</v>
      </c>
      <c r="X10" s="16">
        <v>0</v>
      </c>
      <c r="Y10" s="16">
        <v>0</v>
      </c>
      <c r="Z10" s="20">
        <v>0</v>
      </c>
      <c r="AA10" s="20"/>
      <c r="AB10" s="20"/>
      <c r="AC10" s="22"/>
      <c r="AD10" s="42"/>
      <c r="AE10" s="22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>
      <c r="A11" s="54">
        <v>45937</v>
      </c>
      <c r="B11" s="50" t="s">
        <v>38</v>
      </c>
      <c r="C11" s="7">
        <v>0</v>
      </c>
      <c r="D11" s="12">
        <f t="shared" si="0"/>
        <v>0</v>
      </c>
      <c r="E11" s="7">
        <v>0</v>
      </c>
      <c r="F11" s="7">
        <v>0</v>
      </c>
      <c r="G11" s="12">
        <f t="shared" si="1"/>
        <v>0</v>
      </c>
      <c r="H11" s="14"/>
      <c r="I11" s="14"/>
      <c r="J11" s="25"/>
      <c r="K11" s="25"/>
      <c r="L11" s="25"/>
      <c r="M11" s="25"/>
      <c r="N11" s="16"/>
      <c r="O11" s="18"/>
      <c r="P11" s="53">
        <f t="shared" si="2"/>
        <v>0</v>
      </c>
      <c r="Q11" s="35">
        <f t="shared" si="3"/>
        <v>0</v>
      </c>
      <c r="R11" s="35">
        <v>0</v>
      </c>
      <c r="S11" s="35">
        <v>0</v>
      </c>
      <c r="T11" s="35">
        <v>0</v>
      </c>
      <c r="U11" s="20">
        <f t="shared" si="4"/>
        <v>0</v>
      </c>
      <c r="V11" s="29">
        <v>0</v>
      </c>
      <c r="W11" s="29">
        <v>0</v>
      </c>
      <c r="X11" s="29">
        <v>0</v>
      </c>
      <c r="Y11" s="29">
        <v>0</v>
      </c>
      <c r="Z11" s="35">
        <v>0</v>
      </c>
      <c r="AA11" s="35"/>
      <c r="AB11" s="35"/>
      <c r="AC11" s="34"/>
      <c r="AD11" s="42"/>
      <c r="AE11" s="34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>
      <c r="A12" s="54">
        <v>45938</v>
      </c>
      <c r="B12" s="50" t="s">
        <v>45</v>
      </c>
      <c r="C12" s="7">
        <v>0</v>
      </c>
      <c r="D12" s="12">
        <f t="shared" si="0"/>
        <v>0</v>
      </c>
      <c r="E12" s="7">
        <v>0</v>
      </c>
      <c r="F12" s="7">
        <v>0</v>
      </c>
      <c r="G12" s="12">
        <f t="shared" si="1"/>
        <v>0</v>
      </c>
      <c r="H12" s="14"/>
      <c r="I12" s="14"/>
      <c r="J12" s="7"/>
      <c r="K12" s="7"/>
      <c r="L12" s="7"/>
      <c r="M12" s="7"/>
      <c r="N12" s="16"/>
      <c r="O12" s="18"/>
      <c r="P12" s="53">
        <f t="shared" si="2"/>
        <v>0</v>
      </c>
      <c r="Q12" s="20">
        <f t="shared" si="3"/>
        <v>0</v>
      </c>
      <c r="R12" s="16">
        <v>0</v>
      </c>
      <c r="S12" s="16">
        <v>0</v>
      </c>
      <c r="T12" s="16">
        <v>0</v>
      </c>
      <c r="U12" s="20">
        <f t="shared" si="4"/>
        <v>0</v>
      </c>
      <c r="V12" s="16">
        <v>0</v>
      </c>
      <c r="W12" s="16">
        <v>0</v>
      </c>
      <c r="X12" s="16">
        <v>0</v>
      </c>
      <c r="Y12" s="16">
        <v>0</v>
      </c>
      <c r="Z12" s="20">
        <v>0</v>
      </c>
      <c r="AA12" s="16"/>
      <c r="AB12" s="35"/>
      <c r="AC12" s="34"/>
      <c r="AD12" s="42"/>
      <c r="AE12" s="2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>
      <c r="A13" s="54">
        <v>45939</v>
      </c>
      <c r="B13" s="50" t="s">
        <v>32</v>
      </c>
      <c r="C13" s="7">
        <v>3</v>
      </c>
      <c r="D13" s="12">
        <f t="shared" si="0"/>
        <v>3</v>
      </c>
      <c r="E13" s="7">
        <v>0</v>
      </c>
      <c r="F13" s="7">
        <v>0</v>
      </c>
      <c r="G13" s="12">
        <f t="shared" si="1"/>
        <v>0</v>
      </c>
      <c r="H13" s="14"/>
      <c r="I13" s="14"/>
      <c r="J13" s="7"/>
      <c r="K13" s="7"/>
      <c r="L13" s="7"/>
      <c r="M13" s="7"/>
      <c r="N13" s="16"/>
      <c r="O13" s="18"/>
      <c r="P13" s="53">
        <f t="shared" si="2"/>
        <v>133</v>
      </c>
      <c r="Q13" s="20">
        <f t="shared" si="3"/>
        <v>133</v>
      </c>
      <c r="R13" s="16">
        <v>0</v>
      </c>
      <c r="S13" s="16">
        <v>0</v>
      </c>
      <c r="T13" s="16">
        <v>133</v>
      </c>
      <c r="U13" s="20">
        <f t="shared" si="4"/>
        <v>132</v>
      </c>
      <c r="V13" s="16">
        <v>0</v>
      </c>
      <c r="W13" s="16">
        <v>0</v>
      </c>
      <c r="X13" s="16">
        <v>0</v>
      </c>
      <c r="Y13" s="16">
        <v>132</v>
      </c>
      <c r="Z13" s="20">
        <v>0</v>
      </c>
      <c r="AA13" s="16"/>
      <c r="AB13" s="16"/>
      <c r="AC13" s="16"/>
      <c r="AD13" s="42"/>
      <c r="AE13" s="22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>
      <c r="A14" s="4">
        <v>45940</v>
      </c>
      <c r="B14" s="5" t="s">
        <v>42</v>
      </c>
      <c r="C14" s="7">
        <v>14</v>
      </c>
      <c r="D14" s="12">
        <f t="shared" si="0"/>
        <v>14</v>
      </c>
      <c r="E14" s="7">
        <v>5</v>
      </c>
      <c r="F14" s="7">
        <v>28</v>
      </c>
      <c r="G14" s="12">
        <f t="shared" si="1"/>
        <v>33</v>
      </c>
      <c r="H14" s="14"/>
      <c r="I14" s="14" t="s">
        <v>121</v>
      </c>
      <c r="J14" s="7">
        <v>12</v>
      </c>
      <c r="K14" s="7"/>
      <c r="L14" s="7">
        <v>5</v>
      </c>
      <c r="M14" s="7">
        <f>8+5+6</f>
        <v>19</v>
      </c>
      <c r="N14" s="16" t="s">
        <v>122</v>
      </c>
      <c r="O14" s="18" t="s">
        <v>119</v>
      </c>
      <c r="P14" s="53">
        <f t="shared" si="2"/>
        <v>14412</v>
      </c>
      <c r="Q14" s="20">
        <f t="shared" si="3"/>
        <v>8652</v>
      </c>
      <c r="R14" s="16">
        <v>0</v>
      </c>
      <c r="S14" s="16">
        <v>28</v>
      </c>
      <c r="T14" s="16">
        <v>8624</v>
      </c>
      <c r="U14" s="20">
        <f t="shared" si="4"/>
        <v>7202</v>
      </c>
      <c r="V14" s="16">
        <v>5633</v>
      </c>
      <c r="W14" s="16">
        <v>0</v>
      </c>
      <c r="X14" s="16">
        <v>127</v>
      </c>
      <c r="Y14" s="16">
        <v>1442</v>
      </c>
      <c r="Z14" s="20">
        <v>3</v>
      </c>
      <c r="AA14" s="16"/>
      <c r="AB14" s="20"/>
      <c r="AC14" s="20"/>
      <c r="AD14" s="42"/>
      <c r="AE14" s="22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>
      <c r="A15" s="54">
        <v>45941</v>
      </c>
      <c r="B15" s="50" t="s">
        <v>39</v>
      </c>
      <c r="C15" s="7">
        <f>14-3</f>
        <v>11</v>
      </c>
      <c r="D15" s="12">
        <f t="shared" si="0"/>
        <v>11</v>
      </c>
      <c r="E15" s="7">
        <v>4</v>
      </c>
      <c r="F15" s="7">
        <v>3</v>
      </c>
      <c r="G15" s="12">
        <f t="shared" si="1"/>
        <v>7</v>
      </c>
      <c r="H15" s="14"/>
      <c r="I15" s="14"/>
      <c r="J15" s="7"/>
      <c r="K15" s="7"/>
      <c r="L15" s="7"/>
      <c r="M15" s="7"/>
      <c r="N15" s="16"/>
      <c r="O15" s="18"/>
      <c r="P15" s="53">
        <f t="shared" si="2"/>
        <v>5904</v>
      </c>
      <c r="Q15" s="20">
        <f t="shared" si="3"/>
        <v>5799</v>
      </c>
      <c r="R15" s="16">
        <v>0</v>
      </c>
      <c r="S15" s="16">
        <v>8</v>
      </c>
      <c r="T15" s="16">
        <v>5791</v>
      </c>
      <c r="U15" s="20">
        <f t="shared" si="4"/>
        <v>3459</v>
      </c>
      <c r="V15" s="16">
        <v>105</v>
      </c>
      <c r="W15" s="16">
        <v>4</v>
      </c>
      <c r="X15" s="16">
        <v>0</v>
      </c>
      <c r="Y15" s="16">
        <v>3350</v>
      </c>
      <c r="Z15" s="20">
        <v>0</v>
      </c>
      <c r="AA15" s="16"/>
      <c r="AB15" s="16"/>
      <c r="AC15" s="42"/>
      <c r="AD15" s="42"/>
      <c r="AE15" s="22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>
      <c r="A16" s="54">
        <v>45942</v>
      </c>
      <c r="B16" s="50" t="s">
        <v>37</v>
      </c>
      <c r="C16" s="7">
        <v>1</v>
      </c>
      <c r="D16" s="12">
        <f t="shared" si="0"/>
        <v>1</v>
      </c>
      <c r="E16" s="7">
        <v>0</v>
      </c>
      <c r="F16" s="7">
        <v>0</v>
      </c>
      <c r="G16" s="12">
        <f t="shared" si="1"/>
        <v>0</v>
      </c>
      <c r="H16" s="14"/>
      <c r="I16" s="14"/>
      <c r="J16" s="7"/>
      <c r="K16" s="7"/>
      <c r="L16" s="7"/>
      <c r="M16" s="7"/>
      <c r="N16" s="18"/>
      <c r="O16" s="18"/>
      <c r="P16" s="53">
        <f t="shared" si="2"/>
        <v>31</v>
      </c>
      <c r="Q16" s="20">
        <f t="shared" si="3"/>
        <v>31</v>
      </c>
      <c r="R16" s="16">
        <v>0</v>
      </c>
      <c r="S16" s="16">
        <v>0</v>
      </c>
      <c r="T16" s="16">
        <v>31</v>
      </c>
      <c r="U16" s="20">
        <f t="shared" si="4"/>
        <v>31</v>
      </c>
      <c r="V16" s="16">
        <v>0</v>
      </c>
      <c r="W16" s="16">
        <v>0</v>
      </c>
      <c r="X16" s="16">
        <v>0</v>
      </c>
      <c r="Y16" s="16">
        <v>31</v>
      </c>
      <c r="Z16" s="20">
        <v>0</v>
      </c>
      <c r="AA16" s="16"/>
      <c r="AB16" s="20"/>
      <c r="AC16" s="22"/>
      <c r="AD16" s="42"/>
      <c r="AE16" s="22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>
      <c r="A17" s="4">
        <v>45943</v>
      </c>
      <c r="B17" s="5" t="s">
        <v>44</v>
      </c>
      <c r="C17" s="7">
        <v>14</v>
      </c>
      <c r="D17" s="12">
        <f t="shared" si="0"/>
        <v>14</v>
      </c>
      <c r="E17" s="7">
        <v>4</v>
      </c>
      <c r="F17" s="7">
        <v>28</v>
      </c>
      <c r="G17" s="12">
        <f t="shared" si="1"/>
        <v>32</v>
      </c>
      <c r="H17" s="14"/>
      <c r="I17" s="14" t="s">
        <v>123</v>
      </c>
      <c r="J17" s="7">
        <v>2</v>
      </c>
      <c r="K17" s="7"/>
      <c r="L17" s="7"/>
      <c r="M17" s="7"/>
      <c r="N17" s="16">
        <v>210</v>
      </c>
      <c r="O17" s="18" t="s">
        <v>124</v>
      </c>
      <c r="P17" s="53">
        <f t="shared" si="2"/>
        <v>16694</v>
      </c>
      <c r="Q17" s="20">
        <f t="shared" si="3"/>
        <v>13855</v>
      </c>
      <c r="R17" s="16">
        <v>0</v>
      </c>
      <c r="S17" s="16">
        <v>87</v>
      </c>
      <c r="T17" s="16">
        <v>13768</v>
      </c>
      <c r="U17" s="20">
        <f t="shared" si="4"/>
        <v>4935</v>
      </c>
      <c r="V17" s="16">
        <v>2760</v>
      </c>
      <c r="W17" s="16">
        <v>4</v>
      </c>
      <c r="X17" s="16">
        <v>79</v>
      </c>
      <c r="Y17" s="16">
        <v>2092</v>
      </c>
      <c r="Z17" s="20">
        <v>2</v>
      </c>
      <c r="AA17" s="20"/>
      <c r="AB17" s="20"/>
      <c r="AC17" s="22"/>
      <c r="AD17" s="42"/>
      <c r="AE17" s="22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>
      <c r="A18" s="4">
        <v>45944</v>
      </c>
      <c r="B18" s="5" t="s">
        <v>38</v>
      </c>
      <c r="C18" s="7">
        <v>14</v>
      </c>
      <c r="D18" s="12">
        <f t="shared" si="0"/>
        <v>14</v>
      </c>
      <c r="E18" s="7">
        <v>4</v>
      </c>
      <c r="F18" s="7">
        <f>3+3+4</f>
        <v>10</v>
      </c>
      <c r="G18" s="12">
        <f t="shared" si="1"/>
        <v>14</v>
      </c>
      <c r="H18" s="14"/>
      <c r="I18" s="7" t="s">
        <v>98</v>
      </c>
      <c r="J18" s="7">
        <v>1</v>
      </c>
      <c r="K18" s="7"/>
      <c r="L18" s="7"/>
      <c r="M18" s="7"/>
      <c r="N18" s="16">
        <v>90</v>
      </c>
      <c r="O18" s="18" t="s">
        <v>124</v>
      </c>
      <c r="P18" s="53">
        <f t="shared" si="2"/>
        <v>7762</v>
      </c>
      <c r="Q18" s="20">
        <f t="shared" si="3"/>
        <v>6584</v>
      </c>
      <c r="R18" s="16">
        <v>0</v>
      </c>
      <c r="S18" s="16">
        <v>124</v>
      </c>
      <c r="T18" s="16">
        <v>6460</v>
      </c>
      <c r="U18" s="20">
        <f t="shared" si="4"/>
        <v>2206</v>
      </c>
      <c r="V18" s="16">
        <v>1000</v>
      </c>
      <c r="W18" s="16">
        <v>9</v>
      </c>
      <c r="X18" s="16">
        <v>178</v>
      </c>
      <c r="Y18" s="16">
        <v>1019</v>
      </c>
      <c r="Z18" s="20">
        <v>2</v>
      </c>
      <c r="AA18" s="20"/>
      <c r="AB18" s="20"/>
      <c r="AC18" s="22"/>
      <c r="AD18" s="42"/>
      <c r="AE18" s="22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>
      <c r="A19" s="4">
        <v>45945</v>
      </c>
      <c r="B19" s="5" t="s">
        <v>45</v>
      </c>
      <c r="C19" s="7">
        <v>13</v>
      </c>
      <c r="D19" s="12">
        <f t="shared" si="0"/>
        <v>13</v>
      </c>
      <c r="E19" s="7">
        <v>8</v>
      </c>
      <c r="F19" s="7">
        <v>6</v>
      </c>
      <c r="G19" s="12">
        <f t="shared" si="1"/>
        <v>14</v>
      </c>
      <c r="H19" s="14"/>
      <c r="I19" s="7" t="s">
        <v>84</v>
      </c>
      <c r="J19" s="7"/>
      <c r="K19" s="7"/>
      <c r="L19" s="7"/>
      <c r="M19" s="7"/>
      <c r="N19" s="16"/>
      <c r="O19" s="18"/>
      <c r="P19" s="53">
        <f t="shared" si="2"/>
        <v>7261</v>
      </c>
      <c r="Q19" s="20">
        <f t="shared" si="3"/>
        <v>6347</v>
      </c>
      <c r="R19" s="16">
        <v>0</v>
      </c>
      <c r="S19" s="16">
        <v>145</v>
      </c>
      <c r="T19" s="16">
        <v>6202</v>
      </c>
      <c r="U19" s="20">
        <f t="shared" si="4"/>
        <v>2118</v>
      </c>
      <c r="V19" s="16">
        <v>894</v>
      </c>
      <c r="W19" s="16">
        <v>2</v>
      </c>
      <c r="X19" s="16">
        <v>20</v>
      </c>
      <c r="Y19" s="16">
        <v>1202</v>
      </c>
      <c r="Z19" s="20">
        <v>4</v>
      </c>
      <c r="AA19" s="16"/>
      <c r="AB19" s="16"/>
      <c r="AC19" s="42"/>
      <c r="AD19" s="42"/>
      <c r="AE19" s="22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30">
        <v>45946</v>
      </c>
      <c r="B20" s="31" t="s">
        <v>32</v>
      </c>
      <c r="C20" s="25">
        <v>13.5</v>
      </c>
      <c r="D20" s="26">
        <f t="shared" si="0"/>
        <v>13.5</v>
      </c>
      <c r="E20" s="25">
        <v>8</v>
      </c>
      <c r="F20" s="25">
        <v>4</v>
      </c>
      <c r="G20" s="26">
        <f t="shared" si="1"/>
        <v>12</v>
      </c>
      <c r="H20" s="28"/>
      <c r="I20" s="28" t="s">
        <v>125</v>
      </c>
      <c r="J20" s="25">
        <v>13</v>
      </c>
      <c r="K20" s="25"/>
      <c r="L20" s="25"/>
      <c r="M20" s="25"/>
      <c r="N20" s="29"/>
      <c r="O20" s="32" t="s">
        <v>126</v>
      </c>
      <c r="P20" s="53">
        <f t="shared" si="2"/>
        <v>5440</v>
      </c>
      <c r="Q20" s="35">
        <f t="shared" si="3"/>
        <v>4254</v>
      </c>
      <c r="R20" s="29">
        <v>0</v>
      </c>
      <c r="S20" s="35">
        <v>123</v>
      </c>
      <c r="T20" s="35">
        <v>4131</v>
      </c>
      <c r="U20" s="20">
        <f t="shared" si="4"/>
        <v>2253</v>
      </c>
      <c r="V20" s="35">
        <v>986</v>
      </c>
      <c r="W20" s="35">
        <v>6</v>
      </c>
      <c r="X20" s="35">
        <v>200</v>
      </c>
      <c r="Y20" s="35">
        <v>1061</v>
      </c>
      <c r="Z20" s="35">
        <v>2</v>
      </c>
      <c r="AA20" s="29"/>
      <c r="AB20" s="35"/>
      <c r="AC20" s="34"/>
      <c r="AD20" s="55"/>
      <c r="AE20" s="34"/>
      <c r="AF20" s="1"/>
      <c r="AG20" s="1"/>
      <c r="AH20" s="33"/>
      <c r="AI20" s="33"/>
      <c r="AJ20" s="33"/>
      <c r="AK20" s="33"/>
      <c r="AL20" s="33"/>
      <c r="AM20" s="33"/>
      <c r="AN20" s="33"/>
      <c r="AO20" s="33"/>
      <c r="AP20" s="33"/>
    </row>
    <row r="21" spans="1:42" ht="15.75" customHeight="1">
      <c r="A21" s="4">
        <v>45947</v>
      </c>
      <c r="B21" s="5" t="s">
        <v>42</v>
      </c>
      <c r="C21" s="7">
        <v>15</v>
      </c>
      <c r="D21" s="12">
        <f t="shared" si="0"/>
        <v>15</v>
      </c>
      <c r="E21" s="7">
        <v>6</v>
      </c>
      <c r="F21" s="7">
        <v>11</v>
      </c>
      <c r="G21" s="12">
        <f t="shared" si="1"/>
        <v>17</v>
      </c>
      <c r="H21" s="14"/>
      <c r="I21" s="14" t="s">
        <v>85</v>
      </c>
      <c r="J21" s="7">
        <v>3</v>
      </c>
      <c r="K21" s="7"/>
      <c r="L21" s="7"/>
      <c r="M21" s="7"/>
      <c r="N21" s="16" t="s">
        <v>127</v>
      </c>
      <c r="O21" s="18" t="s">
        <v>8</v>
      </c>
      <c r="P21" s="53">
        <f t="shared" si="2"/>
        <v>5264</v>
      </c>
      <c r="Q21" s="20">
        <f t="shared" si="3"/>
        <v>4129</v>
      </c>
      <c r="R21" s="16">
        <v>0</v>
      </c>
      <c r="S21" s="16">
        <v>84</v>
      </c>
      <c r="T21" s="16">
        <v>4045</v>
      </c>
      <c r="U21" s="20">
        <f t="shared" si="4"/>
        <v>2549</v>
      </c>
      <c r="V21" s="20">
        <v>931</v>
      </c>
      <c r="W21" s="20">
        <v>11</v>
      </c>
      <c r="X21" s="20">
        <v>204</v>
      </c>
      <c r="Y21" s="20">
        <v>1403</v>
      </c>
      <c r="Z21" s="20">
        <v>5</v>
      </c>
      <c r="AA21" s="16"/>
      <c r="AB21" s="20"/>
      <c r="AC21" s="22"/>
      <c r="AD21" s="42"/>
      <c r="AE21" s="22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>
      <c r="A22" s="54">
        <v>45948</v>
      </c>
      <c r="B22" s="50" t="s">
        <v>39</v>
      </c>
      <c r="C22" s="7">
        <v>2</v>
      </c>
      <c r="D22" s="12">
        <f t="shared" si="0"/>
        <v>2</v>
      </c>
      <c r="E22" s="7">
        <v>0</v>
      </c>
      <c r="F22" s="7">
        <v>0</v>
      </c>
      <c r="G22" s="12">
        <f t="shared" si="1"/>
        <v>0</v>
      </c>
      <c r="H22" s="14"/>
      <c r="I22" s="14"/>
      <c r="J22" s="7"/>
      <c r="K22" s="7"/>
      <c r="L22" s="7"/>
      <c r="M22" s="7"/>
      <c r="N22" s="16"/>
      <c r="O22" s="18"/>
      <c r="P22" s="53">
        <f t="shared" si="2"/>
        <v>199</v>
      </c>
      <c r="Q22" s="20">
        <f t="shared" si="3"/>
        <v>199</v>
      </c>
      <c r="R22" s="16">
        <v>0</v>
      </c>
      <c r="S22" s="16">
        <v>0</v>
      </c>
      <c r="T22" s="16">
        <v>199</v>
      </c>
      <c r="U22" s="20">
        <f t="shared" si="4"/>
        <v>199</v>
      </c>
      <c r="V22" s="20">
        <v>0</v>
      </c>
      <c r="W22" s="20">
        <v>0</v>
      </c>
      <c r="X22" s="20">
        <v>0</v>
      </c>
      <c r="Y22" s="20">
        <v>199</v>
      </c>
      <c r="Z22" s="16">
        <v>0</v>
      </c>
      <c r="AA22" s="20"/>
      <c r="AB22" s="20"/>
      <c r="AC22" s="22"/>
      <c r="AD22" s="42"/>
      <c r="AE22" s="22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>
      <c r="A23" s="54">
        <v>45949</v>
      </c>
      <c r="B23" s="50" t="s">
        <v>37</v>
      </c>
      <c r="C23" s="7">
        <v>1</v>
      </c>
      <c r="D23" s="12">
        <f t="shared" si="0"/>
        <v>1</v>
      </c>
      <c r="E23" s="7">
        <v>0</v>
      </c>
      <c r="F23" s="7">
        <v>0</v>
      </c>
      <c r="G23" s="12">
        <f t="shared" si="1"/>
        <v>0</v>
      </c>
      <c r="H23" s="14"/>
      <c r="J23" s="7"/>
      <c r="K23" s="7"/>
      <c r="L23" s="7"/>
      <c r="M23" s="7"/>
      <c r="N23" s="16"/>
      <c r="O23" s="18"/>
      <c r="P23" s="53">
        <f t="shared" si="2"/>
        <v>29</v>
      </c>
      <c r="Q23" s="20">
        <f t="shared" si="3"/>
        <v>29</v>
      </c>
      <c r="R23" s="16">
        <v>0</v>
      </c>
      <c r="S23" s="16">
        <v>0</v>
      </c>
      <c r="T23" s="16">
        <v>29</v>
      </c>
      <c r="U23" s="20">
        <f t="shared" si="4"/>
        <v>29</v>
      </c>
      <c r="V23" s="20">
        <v>0</v>
      </c>
      <c r="W23" s="20">
        <v>0</v>
      </c>
      <c r="X23" s="20">
        <v>0</v>
      </c>
      <c r="Y23" s="20">
        <v>29</v>
      </c>
      <c r="Z23" s="20">
        <v>0</v>
      </c>
      <c r="AA23" s="22"/>
      <c r="AB23" s="22"/>
      <c r="AC23" s="22"/>
      <c r="AD23" s="42"/>
      <c r="AE23" s="22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>
      <c r="A24" s="4">
        <v>45950</v>
      </c>
      <c r="B24" s="5" t="s">
        <v>44</v>
      </c>
      <c r="C24" s="7">
        <v>14.5</v>
      </c>
      <c r="D24" s="12">
        <f t="shared" si="0"/>
        <v>14.5</v>
      </c>
      <c r="E24" s="7">
        <v>8</v>
      </c>
      <c r="F24" s="7">
        <v>9</v>
      </c>
      <c r="G24" s="12">
        <f t="shared" si="1"/>
        <v>17</v>
      </c>
      <c r="H24" s="14"/>
      <c r="I24" s="14" t="s">
        <v>128</v>
      </c>
      <c r="J24" s="7">
        <v>14</v>
      </c>
      <c r="K24" s="7"/>
      <c r="L24" s="7"/>
      <c r="M24" s="7"/>
      <c r="N24" s="16" t="s">
        <v>129</v>
      </c>
      <c r="O24" s="18" t="s">
        <v>119</v>
      </c>
      <c r="P24" s="53">
        <f t="shared" si="2"/>
        <v>6846</v>
      </c>
      <c r="Q24" s="20">
        <f t="shared" si="3"/>
        <v>4267</v>
      </c>
      <c r="R24" s="16">
        <v>0</v>
      </c>
      <c r="S24" s="16">
        <v>72</v>
      </c>
      <c r="T24" s="16">
        <v>4195</v>
      </c>
      <c r="U24" s="20">
        <f t="shared" si="4"/>
        <v>3956</v>
      </c>
      <c r="V24" s="16">
        <v>2525</v>
      </c>
      <c r="W24" s="20">
        <v>2</v>
      </c>
      <c r="X24" s="20">
        <v>54</v>
      </c>
      <c r="Y24" s="20">
        <v>1375</v>
      </c>
      <c r="Z24" s="20">
        <v>2</v>
      </c>
      <c r="AA24" s="22"/>
      <c r="AB24" s="22"/>
      <c r="AC24" s="22"/>
      <c r="AD24" s="42"/>
      <c r="AE24" s="22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>
      <c r="A25" s="4">
        <v>45951</v>
      </c>
      <c r="B25" s="5" t="s">
        <v>38</v>
      </c>
      <c r="C25" s="7">
        <v>13</v>
      </c>
      <c r="D25" s="12">
        <f t="shared" si="0"/>
        <v>13</v>
      </c>
      <c r="E25" s="7">
        <v>8</v>
      </c>
      <c r="F25" s="7">
        <v>8</v>
      </c>
      <c r="G25" s="12">
        <f t="shared" si="1"/>
        <v>16</v>
      </c>
      <c r="H25" s="14"/>
      <c r="I25" s="14" t="s">
        <v>130</v>
      </c>
      <c r="J25" s="7">
        <v>2</v>
      </c>
      <c r="K25" s="7"/>
      <c r="L25" s="7"/>
      <c r="M25" s="7"/>
      <c r="N25" s="16" t="s">
        <v>131</v>
      </c>
      <c r="O25" s="18" t="s">
        <v>132</v>
      </c>
      <c r="P25" s="53">
        <f t="shared" si="2"/>
        <v>5370</v>
      </c>
      <c r="Q25" s="20">
        <f t="shared" si="3"/>
        <v>4057</v>
      </c>
      <c r="R25" s="16">
        <v>0</v>
      </c>
      <c r="S25" s="16">
        <v>77</v>
      </c>
      <c r="T25" s="16">
        <v>3980</v>
      </c>
      <c r="U25" s="20">
        <f t="shared" si="4"/>
        <v>2920</v>
      </c>
      <c r="V25" s="16">
        <v>995</v>
      </c>
      <c r="W25" s="16">
        <v>8</v>
      </c>
      <c r="X25" s="16">
        <v>318</v>
      </c>
      <c r="Y25" s="16">
        <v>1599</v>
      </c>
      <c r="Z25" s="16">
        <v>4</v>
      </c>
      <c r="AA25" s="22"/>
      <c r="AB25" s="22"/>
      <c r="AC25" s="22"/>
      <c r="AD25" s="42"/>
      <c r="AE25" s="22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>
      <c r="A26" s="4">
        <v>45952</v>
      </c>
      <c r="B26" s="5" t="s">
        <v>45</v>
      </c>
      <c r="C26" s="7">
        <v>12</v>
      </c>
      <c r="D26" s="12">
        <f t="shared" si="0"/>
        <v>12</v>
      </c>
      <c r="E26" s="7">
        <v>8</v>
      </c>
      <c r="F26" s="7">
        <v>4</v>
      </c>
      <c r="G26" s="12">
        <f t="shared" si="1"/>
        <v>12</v>
      </c>
      <c r="H26" s="14"/>
      <c r="I26" s="14" t="s">
        <v>66</v>
      </c>
      <c r="J26" s="7">
        <v>3</v>
      </c>
      <c r="K26" s="7"/>
      <c r="L26" s="7"/>
      <c r="M26" s="7"/>
      <c r="N26" s="16" t="s">
        <v>127</v>
      </c>
      <c r="O26" s="18" t="s">
        <v>133</v>
      </c>
      <c r="P26" s="53">
        <f t="shared" si="2"/>
        <v>4621</v>
      </c>
      <c r="Q26" s="141">
        <f t="shared" si="3"/>
        <v>3456</v>
      </c>
      <c r="R26" s="141">
        <v>0</v>
      </c>
      <c r="S26" s="141">
        <v>116</v>
      </c>
      <c r="T26" s="141">
        <v>3340</v>
      </c>
      <c r="U26" s="141">
        <f t="shared" si="4"/>
        <v>2273</v>
      </c>
      <c r="V26" s="141">
        <v>944</v>
      </c>
      <c r="W26" s="141">
        <v>5</v>
      </c>
      <c r="X26" s="141">
        <v>221</v>
      </c>
      <c r="Y26" s="20">
        <v>1103</v>
      </c>
      <c r="Z26" s="20">
        <v>4</v>
      </c>
      <c r="AA26" s="22"/>
      <c r="AB26" s="22"/>
      <c r="AC26" s="22"/>
      <c r="AD26" s="42"/>
      <c r="AE26" s="2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>
      <c r="A27" s="4">
        <v>45953</v>
      </c>
      <c r="B27" s="5" t="s">
        <v>32</v>
      </c>
      <c r="C27" s="7">
        <v>13</v>
      </c>
      <c r="D27" s="12">
        <f t="shared" si="0"/>
        <v>13</v>
      </c>
      <c r="E27" s="7">
        <v>8</v>
      </c>
      <c r="F27" s="7">
        <v>5</v>
      </c>
      <c r="G27" s="12">
        <f t="shared" si="1"/>
        <v>13</v>
      </c>
      <c r="H27" s="7"/>
      <c r="I27" s="7" t="s">
        <v>61</v>
      </c>
      <c r="J27" s="7">
        <v>2</v>
      </c>
      <c r="K27" s="7"/>
      <c r="L27" s="7"/>
      <c r="M27" s="7"/>
      <c r="N27" s="16" t="s">
        <v>134</v>
      </c>
      <c r="O27" s="18" t="s">
        <v>8</v>
      </c>
      <c r="P27" s="53">
        <f t="shared" si="2"/>
        <v>3408</v>
      </c>
      <c r="Q27" s="141">
        <f t="shared" si="3"/>
        <v>2272</v>
      </c>
      <c r="R27" s="141">
        <v>0</v>
      </c>
      <c r="S27" s="141">
        <v>55</v>
      </c>
      <c r="T27" s="141">
        <v>2217</v>
      </c>
      <c r="U27" s="141">
        <f t="shared" si="4"/>
        <v>1680</v>
      </c>
      <c r="V27" s="141">
        <v>923</v>
      </c>
      <c r="W27" s="141">
        <v>3</v>
      </c>
      <c r="X27" s="141">
        <v>213</v>
      </c>
      <c r="Y27" s="20">
        <v>541</v>
      </c>
      <c r="Z27" s="20">
        <v>10</v>
      </c>
      <c r="AA27" s="22"/>
      <c r="AB27" s="22"/>
      <c r="AC27" s="22"/>
      <c r="AD27" s="42"/>
      <c r="AE27" s="22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>
      <c r="A28" s="4">
        <v>45954</v>
      </c>
      <c r="B28" s="5" t="s">
        <v>42</v>
      </c>
      <c r="C28" s="7">
        <v>13</v>
      </c>
      <c r="D28" s="12">
        <f t="shared" si="0"/>
        <v>13</v>
      </c>
      <c r="E28" s="7">
        <v>8</v>
      </c>
      <c r="F28" s="7">
        <v>3</v>
      </c>
      <c r="G28" s="12">
        <f t="shared" si="1"/>
        <v>11</v>
      </c>
      <c r="H28" s="7"/>
      <c r="I28" s="7" t="s">
        <v>67</v>
      </c>
      <c r="J28" s="7"/>
      <c r="K28" s="7"/>
      <c r="L28" s="7"/>
      <c r="M28" s="7"/>
      <c r="N28" s="16"/>
      <c r="O28" s="18"/>
      <c r="P28" s="53">
        <f t="shared" si="2"/>
        <v>3508</v>
      </c>
      <c r="Q28" s="20">
        <f t="shared" si="3"/>
        <v>2543</v>
      </c>
      <c r="R28" s="16">
        <v>0</v>
      </c>
      <c r="S28" s="16">
        <v>73</v>
      </c>
      <c r="T28" s="16">
        <v>2470</v>
      </c>
      <c r="U28" s="20">
        <f t="shared" si="4"/>
        <v>1417</v>
      </c>
      <c r="V28" s="20">
        <v>946</v>
      </c>
      <c r="W28" s="20">
        <v>10</v>
      </c>
      <c r="X28" s="20">
        <v>19</v>
      </c>
      <c r="Y28" s="20">
        <v>442</v>
      </c>
      <c r="Z28" s="20">
        <v>3</v>
      </c>
      <c r="AA28" s="20"/>
      <c r="AB28" s="20"/>
      <c r="AC28" s="22"/>
      <c r="AD28" s="42"/>
      <c r="AE28" s="22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>
      <c r="A29" s="54">
        <v>45955</v>
      </c>
      <c r="B29" s="50" t="s">
        <v>39</v>
      </c>
      <c r="C29" s="7">
        <v>1</v>
      </c>
      <c r="D29" s="12">
        <f t="shared" si="0"/>
        <v>1</v>
      </c>
      <c r="E29" s="7">
        <v>0</v>
      </c>
      <c r="F29" s="7">
        <v>0</v>
      </c>
      <c r="G29" s="12">
        <f t="shared" si="1"/>
        <v>0</v>
      </c>
      <c r="H29" s="14"/>
      <c r="I29" s="14"/>
      <c r="J29" s="7"/>
      <c r="K29" s="7"/>
      <c r="L29" s="7"/>
      <c r="M29" s="7"/>
      <c r="N29" s="16"/>
      <c r="O29" s="18"/>
      <c r="P29" s="53">
        <f t="shared" si="2"/>
        <v>25</v>
      </c>
      <c r="Q29" s="20">
        <f t="shared" si="3"/>
        <v>25</v>
      </c>
      <c r="R29" s="16">
        <v>0</v>
      </c>
      <c r="S29" s="16">
        <v>0</v>
      </c>
      <c r="T29" s="16">
        <v>25</v>
      </c>
      <c r="U29" s="20">
        <f t="shared" si="4"/>
        <v>25</v>
      </c>
      <c r="V29" s="20">
        <v>0</v>
      </c>
      <c r="W29" s="20">
        <v>0</v>
      </c>
      <c r="X29" s="20">
        <v>0</v>
      </c>
      <c r="Y29" s="20">
        <v>25</v>
      </c>
      <c r="Z29" s="20">
        <v>0</v>
      </c>
      <c r="AA29" s="16"/>
      <c r="AB29" s="16"/>
      <c r="AC29" s="42"/>
      <c r="AD29" s="42"/>
      <c r="AE29" s="22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customHeight="1">
      <c r="A30" s="54">
        <v>45956</v>
      </c>
      <c r="B30" s="50" t="s">
        <v>37</v>
      </c>
      <c r="C30" s="7">
        <v>1</v>
      </c>
      <c r="D30" s="12">
        <f t="shared" si="0"/>
        <v>1</v>
      </c>
      <c r="E30" s="7">
        <v>0</v>
      </c>
      <c r="F30" s="7">
        <v>0</v>
      </c>
      <c r="G30" s="12">
        <f t="shared" si="1"/>
        <v>0</v>
      </c>
      <c r="H30" s="14"/>
      <c r="I30" s="14"/>
      <c r="J30" s="7"/>
      <c r="K30" s="7"/>
      <c r="L30" s="7"/>
      <c r="M30" s="7"/>
      <c r="N30" s="16"/>
      <c r="O30" s="18"/>
      <c r="P30" s="53">
        <f t="shared" si="2"/>
        <v>132</v>
      </c>
      <c r="Q30" s="20">
        <f t="shared" si="3"/>
        <v>132</v>
      </c>
      <c r="R30" s="16">
        <v>0</v>
      </c>
      <c r="S30" s="16">
        <v>0</v>
      </c>
      <c r="T30" s="16">
        <v>132</v>
      </c>
      <c r="U30" s="20">
        <f t="shared" si="4"/>
        <v>132</v>
      </c>
      <c r="V30" s="20">
        <v>0</v>
      </c>
      <c r="W30" s="20">
        <v>0</v>
      </c>
      <c r="X30" s="20">
        <v>0</v>
      </c>
      <c r="Y30" s="20">
        <v>132</v>
      </c>
      <c r="Z30" s="20">
        <v>0</v>
      </c>
      <c r="AA30" s="20"/>
      <c r="AB30" s="20"/>
      <c r="AC30" s="22"/>
      <c r="AD30" s="42"/>
      <c r="AE30" s="22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customHeight="1">
      <c r="A31" s="4">
        <v>45957</v>
      </c>
      <c r="B31" s="5" t="s">
        <v>44</v>
      </c>
      <c r="C31" s="7">
        <v>14</v>
      </c>
      <c r="D31" s="12">
        <f t="shared" si="0"/>
        <v>14</v>
      </c>
      <c r="E31" s="7">
        <v>8</v>
      </c>
      <c r="F31" s="7">
        <v>10</v>
      </c>
      <c r="G31" s="12">
        <f t="shared" si="1"/>
        <v>18</v>
      </c>
      <c r="H31" s="7"/>
      <c r="I31" s="7" t="s">
        <v>142</v>
      </c>
      <c r="J31" s="7">
        <v>12</v>
      </c>
      <c r="K31" s="7"/>
      <c r="L31" s="7"/>
      <c r="M31" s="7"/>
      <c r="N31" s="16" t="s">
        <v>129</v>
      </c>
      <c r="O31" s="18" t="s">
        <v>119</v>
      </c>
      <c r="P31" s="53">
        <f t="shared" si="2"/>
        <v>6176</v>
      </c>
      <c r="Q31" s="20">
        <f t="shared" si="3"/>
        <v>3876</v>
      </c>
      <c r="R31" s="16">
        <v>0</v>
      </c>
      <c r="S31" s="16">
        <v>127</v>
      </c>
      <c r="T31" s="16">
        <v>3749</v>
      </c>
      <c r="U31" s="20">
        <f t="shared" si="4"/>
        <v>3083</v>
      </c>
      <c r="V31" s="20">
        <v>2243</v>
      </c>
      <c r="W31" s="20">
        <v>48</v>
      </c>
      <c r="X31" s="20">
        <f>9+48</f>
        <v>57</v>
      </c>
      <c r="Y31" s="20">
        <v>735</v>
      </c>
      <c r="Z31" s="20">
        <v>0</v>
      </c>
      <c r="AA31" s="20"/>
      <c r="AB31" s="20"/>
      <c r="AC31" s="22"/>
      <c r="AD31" s="42"/>
      <c r="AE31" s="22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customHeight="1">
      <c r="A32" s="4">
        <v>45958</v>
      </c>
      <c r="B32" s="5" t="s">
        <v>38</v>
      </c>
      <c r="C32" s="7">
        <v>14</v>
      </c>
      <c r="D32" s="12">
        <f t="shared" si="0"/>
        <v>14</v>
      </c>
      <c r="E32" s="7">
        <v>8</v>
      </c>
      <c r="F32" s="7">
        <v>7</v>
      </c>
      <c r="G32" s="12">
        <f t="shared" si="1"/>
        <v>15</v>
      </c>
      <c r="H32" s="7"/>
      <c r="I32" s="7" t="s">
        <v>80</v>
      </c>
      <c r="J32" s="14"/>
      <c r="K32" s="14"/>
      <c r="L32" s="14"/>
      <c r="M32" s="14"/>
      <c r="N32" s="20"/>
      <c r="O32" s="36"/>
      <c r="P32" s="53">
        <f t="shared" si="2"/>
        <v>5832</v>
      </c>
      <c r="Q32" s="20">
        <f t="shared" si="3"/>
        <v>4957</v>
      </c>
      <c r="R32" s="16">
        <v>0</v>
      </c>
      <c r="S32" s="16">
        <v>37</v>
      </c>
      <c r="T32" s="16">
        <v>4920</v>
      </c>
      <c r="U32" s="20">
        <f t="shared" si="4"/>
        <v>2508</v>
      </c>
      <c r="V32" s="20">
        <v>866</v>
      </c>
      <c r="W32" s="20">
        <v>11</v>
      </c>
      <c r="X32" s="20">
        <v>9</v>
      </c>
      <c r="Y32" s="20">
        <v>1622</v>
      </c>
      <c r="Z32" s="20">
        <v>3</v>
      </c>
      <c r="AA32" s="20"/>
      <c r="AB32" s="20"/>
      <c r="AC32" s="22"/>
      <c r="AD32" s="42"/>
      <c r="AE32" s="22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customHeight="1">
      <c r="A33" s="4">
        <v>45959</v>
      </c>
      <c r="B33" s="5" t="s">
        <v>45</v>
      </c>
      <c r="C33" s="7">
        <v>13.5</v>
      </c>
      <c r="D33" s="12">
        <f t="shared" si="0"/>
        <v>13.5</v>
      </c>
      <c r="E33" s="7">
        <v>8</v>
      </c>
      <c r="F33" s="7">
        <v>4</v>
      </c>
      <c r="G33" s="12">
        <f t="shared" si="1"/>
        <v>12</v>
      </c>
      <c r="H33" s="7"/>
      <c r="I33" s="7" t="s">
        <v>66</v>
      </c>
      <c r="J33" s="14"/>
      <c r="K33" s="14"/>
      <c r="L33" s="14"/>
      <c r="M33" s="14"/>
      <c r="N33" s="20"/>
      <c r="O33" s="36"/>
      <c r="P33" s="53">
        <f t="shared" si="2"/>
        <v>5622</v>
      </c>
      <c r="Q33" s="20">
        <f t="shared" si="3"/>
        <v>4817</v>
      </c>
      <c r="R33" s="16">
        <v>0</v>
      </c>
      <c r="S33" s="20">
        <v>175</v>
      </c>
      <c r="T33" s="20">
        <v>4642</v>
      </c>
      <c r="U33" s="20">
        <f t="shared" si="4"/>
        <v>1414</v>
      </c>
      <c r="V33" s="20">
        <v>797</v>
      </c>
      <c r="W33" s="20">
        <v>72</v>
      </c>
      <c r="X33" s="20">
        <v>8</v>
      </c>
      <c r="Y33" s="20">
        <v>537</v>
      </c>
      <c r="Z33" s="20">
        <v>4</v>
      </c>
      <c r="AA33" s="20"/>
      <c r="AB33" s="20"/>
      <c r="AC33" s="22"/>
      <c r="AD33" s="42"/>
      <c r="AE33" s="22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5.75" customHeight="1">
      <c r="A34" s="4">
        <v>45960</v>
      </c>
      <c r="B34" s="5" t="s">
        <v>32</v>
      </c>
      <c r="C34" s="7">
        <v>14</v>
      </c>
      <c r="D34" s="12">
        <f t="shared" si="0"/>
        <v>14</v>
      </c>
      <c r="E34" s="14">
        <v>7</v>
      </c>
      <c r="F34" s="14">
        <v>4</v>
      </c>
      <c r="G34" s="12">
        <f t="shared" si="1"/>
        <v>11</v>
      </c>
      <c r="H34" s="14"/>
      <c r="I34" s="7" t="s">
        <v>66</v>
      </c>
      <c r="J34" s="14"/>
      <c r="K34" s="14"/>
      <c r="L34" s="14"/>
      <c r="M34" s="14"/>
      <c r="N34" s="20"/>
      <c r="O34" s="36"/>
      <c r="P34" s="53">
        <f t="shared" si="2"/>
        <v>3568</v>
      </c>
      <c r="Q34" s="20">
        <f t="shared" si="3"/>
        <v>2769</v>
      </c>
      <c r="R34" s="16">
        <v>0</v>
      </c>
      <c r="S34" s="20">
        <v>64</v>
      </c>
      <c r="T34" s="20">
        <v>2705</v>
      </c>
      <c r="U34" s="20">
        <f t="shared" si="4"/>
        <v>1551</v>
      </c>
      <c r="V34" s="20">
        <v>787</v>
      </c>
      <c r="W34" s="20">
        <v>29</v>
      </c>
      <c r="X34" s="20">
        <v>12</v>
      </c>
      <c r="Y34" s="20">
        <v>723</v>
      </c>
      <c r="Z34" s="20">
        <v>6</v>
      </c>
      <c r="AA34" s="20"/>
      <c r="AB34" s="20"/>
      <c r="AC34" s="22"/>
      <c r="AD34" s="22"/>
      <c r="AE34" s="22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5.75" customHeight="1">
      <c r="A35" s="4">
        <v>45961</v>
      </c>
      <c r="B35" s="5" t="s">
        <v>42</v>
      </c>
      <c r="C35" s="7">
        <v>12.5</v>
      </c>
      <c r="D35" s="12">
        <f t="shared" si="0"/>
        <v>12.5</v>
      </c>
      <c r="E35" s="14">
        <v>7</v>
      </c>
      <c r="F35" s="14">
        <v>4</v>
      </c>
      <c r="G35" s="12">
        <f t="shared" si="1"/>
        <v>11</v>
      </c>
      <c r="H35" s="14"/>
      <c r="I35" s="7" t="s">
        <v>66</v>
      </c>
      <c r="J35" s="14"/>
      <c r="K35" s="14"/>
      <c r="L35" s="14"/>
      <c r="M35" s="14"/>
      <c r="N35" s="20"/>
      <c r="O35" s="36"/>
      <c r="P35" s="53">
        <f t="shared" si="2"/>
        <v>3716</v>
      </c>
      <c r="Q35" s="20">
        <f t="shared" si="3"/>
        <v>3046</v>
      </c>
      <c r="R35" s="16">
        <v>0</v>
      </c>
      <c r="S35" s="20">
        <v>138</v>
      </c>
      <c r="T35" s="20">
        <v>2908</v>
      </c>
      <c r="U35" s="20">
        <f t="shared" si="4"/>
        <v>1361</v>
      </c>
      <c r="V35" s="20">
        <v>659</v>
      </c>
      <c r="W35" s="20">
        <v>64</v>
      </c>
      <c r="X35" s="20">
        <v>11</v>
      </c>
      <c r="Y35" s="20">
        <v>627</v>
      </c>
      <c r="Z35" s="20">
        <v>1</v>
      </c>
      <c r="AA35" s="20"/>
      <c r="AB35" s="20"/>
      <c r="AC35" s="22"/>
      <c r="AD35" s="22"/>
      <c r="AE35" s="22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5.75" customHeight="1">
      <c r="A36" s="113" t="s">
        <v>19</v>
      </c>
      <c r="B36" s="107"/>
      <c r="C36" s="38">
        <f t="shared" ref="C36:H36" si="5">SUM(C5:C35)</f>
        <v>263</v>
      </c>
      <c r="D36" s="38">
        <f t="shared" si="5"/>
        <v>263</v>
      </c>
      <c r="E36" s="38">
        <f t="shared" si="5"/>
        <v>126</v>
      </c>
      <c r="F36" s="38">
        <f t="shared" si="5"/>
        <v>162</v>
      </c>
      <c r="G36" s="38">
        <f t="shared" si="5"/>
        <v>288</v>
      </c>
      <c r="H36" s="38">
        <f t="shared" si="5"/>
        <v>0</v>
      </c>
      <c r="I36" s="38"/>
      <c r="J36" s="38">
        <f t="shared" ref="J36:N36" si="6">SUM(J5:J35)</f>
        <v>78</v>
      </c>
      <c r="K36" s="38">
        <f t="shared" si="6"/>
        <v>0</v>
      </c>
      <c r="L36" s="38">
        <f t="shared" si="6"/>
        <v>5</v>
      </c>
      <c r="M36" s="38">
        <f t="shared" si="6"/>
        <v>19</v>
      </c>
      <c r="N36" s="40">
        <f t="shared" si="6"/>
        <v>420</v>
      </c>
      <c r="O36" s="41"/>
      <c r="P36" s="65">
        <f t="shared" ref="P36:AC36" si="7">SUM(P5:P35)</f>
        <v>123202</v>
      </c>
      <c r="Q36" s="137">
        <f t="shared" si="7"/>
        <v>95914</v>
      </c>
      <c r="R36" s="40">
        <f t="shared" si="7"/>
        <v>0</v>
      </c>
      <c r="S36" s="40">
        <f t="shared" si="7"/>
        <v>1723</v>
      </c>
      <c r="T36" s="40">
        <f t="shared" si="7"/>
        <v>94191</v>
      </c>
      <c r="U36" s="137">
        <f t="shared" si="7"/>
        <v>50947</v>
      </c>
      <c r="V36" s="40">
        <f t="shared" si="7"/>
        <v>25525</v>
      </c>
      <c r="W36" s="40">
        <f t="shared" si="7"/>
        <v>292</v>
      </c>
      <c r="X36" s="40">
        <f t="shared" si="7"/>
        <v>1763</v>
      </c>
      <c r="Y36" s="40">
        <f t="shared" si="7"/>
        <v>23367</v>
      </c>
      <c r="Z36" s="40">
        <f t="shared" si="7"/>
        <v>63</v>
      </c>
      <c r="AA36" s="40">
        <f t="shared" si="7"/>
        <v>0</v>
      </c>
      <c r="AB36" s="40">
        <f t="shared" si="7"/>
        <v>0</v>
      </c>
      <c r="AC36" s="41">
        <f t="shared" si="7"/>
        <v>0</v>
      </c>
      <c r="AD36" s="41"/>
      <c r="AE36" s="4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2.75">
      <c r="A37" s="11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69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69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69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69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69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6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69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6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69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69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69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6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69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69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69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69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69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69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69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69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69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69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69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69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69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69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69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69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69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69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69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69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69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69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6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6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69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69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69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69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69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69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69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69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69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69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69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69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69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69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69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69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69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6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69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6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69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69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69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69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69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69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69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69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69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69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69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69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69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69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69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69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69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69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69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69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69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69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69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69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69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69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69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69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69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69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69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9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9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9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9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9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9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9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9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9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9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9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9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9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9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9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9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9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9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9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9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9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9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9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9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9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9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9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9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9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9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9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9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9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9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9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9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9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9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9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9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9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9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9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9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9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9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9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9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9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9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9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9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9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9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9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9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9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9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9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9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9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9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9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9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9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9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9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9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9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9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9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9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9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9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9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9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9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9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9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9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9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9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9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9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9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9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9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9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9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9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9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9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9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9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9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9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9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9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9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9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9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9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9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9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9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9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9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9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9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9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9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9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9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9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9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9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9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9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9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9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9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9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9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69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69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69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69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69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69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69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69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69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69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69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69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69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69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69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69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69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69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69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69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69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69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69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69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69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69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69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69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69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69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69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69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69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69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69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69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69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69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69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69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69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69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69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69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69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69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69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69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69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69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69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69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69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69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69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69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69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69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69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69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69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69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69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69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69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69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69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69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69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69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69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69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69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69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69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69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69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69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69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69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69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69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69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69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69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69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69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69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69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69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69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69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69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69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69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69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69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69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69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69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69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69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69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69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69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69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69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69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69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69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69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69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69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69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69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69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69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69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69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69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69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69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69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69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69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69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69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69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69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69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69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69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69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69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69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69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69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69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69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69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69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69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69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69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69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69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69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69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69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69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69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69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69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69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69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69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69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69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69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69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69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69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69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69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69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69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69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69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69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69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69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69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69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69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69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69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69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69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69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69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69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69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69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69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69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69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69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69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69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69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69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69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69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69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69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69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69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69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69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69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69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69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69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69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69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69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69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69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69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69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69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69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69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69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69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69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69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69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69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69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69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69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69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69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69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69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69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69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69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69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69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69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69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69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69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69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69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69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69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69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69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69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69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69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69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69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69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69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69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69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69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69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69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69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69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69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69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69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69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69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69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69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69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69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69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69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69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69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69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69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69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69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69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69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69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69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69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69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69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69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69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69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69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69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69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69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69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69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69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69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69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69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69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69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69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69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69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69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69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69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69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69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69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69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69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69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69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69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69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69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69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69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69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69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69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69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69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69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69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69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69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69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69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69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69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69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69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69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69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69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69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69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69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69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69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69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69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69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69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69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69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69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69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69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69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69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69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69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69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69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69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69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69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69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69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69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69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69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69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69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69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69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69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69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69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69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69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69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69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69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69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69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69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69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69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69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69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69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69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69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69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69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69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69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69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69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69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69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69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69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69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69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69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69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69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69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69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69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69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69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69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69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69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69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69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69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69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69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69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69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69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69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69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69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69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69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69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69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69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69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69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69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69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69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69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69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69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69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69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69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69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69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69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69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69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69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69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69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69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69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69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69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69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69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69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69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69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69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69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69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69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69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69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69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69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69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69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69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69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69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69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69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69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69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69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69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69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69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69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69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69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69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69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69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69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69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69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69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69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69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69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69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69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69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69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69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69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69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69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69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69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69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69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69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69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69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69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69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69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69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69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69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69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69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69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69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69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69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69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69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69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69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69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69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69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69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69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69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69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69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69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69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69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69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69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69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69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69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69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69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69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69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69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69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69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69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69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69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69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69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69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69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69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69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69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69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69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69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69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69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69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69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69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69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69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69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69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69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69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69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69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69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69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69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69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69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69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69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69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69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69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69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69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69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69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69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69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69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69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69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69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69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69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69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69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69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69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69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69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69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69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69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69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69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69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69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69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69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69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69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69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69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69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69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69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69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69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69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69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69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69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69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69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69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69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69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69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69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69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69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69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69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69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69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69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69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69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69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69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69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69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69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69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69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69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69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69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69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69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69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69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69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69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69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69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69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69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69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69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69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69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69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69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69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69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69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69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69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69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69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69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69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69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69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69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69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69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69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69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69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69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69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69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69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69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69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69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69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69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69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69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69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69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69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69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69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69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69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69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69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69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69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69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69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69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69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69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69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69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69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69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69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69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69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69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69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69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69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69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69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69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69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69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69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69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69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69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69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69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69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69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69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69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69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69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69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69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69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69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69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69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69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69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69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69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69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69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69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69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69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69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69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69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69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69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69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69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69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69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</sheetData>
  <mergeCells count="16">
    <mergeCell ref="A36:B36"/>
    <mergeCell ref="A37:AE37"/>
    <mergeCell ref="U1:Y2"/>
    <mergeCell ref="W3:X3"/>
    <mergeCell ref="A1:A3"/>
    <mergeCell ref="B1:B3"/>
    <mergeCell ref="C1:I1"/>
    <mergeCell ref="J1:O2"/>
    <mergeCell ref="P1:P2"/>
    <mergeCell ref="Q1:T2"/>
    <mergeCell ref="I2:I3"/>
    <mergeCell ref="Z1:Z2"/>
    <mergeCell ref="AA1:AD2"/>
    <mergeCell ref="AE1:AE3"/>
    <mergeCell ref="C2:D2"/>
    <mergeCell ref="E2:G2"/>
  </mergeCells>
  <phoneticPr fontId="18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O58"/>
  <sheetViews>
    <sheetView topLeftCell="AF10" workbookViewId="0">
      <selection activeCell="AV9" sqref="AV9"/>
    </sheetView>
  </sheetViews>
  <sheetFormatPr defaultColWidth="12.5703125" defaultRowHeight="15.75" customHeight="1"/>
  <cols>
    <col min="1" max="1" width="8.85546875" customWidth="1"/>
    <col min="2" max="2" width="8.28515625" customWidth="1"/>
    <col min="3" max="20" width="6.42578125" customWidth="1"/>
    <col min="21" max="21" width="37" customWidth="1"/>
    <col min="22" max="58" width="6.42578125" customWidth="1"/>
    <col min="59" max="59" width="5.7109375" bestFit="1" customWidth="1"/>
    <col min="60" max="60" width="6.28515625" bestFit="1" customWidth="1"/>
    <col min="61" max="62" width="8.28515625" bestFit="1" customWidth="1"/>
    <col min="63" max="63" width="7.28515625" bestFit="1" customWidth="1"/>
    <col min="64" max="64" width="6.28515625" bestFit="1" customWidth="1"/>
    <col min="65" max="65" width="11.85546875" bestFit="1" customWidth="1"/>
    <col min="66" max="66" width="7.7109375" bestFit="1" customWidth="1"/>
    <col min="67" max="67" width="8.28515625" bestFit="1" customWidth="1"/>
  </cols>
  <sheetData>
    <row r="1" spans="1:67" ht="15.75" customHeight="1">
      <c r="A1" s="118" t="s">
        <v>135</v>
      </c>
      <c r="B1" s="96"/>
      <c r="C1" s="118" t="s">
        <v>136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  <c r="V1" s="118" t="s">
        <v>137</v>
      </c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6"/>
      <c r="AM1" s="118" t="s">
        <v>138</v>
      </c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6"/>
      <c r="BD1" s="126" t="s">
        <v>139</v>
      </c>
      <c r="BE1" s="95"/>
      <c r="BF1" s="96"/>
      <c r="BG1" s="118" t="s">
        <v>140</v>
      </c>
      <c r="BH1" s="95"/>
      <c r="BI1" s="95"/>
      <c r="BJ1" s="95"/>
      <c r="BK1" s="95"/>
      <c r="BL1" s="95"/>
      <c r="BM1" s="95"/>
      <c r="BN1" s="95"/>
      <c r="BO1" s="95"/>
    </row>
    <row r="2" spans="1:67" ht="15.75" customHeight="1">
      <c r="A2" s="97"/>
      <c r="B2" s="99"/>
      <c r="C2" s="97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  <c r="V2" s="97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9"/>
      <c r="AM2" s="97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9"/>
      <c r="BD2" s="124"/>
      <c r="BE2" s="104"/>
      <c r="BF2" s="125"/>
      <c r="BG2" s="97"/>
      <c r="BH2" s="98"/>
      <c r="BI2" s="98"/>
      <c r="BJ2" s="98"/>
      <c r="BK2" s="98"/>
      <c r="BL2" s="98"/>
      <c r="BM2" s="98"/>
      <c r="BN2" s="98"/>
      <c r="BO2" s="98"/>
    </row>
    <row r="3" spans="1:67" ht="15.75" customHeight="1">
      <c r="A3" s="120" t="s">
        <v>0</v>
      </c>
      <c r="B3" s="120" t="s">
        <v>1</v>
      </c>
      <c r="C3" s="121" t="s">
        <v>141</v>
      </c>
      <c r="D3" s="95"/>
      <c r="E3" s="96"/>
      <c r="F3" s="122" t="s">
        <v>143</v>
      </c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123" t="s">
        <v>144</v>
      </c>
      <c r="S3" s="95"/>
      <c r="T3" s="96"/>
      <c r="U3" s="120" t="s">
        <v>145</v>
      </c>
      <c r="V3" s="119" t="s">
        <v>141</v>
      </c>
      <c r="W3" s="106"/>
      <c r="X3" s="106"/>
      <c r="Y3" s="106"/>
      <c r="Z3" s="106"/>
      <c r="AA3" s="106"/>
      <c r="AB3" s="107"/>
      <c r="AC3" s="119" t="s">
        <v>143</v>
      </c>
      <c r="AD3" s="106"/>
      <c r="AE3" s="106"/>
      <c r="AF3" s="106"/>
      <c r="AG3" s="106"/>
      <c r="AH3" s="106"/>
      <c r="AI3" s="107"/>
      <c r="AJ3" s="152" t="s">
        <v>144</v>
      </c>
      <c r="AK3" s="153"/>
      <c r="AL3" s="154"/>
      <c r="AM3" s="119" t="s">
        <v>141</v>
      </c>
      <c r="AN3" s="106"/>
      <c r="AO3" s="106"/>
      <c r="AP3" s="106"/>
      <c r="AQ3" s="106"/>
      <c r="AR3" s="106"/>
      <c r="AS3" s="107"/>
      <c r="AT3" s="119" t="s">
        <v>143</v>
      </c>
      <c r="AU3" s="106"/>
      <c r="AV3" s="106"/>
      <c r="AW3" s="106"/>
      <c r="AX3" s="106"/>
      <c r="AY3" s="106"/>
      <c r="AZ3" s="107"/>
      <c r="BA3" s="152" t="s">
        <v>144</v>
      </c>
      <c r="BB3" s="153"/>
      <c r="BC3" s="154"/>
      <c r="BD3" s="124"/>
      <c r="BE3" s="104"/>
      <c r="BF3" s="125"/>
      <c r="BG3" s="142" t="s">
        <v>16</v>
      </c>
      <c r="BH3" s="129"/>
      <c r="BI3" s="129"/>
      <c r="BJ3" s="130"/>
      <c r="BK3" s="142" t="s">
        <v>146</v>
      </c>
      <c r="BL3" s="129"/>
      <c r="BM3" s="129"/>
      <c r="BN3" s="129"/>
      <c r="BO3" s="130"/>
    </row>
    <row r="4" spans="1:67" ht="15.75" customHeight="1">
      <c r="A4" s="101"/>
      <c r="B4" s="101"/>
      <c r="C4" s="97"/>
      <c r="D4" s="98"/>
      <c r="E4" s="99"/>
      <c r="F4" s="119" t="s">
        <v>16</v>
      </c>
      <c r="G4" s="106"/>
      <c r="H4" s="106"/>
      <c r="I4" s="107"/>
      <c r="J4" s="119" t="s">
        <v>147</v>
      </c>
      <c r="K4" s="106"/>
      <c r="L4" s="106"/>
      <c r="M4" s="107"/>
      <c r="N4" s="122" t="s">
        <v>148</v>
      </c>
      <c r="O4" s="106"/>
      <c r="P4" s="106"/>
      <c r="Q4" s="107"/>
      <c r="R4" s="97"/>
      <c r="S4" s="98"/>
      <c r="T4" s="99"/>
      <c r="U4" s="101"/>
      <c r="V4" s="119" t="s">
        <v>16</v>
      </c>
      <c r="W4" s="106"/>
      <c r="X4" s="107"/>
      <c r="Y4" s="119" t="s">
        <v>147</v>
      </c>
      <c r="Z4" s="106"/>
      <c r="AA4" s="107"/>
      <c r="AB4" s="120" t="s">
        <v>19</v>
      </c>
      <c r="AC4" s="119" t="s">
        <v>16</v>
      </c>
      <c r="AD4" s="106"/>
      <c r="AE4" s="107"/>
      <c r="AF4" s="119" t="s">
        <v>147</v>
      </c>
      <c r="AG4" s="106"/>
      <c r="AH4" s="107"/>
      <c r="AI4" s="120" t="s">
        <v>19</v>
      </c>
      <c r="AJ4" s="155"/>
      <c r="AK4" s="156"/>
      <c r="AL4" s="157"/>
      <c r="AM4" s="119" t="s">
        <v>16</v>
      </c>
      <c r="AN4" s="106"/>
      <c r="AO4" s="107"/>
      <c r="AP4" s="119" t="s">
        <v>147</v>
      </c>
      <c r="AQ4" s="106"/>
      <c r="AR4" s="107"/>
      <c r="AS4" s="120" t="s">
        <v>19</v>
      </c>
      <c r="AT4" s="119" t="s">
        <v>16</v>
      </c>
      <c r="AU4" s="106"/>
      <c r="AV4" s="107"/>
      <c r="AW4" s="119" t="s">
        <v>147</v>
      </c>
      <c r="AX4" s="106"/>
      <c r="AY4" s="107"/>
      <c r="AZ4" s="120" t="s">
        <v>19</v>
      </c>
      <c r="BA4" s="155"/>
      <c r="BB4" s="156"/>
      <c r="BC4" s="157"/>
      <c r="BD4" s="97"/>
      <c r="BE4" s="98"/>
      <c r="BF4" s="99"/>
      <c r="BG4" s="136"/>
      <c r="BH4" s="131"/>
      <c r="BI4" s="131"/>
      <c r="BJ4" s="132"/>
      <c r="BK4" s="136"/>
      <c r="BL4" s="131"/>
      <c r="BM4" s="131"/>
      <c r="BN4" s="131"/>
      <c r="BO4" s="132"/>
    </row>
    <row r="5" spans="1:67" ht="15.75" customHeight="1">
      <c r="A5" s="102"/>
      <c r="B5" s="102"/>
      <c r="C5" s="56" t="s">
        <v>16</v>
      </c>
      <c r="D5" s="56" t="s">
        <v>149</v>
      </c>
      <c r="E5" s="57" t="s">
        <v>19</v>
      </c>
      <c r="F5" s="56" t="s">
        <v>150</v>
      </c>
      <c r="G5" s="56" t="s">
        <v>151</v>
      </c>
      <c r="H5" s="56" t="s">
        <v>152</v>
      </c>
      <c r="I5" s="56" t="s">
        <v>153</v>
      </c>
      <c r="J5" s="56" t="s">
        <v>150</v>
      </c>
      <c r="K5" s="56" t="s">
        <v>151</v>
      </c>
      <c r="L5" s="56" t="s">
        <v>152</v>
      </c>
      <c r="M5" s="56" t="s">
        <v>153</v>
      </c>
      <c r="N5" s="56" t="s">
        <v>150</v>
      </c>
      <c r="O5" s="56" t="s">
        <v>151</v>
      </c>
      <c r="P5" s="56" t="s">
        <v>152</v>
      </c>
      <c r="Q5" s="58" t="s">
        <v>153</v>
      </c>
      <c r="R5" s="56" t="s">
        <v>16</v>
      </c>
      <c r="S5" s="56" t="s">
        <v>149</v>
      </c>
      <c r="T5" s="59" t="s">
        <v>19</v>
      </c>
      <c r="U5" s="102"/>
      <c r="V5" s="56" t="s">
        <v>154</v>
      </c>
      <c r="W5" s="56" t="s">
        <v>155</v>
      </c>
      <c r="X5" s="56" t="s">
        <v>153</v>
      </c>
      <c r="Y5" s="56" t="s">
        <v>154</v>
      </c>
      <c r="Z5" s="56" t="s">
        <v>155</v>
      </c>
      <c r="AA5" s="56" t="s">
        <v>153</v>
      </c>
      <c r="AB5" s="102"/>
      <c r="AC5" s="56" t="s">
        <v>154</v>
      </c>
      <c r="AD5" s="56" t="s">
        <v>155</v>
      </c>
      <c r="AE5" s="56" t="s">
        <v>153</v>
      </c>
      <c r="AF5" s="56" t="s">
        <v>154</v>
      </c>
      <c r="AG5" s="56" t="s">
        <v>155</v>
      </c>
      <c r="AH5" s="56" t="s">
        <v>153</v>
      </c>
      <c r="AI5" s="102"/>
      <c r="AJ5" s="56" t="s">
        <v>16</v>
      </c>
      <c r="AK5" s="56" t="s">
        <v>149</v>
      </c>
      <c r="AL5" s="158" t="s">
        <v>19</v>
      </c>
      <c r="AM5" s="56" t="s">
        <v>156</v>
      </c>
      <c r="AN5" s="56" t="s">
        <v>153</v>
      </c>
      <c r="AO5" s="56" t="s">
        <v>157</v>
      </c>
      <c r="AP5" s="56" t="s">
        <v>156</v>
      </c>
      <c r="AQ5" s="56" t="s">
        <v>153</v>
      </c>
      <c r="AR5" s="56" t="s">
        <v>157</v>
      </c>
      <c r="AS5" s="102"/>
      <c r="AT5" s="56" t="s">
        <v>156</v>
      </c>
      <c r="AU5" s="56" t="s">
        <v>153</v>
      </c>
      <c r="AV5" s="56" t="s">
        <v>157</v>
      </c>
      <c r="AW5" s="56" t="s">
        <v>156</v>
      </c>
      <c r="AX5" s="56" t="s">
        <v>153</v>
      </c>
      <c r="AY5" s="56" t="s">
        <v>157</v>
      </c>
      <c r="AZ5" s="102"/>
      <c r="BA5" s="56" t="s">
        <v>16</v>
      </c>
      <c r="BB5" s="56" t="s">
        <v>149</v>
      </c>
      <c r="BC5" s="158" t="s">
        <v>19</v>
      </c>
      <c r="BD5" s="72" t="s">
        <v>16</v>
      </c>
      <c r="BE5" s="72" t="s">
        <v>149</v>
      </c>
      <c r="BF5" s="72" t="s">
        <v>19</v>
      </c>
      <c r="BG5" s="56" t="s">
        <v>158</v>
      </c>
      <c r="BH5" s="56" t="s">
        <v>159</v>
      </c>
      <c r="BI5" s="56" t="s">
        <v>160</v>
      </c>
      <c r="BJ5" s="143" t="s">
        <v>153</v>
      </c>
      <c r="BK5" s="145" t="s">
        <v>158</v>
      </c>
      <c r="BL5" s="146" t="s">
        <v>159</v>
      </c>
      <c r="BM5" s="146" t="s">
        <v>161</v>
      </c>
      <c r="BN5" s="145" t="s">
        <v>160</v>
      </c>
      <c r="BO5" s="143" t="s">
        <v>153</v>
      </c>
    </row>
    <row r="6" spans="1:67" ht="15.75" customHeight="1">
      <c r="A6" s="73">
        <v>45962</v>
      </c>
      <c r="B6" s="74" t="s">
        <v>39</v>
      </c>
      <c r="C6" s="62">
        <v>0</v>
      </c>
      <c r="D6" s="62">
        <v>1</v>
      </c>
      <c r="E6" s="63">
        <f t="shared" ref="E6:E35" si="0">C6+D6</f>
        <v>1</v>
      </c>
      <c r="F6" s="62">
        <v>0</v>
      </c>
      <c r="G6" s="62">
        <v>0</v>
      </c>
      <c r="H6" s="62">
        <v>0</v>
      </c>
      <c r="I6" s="64">
        <f t="shared" ref="I6:I35" si="1">F6+G6+H6</f>
        <v>0</v>
      </c>
      <c r="J6" s="62">
        <v>0</v>
      </c>
      <c r="K6" s="62">
        <v>0</v>
      </c>
      <c r="L6" s="62">
        <v>0</v>
      </c>
      <c r="M6" s="64">
        <f t="shared" ref="M6:M35" si="2">J6+K6+L6</f>
        <v>0</v>
      </c>
      <c r="N6" s="64">
        <f t="shared" ref="N6:P6" si="3">F6+J6</f>
        <v>0</v>
      </c>
      <c r="O6" s="64">
        <f t="shared" si="3"/>
        <v>0</v>
      </c>
      <c r="P6" s="64">
        <f t="shared" si="3"/>
        <v>0</v>
      </c>
      <c r="Q6" s="66">
        <f t="shared" ref="Q6:Q35" si="4">N6+O6+P6</f>
        <v>0</v>
      </c>
      <c r="R6" s="64">
        <f t="shared" ref="R6:R35" si="5">C6+I6</f>
        <v>0</v>
      </c>
      <c r="S6" s="64">
        <f t="shared" ref="S6:S35" si="6">D6+M6</f>
        <v>1</v>
      </c>
      <c r="T6" s="67">
        <f t="shared" ref="T6:T35" si="7">R6+S6</f>
        <v>1</v>
      </c>
      <c r="U6" s="68"/>
      <c r="V6" s="62">
        <v>0</v>
      </c>
      <c r="W6" s="62">
        <v>0</v>
      </c>
      <c r="X6" s="64">
        <f t="shared" ref="X6:X35" si="8">(4*V6)+(8*W6)</f>
        <v>0</v>
      </c>
      <c r="Y6" s="62">
        <v>1</v>
      </c>
      <c r="Z6" s="62">
        <v>0</v>
      </c>
      <c r="AA6" s="64">
        <f t="shared" ref="AA6:AA35" si="9">(4*Y6)+(8*Z6)</f>
        <v>4</v>
      </c>
      <c r="AB6" s="64">
        <f t="shared" ref="AB6:AB35" si="10">X6+AA6</f>
        <v>4</v>
      </c>
      <c r="AC6" s="62">
        <v>0</v>
      </c>
      <c r="AD6" s="62">
        <v>0</v>
      </c>
      <c r="AE6" s="64">
        <f t="shared" ref="AE6:AE19" si="11">(4*AC6)+(8*AD6)</f>
        <v>0</v>
      </c>
      <c r="AF6" s="62">
        <v>0</v>
      </c>
      <c r="AG6" s="62">
        <v>0</v>
      </c>
      <c r="AH6" s="64">
        <f t="shared" ref="AH6:AH35" si="12">(4*AF6)+(8*AG6)</f>
        <v>0</v>
      </c>
      <c r="AI6" s="64">
        <f t="shared" ref="AI6:AI35" si="13">AE6+AH6</f>
        <v>0</v>
      </c>
      <c r="AJ6" s="64">
        <f t="shared" ref="AJ6:AJ35" si="14">X6+AE6</f>
        <v>0</v>
      </c>
      <c r="AK6" s="64">
        <f t="shared" ref="AK6:AL6" si="15">AA6+AH6</f>
        <v>4</v>
      </c>
      <c r="AL6" s="64">
        <f t="shared" si="15"/>
        <v>4</v>
      </c>
      <c r="AM6" s="62"/>
      <c r="AN6" s="62"/>
      <c r="AO6" s="61"/>
      <c r="AP6" s="62"/>
      <c r="AQ6" s="62"/>
      <c r="AR6" s="61"/>
      <c r="AS6" s="64">
        <f t="shared" ref="AS6:AS35" si="16">AN6+AQ6</f>
        <v>0</v>
      </c>
      <c r="AT6" s="62"/>
      <c r="AU6" s="62"/>
      <c r="AV6" s="61"/>
      <c r="AW6" s="62"/>
      <c r="AX6" s="62"/>
      <c r="AY6" s="61"/>
      <c r="AZ6" s="64">
        <f t="shared" ref="AZ6:AZ35" si="17">AU6+AX6</f>
        <v>0</v>
      </c>
      <c r="BA6" s="64">
        <f t="shared" ref="BA6:BA35" si="18">AN6+AU6</f>
        <v>0</v>
      </c>
      <c r="BB6" s="64">
        <f t="shared" ref="BB6:BB35" si="19">AQ6+AX6</f>
        <v>0</v>
      </c>
      <c r="BC6" s="64">
        <f t="shared" ref="BC6:BC35" si="20">BA6+BB6</f>
        <v>0</v>
      </c>
      <c r="BD6" s="75">
        <f t="shared" ref="BD6:BE6" si="21">AJ6+BA6</f>
        <v>0</v>
      </c>
      <c r="BE6" s="75">
        <f t="shared" si="21"/>
        <v>4</v>
      </c>
      <c r="BF6" s="75">
        <f t="shared" ref="BF6:BF35" si="22">BD6+BE6</f>
        <v>4</v>
      </c>
      <c r="BG6" s="70">
        <v>0</v>
      </c>
      <c r="BH6" s="70">
        <v>0</v>
      </c>
      <c r="BI6" s="70">
        <v>75</v>
      </c>
      <c r="BJ6" s="71">
        <f t="shared" ref="BJ6:BJ35" si="23">BG6+BH6+BI6</f>
        <v>75</v>
      </c>
      <c r="BK6" s="70">
        <v>0</v>
      </c>
      <c r="BL6" s="70">
        <v>0</v>
      </c>
      <c r="BM6" s="70">
        <v>0</v>
      </c>
      <c r="BN6" s="70">
        <v>74</v>
      </c>
      <c r="BO6" s="71">
        <f t="shared" ref="BO6:BO35" si="24">BK6+BL6+BN6+BM6</f>
        <v>74</v>
      </c>
    </row>
    <row r="7" spans="1:67" ht="15.75" customHeight="1">
      <c r="A7" s="73">
        <v>45963</v>
      </c>
      <c r="B7" s="74" t="s">
        <v>37</v>
      </c>
      <c r="C7" s="62">
        <v>0</v>
      </c>
      <c r="D7" s="62">
        <v>1</v>
      </c>
      <c r="E7" s="63">
        <f t="shared" si="0"/>
        <v>1</v>
      </c>
      <c r="F7" s="62">
        <v>0</v>
      </c>
      <c r="G7" s="62">
        <v>0</v>
      </c>
      <c r="H7" s="62">
        <v>0</v>
      </c>
      <c r="I7" s="64">
        <f t="shared" si="1"/>
        <v>0</v>
      </c>
      <c r="J7" s="62">
        <v>0</v>
      </c>
      <c r="K7" s="62">
        <v>0</v>
      </c>
      <c r="L7" s="62">
        <v>0</v>
      </c>
      <c r="M7" s="64">
        <f t="shared" si="2"/>
        <v>0</v>
      </c>
      <c r="N7" s="64">
        <f t="shared" ref="N7:P7" si="25">F7+J7</f>
        <v>0</v>
      </c>
      <c r="O7" s="64">
        <f t="shared" si="25"/>
        <v>0</v>
      </c>
      <c r="P7" s="64">
        <f t="shared" si="25"/>
        <v>0</v>
      </c>
      <c r="Q7" s="66">
        <f t="shared" si="4"/>
        <v>0</v>
      </c>
      <c r="R7" s="64">
        <f t="shared" si="5"/>
        <v>0</v>
      </c>
      <c r="S7" s="64">
        <f t="shared" si="6"/>
        <v>1</v>
      </c>
      <c r="T7" s="67">
        <f t="shared" si="7"/>
        <v>1</v>
      </c>
      <c r="U7" s="68"/>
      <c r="V7" s="62">
        <v>0</v>
      </c>
      <c r="W7" s="62">
        <v>0</v>
      </c>
      <c r="X7" s="64">
        <f t="shared" si="8"/>
        <v>0</v>
      </c>
      <c r="Y7" s="62">
        <v>1</v>
      </c>
      <c r="Z7" s="62">
        <v>0</v>
      </c>
      <c r="AA7" s="64">
        <f t="shared" si="9"/>
        <v>4</v>
      </c>
      <c r="AB7" s="64">
        <f t="shared" si="10"/>
        <v>4</v>
      </c>
      <c r="AC7" s="62">
        <v>0</v>
      </c>
      <c r="AD7" s="62">
        <v>0</v>
      </c>
      <c r="AE7" s="64">
        <f t="shared" si="11"/>
        <v>0</v>
      </c>
      <c r="AF7" s="62">
        <v>0</v>
      </c>
      <c r="AG7" s="62">
        <v>0</v>
      </c>
      <c r="AH7" s="64">
        <f t="shared" si="12"/>
        <v>0</v>
      </c>
      <c r="AI7" s="64">
        <f t="shared" si="13"/>
        <v>0</v>
      </c>
      <c r="AJ7" s="64">
        <f t="shared" si="14"/>
        <v>0</v>
      </c>
      <c r="AK7" s="64">
        <f t="shared" ref="AK7:AL7" si="26">AA7+AH7</f>
        <v>4</v>
      </c>
      <c r="AL7" s="64">
        <f t="shared" si="26"/>
        <v>4</v>
      </c>
      <c r="AM7" s="62"/>
      <c r="AN7" s="62"/>
      <c r="AO7" s="61"/>
      <c r="AP7" s="62"/>
      <c r="AQ7" s="62"/>
      <c r="AR7" s="61"/>
      <c r="AS7" s="64">
        <f t="shared" si="16"/>
        <v>0</v>
      </c>
      <c r="AT7" s="61"/>
      <c r="AU7" s="61"/>
      <c r="AV7" s="61"/>
      <c r="AW7" s="61"/>
      <c r="AX7" s="61"/>
      <c r="AY7" s="61"/>
      <c r="AZ7" s="64">
        <f t="shared" si="17"/>
        <v>0</v>
      </c>
      <c r="BA7" s="64">
        <f t="shared" si="18"/>
        <v>0</v>
      </c>
      <c r="BB7" s="64">
        <f t="shared" si="19"/>
        <v>0</v>
      </c>
      <c r="BC7" s="64">
        <f t="shared" si="20"/>
        <v>0</v>
      </c>
      <c r="BD7" s="75">
        <f t="shared" ref="BD7:BE7" si="27">AJ7+BA7</f>
        <v>0</v>
      </c>
      <c r="BE7" s="75">
        <f t="shared" si="27"/>
        <v>4</v>
      </c>
      <c r="BF7" s="75">
        <f t="shared" si="22"/>
        <v>4</v>
      </c>
      <c r="BG7" s="70">
        <v>0</v>
      </c>
      <c r="BH7" s="70">
        <v>0</v>
      </c>
      <c r="BI7" s="70">
        <v>99</v>
      </c>
      <c r="BJ7" s="71">
        <f t="shared" si="23"/>
        <v>99</v>
      </c>
      <c r="BK7" s="70">
        <v>0</v>
      </c>
      <c r="BL7" s="70">
        <v>0</v>
      </c>
      <c r="BM7" s="70">
        <v>0</v>
      </c>
      <c r="BN7" s="70">
        <v>99</v>
      </c>
      <c r="BO7" s="71">
        <f t="shared" si="24"/>
        <v>99</v>
      </c>
    </row>
    <row r="8" spans="1:67" ht="15.75" customHeight="1">
      <c r="A8" s="76">
        <v>45964</v>
      </c>
      <c r="B8" s="77" t="s">
        <v>44</v>
      </c>
      <c r="C8" s="62">
        <v>6</v>
      </c>
      <c r="D8" s="62">
        <v>8</v>
      </c>
      <c r="E8" s="78">
        <f t="shared" si="0"/>
        <v>14</v>
      </c>
      <c r="F8" s="62">
        <v>2</v>
      </c>
      <c r="G8" s="62">
        <v>1</v>
      </c>
      <c r="H8" s="62">
        <v>0</v>
      </c>
      <c r="I8" s="79">
        <f t="shared" si="1"/>
        <v>3</v>
      </c>
      <c r="J8" s="62">
        <v>4</v>
      </c>
      <c r="K8" s="62">
        <v>8</v>
      </c>
      <c r="L8" s="62">
        <v>0</v>
      </c>
      <c r="M8" s="79">
        <f t="shared" si="2"/>
        <v>12</v>
      </c>
      <c r="N8" s="79">
        <f t="shared" ref="N8:P8" si="28">F8+J8</f>
        <v>6</v>
      </c>
      <c r="O8" s="79">
        <f t="shared" si="28"/>
        <v>9</v>
      </c>
      <c r="P8" s="79">
        <f t="shared" si="28"/>
        <v>0</v>
      </c>
      <c r="Q8" s="80">
        <f t="shared" si="4"/>
        <v>15</v>
      </c>
      <c r="R8" s="79">
        <f t="shared" si="5"/>
        <v>9</v>
      </c>
      <c r="S8" s="79">
        <f t="shared" si="6"/>
        <v>20</v>
      </c>
      <c r="T8" s="81">
        <f t="shared" si="7"/>
        <v>29</v>
      </c>
      <c r="U8" s="68" t="s">
        <v>162</v>
      </c>
      <c r="V8" s="62">
        <v>0</v>
      </c>
      <c r="W8" s="62">
        <v>6</v>
      </c>
      <c r="X8" s="79">
        <f t="shared" si="8"/>
        <v>48</v>
      </c>
      <c r="Y8" s="62">
        <v>0</v>
      </c>
      <c r="Z8" s="62">
        <v>8</v>
      </c>
      <c r="AA8" s="79">
        <f t="shared" si="9"/>
        <v>64</v>
      </c>
      <c r="AB8" s="79">
        <f t="shared" si="10"/>
        <v>112</v>
      </c>
      <c r="AC8" s="62">
        <v>0</v>
      </c>
      <c r="AD8" s="62">
        <v>3</v>
      </c>
      <c r="AE8" s="79">
        <f t="shared" si="11"/>
        <v>24</v>
      </c>
      <c r="AF8" s="62">
        <v>0</v>
      </c>
      <c r="AG8" s="62">
        <v>12</v>
      </c>
      <c r="AH8" s="79">
        <f t="shared" si="12"/>
        <v>96</v>
      </c>
      <c r="AI8" s="79">
        <f t="shared" si="13"/>
        <v>120</v>
      </c>
      <c r="AJ8" s="79">
        <f t="shared" si="14"/>
        <v>72</v>
      </c>
      <c r="AK8" s="79">
        <f t="shared" ref="AK8:AL8" si="29">AA8+AH8</f>
        <v>160</v>
      </c>
      <c r="AL8" s="79">
        <f t="shared" si="29"/>
        <v>232</v>
      </c>
      <c r="AM8" s="62">
        <v>5</v>
      </c>
      <c r="AN8" s="62">
        <v>10.5</v>
      </c>
      <c r="AO8" s="61"/>
      <c r="AP8" s="62">
        <v>8</v>
      </c>
      <c r="AQ8" s="62">
        <v>24</v>
      </c>
      <c r="AR8" s="61"/>
      <c r="AS8" s="64">
        <f t="shared" si="16"/>
        <v>34.5</v>
      </c>
      <c r="AT8" s="62">
        <v>4</v>
      </c>
      <c r="AU8" s="62">
        <v>8</v>
      </c>
      <c r="AV8" s="61"/>
      <c r="AW8" s="62">
        <v>11</v>
      </c>
      <c r="AX8" s="62">
        <v>22</v>
      </c>
      <c r="AY8" s="61"/>
      <c r="AZ8" s="64">
        <f t="shared" si="17"/>
        <v>30</v>
      </c>
      <c r="BA8" s="64">
        <f t="shared" si="18"/>
        <v>18.5</v>
      </c>
      <c r="BB8" s="64">
        <f t="shared" si="19"/>
        <v>46</v>
      </c>
      <c r="BC8" s="64">
        <f t="shared" si="20"/>
        <v>64.5</v>
      </c>
      <c r="BD8" s="75">
        <f t="shared" ref="BD8:BE8" si="30">AJ8+BA8</f>
        <v>90.5</v>
      </c>
      <c r="BE8" s="75">
        <f t="shared" si="30"/>
        <v>206</v>
      </c>
      <c r="BF8" s="75">
        <f t="shared" si="22"/>
        <v>296.5</v>
      </c>
      <c r="BG8" s="70">
        <v>0</v>
      </c>
      <c r="BH8" s="147">
        <v>87</v>
      </c>
      <c r="BI8" s="147">
        <v>5770</v>
      </c>
      <c r="BJ8" s="148">
        <f t="shared" si="23"/>
        <v>5857</v>
      </c>
      <c r="BK8" s="149">
        <v>2286</v>
      </c>
      <c r="BL8" s="149">
        <v>21</v>
      </c>
      <c r="BM8" s="149">
        <v>28</v>
      </c>
      <c r="BN8" s="149">
        <v>2009</v>
      </c>
      <c r="BO8" s="150">
        <f t="shared" si="24"/>
        <v>4344</v>
      </c>
    </row>
    <row r="9" spans="1:67" ht="15.75" customHeight="1">
      <c r="A9" s="60">
        <v>45965</v>
      </c>
      <c r="B9" s="61" t="s">
        <v>38</v>
      </c>
      <c r="C9" s="62">
        <v>5</v>
      </c>
      <c r="D9" s="62">
        <v>8</v>
      </c>
      <c r="E9" s="63">
        <f t="shared" si="0"/>
        <v>13</v>
      </c>
      <c r="F9" s="62">
        <v>3</v>
      </c>
      <c r="G9" s="62">
        <v>1</v>
      </c>
      <c r="H9" s="62">
        <v>0</v>
      </c>
      <c r="I9" s="64">
        <f t="shared" si="1"/>
        <v>4</v>
      </c>
      <c r="J9" s="62">
        <v>5</v>
      </c>
      <c r="K9" s="62">
        <v>10</v>
      </c>
      <c r="L9" s="62">
        <v>0</v>
      </c>
      <c r="M9" s="64">
        <f t="shared" si="2"/>
        <v>15</v>
      </c>
      <c r="N9" s="64">
        <f t="shared" ref="N9:P9" si="31">F9+J9</f>
        <v>8</v>
      </c>
      <c r="O9" s="64">
        <f t="shared" si="31"/>
        <v>11</v>
      </c>
      <c r="P9" s="64">
        <f t="shared" si="31"/>
        <v>0</v>
      </c>
      <c r="Q9" s="66">
        <f t="shared" si="4"/>
        <v>19</v>
      </c>
      <c r="R9" s="64">
        <f t="shared" si="5"/>
        <v>9</v>
      </c>
      <c r="S9" s="64">
        <f t="shared" si="6"/>
        <v>23</v>
      </c>
      <c r="T9" s="67">
        <f t="shared" si="7"/>
        <v>32</v>
      </c>
      <c r="U9" s="68" t="s">
        <v>85</v>
      </c>
      <c r="V9" s="62">
        <v>0</v>
      </c>
      <c r="W9" s="62">
        <v>5</v>
      </c>
      <c r="X9" s="64">
        <f t="shared" si="8"/>
        <v>40</v>
      </c>
      <c r="Y9" s="62">
        <v>0</v>
      </c>
      <c r="Z9" s="62">
        <v>8</v>
      </c>
      <c r="AA9" s="64">
        <f t="shared" si="9"/>
        <v>64</v>
      </c>
      <c r="AB9" s="64">
        <f t="shared" si="10"/>
        <v>104</v>
      </c>
      <c r="AC9" s="62">
        <v>0</v>
      </c>
      <c r="AD9" s="62">
        <v>4</v>
      </c>
      <c r="AE9" s="64">
        <f t="shared" si="11"/>
        <v>32</v>
      </c>
      <c r="AF9" s="62">
        <v>0</v>
      </c>
      <c r="AG9" s="62">
        <v>15</v>
      </c>
      <c r="AH9" s="64">
        <f t="shared" si="12"/>
        <v>120</v>
      </c>
      <c r="AI9" s="64">
        <f t="shared" si="13"/>
        <v>152</v>
      </c>
      <c r="AJ9" s="64">
        <f t="shared" si="14"/>
        <v>72</v>
      </c>
      <c r="AK9" s="64">
        <f t="shared" ref="AK9:AL9" si="32">AA9+AH9</f>
        <v>184</v>
      </c>
      <c r="AL9" s="64">
        <f t="shared" si="32"/>
        <v>256</v>
      </c>
      <c r="AM9" s="62">
        <v>5</v>
      </c>
      <c r="AN9" s="62"/>
      <c r="AO9" s="61"/>
      <c r="AP9" s="62">
        <v>8</v>
      </c>
      <c r="AQ9" s="62"/>
      <c r="AR9" s="61"/>
      <c r="AS9" s="64">
        <f t="shared" si="16"/>
        <v>0</v>
      </c>
      <c r="AT9" s="62">
        <v>4</v>
      </c>
      <c r="AU9" s="62">
        <v>8</v>
      </c>
      <c r="AV9" s="61"/>
      <c r="AW9" s="62">
        <v>9</v>
      </c>
      <c r="AX9" s="62">
        <v>18</v>
      </c>
      <c r="AY9" s="61"/>
      <c r="AZ9" s="64">
        <f t="shared" si="17"/>
        <v>26</v>
      </c>
      <c r="BA9" s="64">
        <f t="shared" si="18"/>
        <v>8</v>
      </c>
      <c r="BB9" s="64">
        <f t="shared" si="19"/>
        <v>18</v>
      </c>
      <c r="BC9" s="64">
        <f t="shared" si="20"/>
        <v>26</v>
      </c>
      <c r="BD9" s="75">
        <f t="shared" ref="BD9:BE9" si="33">AJ9+BA9</f>
        <v>80</v>
      </c>
      <c r="BE9" s="75">
        <f t="shared" si="33"/>
        <v>202</v>
      </c>
      <c r="BF9" s="75">
        <f t="shared" si="22"/>
        <v>282</v>
      </c>
      <c r="BG9" s="70">
        <v>0</v>
      </c>
      <c r="BH9" s="147">
        <v>140</v>
      </c>
      <c r="BI9" s="147">
        <v>10350</v>
      </c>
      <c r="BJ9" s="150">
        <f t="shared" si="23"/>
        <v>10490</v>
      </c>
      <c r="BK9" s="147">
        <v>904</v>
      </c>
      <c r="BL9" s="147">
        <v>123</v>
      </c>
      <c r="BM9" s="147">
        <v>8</v>
      </c>
      <c r="BN9" s="147">
        <v>3239</v>
      </c>
      <c r="BO9" s="150">
        <f t="shared" si="24"/>
        <v>4274</v>
      </c>
    </row>
    <row r="10" spans="1:67" ht="15.75" customHeight="1">
      <c r="A10" s="60">
        <v>45966</v>
      </c>
      <c r="B10" s="61" t="s">
        <v>45</v>
      </c>
      <c r="C10" s="62">
        <v>5</v>
      </c>
      <c r="D10" s="62">
        <v>8</v>
      </c>
      <c r="E10" s="63">
        <f t="shared" si="0"/>
        <v>13</v>
      </c>
      <c r="F10" s="62">
        <v>3</v>
      </c>
      <c r="G10" s="62">
        <v>5</v>
      </c>
      <c r="H10" s="62">
        <v>0</v>
      </c>
      <c r="I10" s="64">
        <f t="shared" si="1"/>
        <v>8</v>
      </c>
      <c r="J10" s="62">
        <v>5</v>
      </c>
      <c r="K10" s="62">
        <v>9.5</v>
      </c>
      <c r="L10" s="62">
        <v>0</v>
      </c>
      <c r="M10" s="64">
        <f t="shared" si="2"/>
        <v>14.5</v>
      </c>
      <c r="N10" s="64">
        <f t="shared" ref="N10:P10" si="34">F10+J10</f>
        <v>8</v>
      </c>
      <c r="O10" s="64">
        <f t="shared" si="34"/>
        <v>14.5</v>
      </c>
      <c r="P10" s="64">
        <f t="shared" si="34"/>
        <v>0</v>
      </c>
      <c r="Q10" s="66">
        <f t="shared" si="4"/>
        <v>22.5</v>
      </c>
      <c r="R10" s="64">
        <f t="shared" si="5"/>
        <v>13</v>
      </c>
      <c r="S10" s="64">
        <f t="shared" si="6"/>
        <v>22.5</v>
      </c>
      <c r="T10" s="67">
        <f t="shared" si="7"/>
        <v>35.5</v>
      </c>
      <c r="U10" s="68" t="s">
        <v>163</v>
      </c>
      <c r="V10" s="62">
        <v>0</v>
      </c>
      <c r="W10" s="62">
        <v>5</v>
      </c>
      <c r="X10" s="64">
        <f t="shared" si="8"/>
        <v>40</v>
      </c>
      <c r="Y10" s="62">
        <v>0</v>
      </c>
      <c r="Z10" s="62">
        <v>8</v>
      </c>
      <c r="AA10" s="64">
        <f t="shared" si="9"/>
        <v>64</v>
      </c>
      <c r="AB10" s="64">
        <f t="shared" si="10"/>
        <v>104</v>
      </c>
      <c r="AC10" s="62">
        <v>0</v>
      </c>
      <c r="AD10" s="62">
        <v>8</v>
      </c>
      <c r="AE10" s="64">
        <f t="shared" si="11"/>
        <v>64</v>
      </c>
      <c r="AF10" s="62">
        <v>1</v>
      </c>
      <c r="AG10" s="62">
        <v>14</v>
      </c>
      <c r="AH10" s="64">
        <f t="shared" si="12"/>
        <v>116</v>
      </c>
      <c r="AI10" s="64">
        <f t="shared" si="13"/>
        <v>180</v>
      </c>
      <c r="AJ10" s="64">
        <f t="shared" si="14"/>
        <v>104</v>
      </c>
      <c r="AK10" s="64">
        <f t="shared" ref="AK10:AL10" si="35">AA10+AH10</f>
        <v>180</v>
      </c>
      <c r="AL10" s="64">
        <f t="shared" si="35"/>
        <v>284</v>
      </c>
      <c r="AM10" s="62">
        <v>5</v>
      </c>
      <c r="AN10" s="62"/>
      <c r="AO10" s="61"/>
      <c r="AP10" s="62">
        <v>8</v>
      </c>
      <c r="AQ10" s="62"/>
      <c r="AR10" s="61"/>
      <c r="AS10" s="64">
        <f t="shared" si="16"/>
        <v>0</v>
      </c>
      <c r="AT10" s="62">
        <v>4</v>
      </c>
      <c r="AU10" s="62">
        <v>8</v>
      </c>
      <c r="AV10" s="61"/>
      <c r="AW10" s="62">
        <v>9</v>
      </c>
      <c r="AX10" s="62">
        <v>18</v>
      </c>
      <c r="AY10" s="61"/>
      <c r="AZ10" s="64">
        <f t="shared" si="17"/>
        <v>26</v>
      </c>
      <c r="BA10" s="64">
        <f t="shared" si="18"/>
        <v>8</v>
      </c>
      <c r="BB10" s="64">
        <f t="shared" si="19"/>
        <v>18</v>
      </c>
      <c r="BC10" s="64">
        <f t="shared" si="20"/>
        <v>26</v>
      </c>
      <c r="BD10" s="75">
        <f t="shared" ref="BD10:BE10" si="36">AJ10+BA10</f>
        <v>112</v>
      </c>
      <c r="BE10" s="75">
        <f t="shared" si="36"/>
        <v>198</v>
      </c>
      <c r="BF10" s="75">
        <f t="shared" si="22"/>
        <v>310</v>
      </c>
      <c r="BG10" s="70">
        <v>0</v>
      </c>
      <c r="BH10" s="147">
        <v>404</v>
      </c>
      <c r="BI10" s="147">
        <v>11716</v>
      </c>
      <c r="BJ10" s="150">
        <f t="shared" si="23"/>
        <v>12120</v>
      </c>
      <c r="BK10" s="147">
        <v>806</v>
      </c>
      <c r="BL10" s="147">
        <v>335</v>
      </c>
      <c r="BM10" s="147">
        <v>9</v>
      </c>
      <c r="BN10" s="147">
        <v>2194</v>
      </c>
      <c r="BO10" s="150">
        <f t="shared" si="24"/>
        <v>3344</v>
      </c>
    </row>
    <row r="11" spans="1:67" ht="15.75" customHeight="1">
      <c r="A11" s="60">
        <v>45967</v>
      </c>
      <c r="B11" s="61" t="s">
        <v>32</v>
      </c>
      <c r="C11" s="62">
        <v>5</v>
      </c>
      <c r="D11" s="62">
        <v>7</v>
      </c>
      <c r="E11" s="63">
        <f t="shared" si="0"/>
        <v>12</v>
      </c>
      <c r="F11" s="62">
        <v>3</v>
      </c>
      <c r="G11" s="62">
        <v>5</v>
      </c>
      <c r="H11" s="62">
        <v>0</v>
      </c>
      <c r="I11" s="64">
        <f t="shared" si="1"/>
        <v>8</v>
      </c>
      <c r="J11" s="62">
        <v>5</v>
      </c>
      <c r="K11" s="62">
        <v>16</v>
      </c>
      <c r="L11" s="62">
        <v>0</v>
      </c>
      <c r="M11" s="64">
        <f t="shared" si="2"/>
        <v>21</v>
      </c>
      <c r="N11" s="64">
        <f t="shared" ref="N11:P11" si="37">F11+J11</f>
        <v>8</v>
      </c>
      <c r="O11" s="64">
        <f t="shared" si="37"/>
        <v>21</v>
      </c>
      <c r="P11" s="64">
        <f t="shared" si="37"/>
        <v>0</v>
      </c>
      <c r="Q11" s="66">
        <f t="shared" si="4"/>
        <v>29</v>
      </c>
      <c r="R11" s="64">
        <f t="shared" si="5"/>
        <v>13</v>
      </c>
      <c r="S11" s="64">
        <f t="shared" si="6"/>
        <v>28</v>
      </c>
      <c r="T11" s="67">
        <f t="shared" si="7"/>
        <v>41</v>
      </c>
      <c r="U11" s="68" t="s">
        <v>164</v>
      </c>
      <c r="V11" s="62">
        <v>0</v>
      </c>
      <c r="W11" s="62">
        <v>5</v>
      </c>
      <c r="X11" s="64">
        <f t="shared" si="8"/>
        <v>40</v>
      </c>
      <c r="Y11" s="62">
        <v>0</v>
      </c>
      <c r="Z11" s="62">
        <v>7</v>
      </c>
      <c r="AA11" s="64">
        <f t="shared" si="9"/>
        <v>56</v>
      </c>
      <c r="AB11" s="64">
        <f t="shared" si="10"/>
        <v>96</v>
      </c>
      <c r="AC11" s="62">
        <v>0</v>
      </c>
      <c r="AD11" s="62">
        <v>8</v>
      </c>
      <c r="AE11" s="64">
        <f t="shared" si="11"/>
        <v>64</v>
      </c>
      <c r="AF11" s="62">
        <v>0</v>
      </c>
      <c r="AG11" s="62">
        <v>16</v>
      </c>
      <c r="AH11" s="64">
        <f t="shared" si="12"/>
        <v>128</v>
      </c>
      <c r="AI11" s="64">
        <f t="shared" si="13"/>
        <v>192</v>
      </c>
      <c r="AJ11" s="64">
        <f t="shared" si="14"/>
        <v>104</v>
      </c>
      <c r="AK11" s="64">
        <f t="shared" ref="AK11:AL11" si="38">AA11+AH11</f>
        <v>184</v>
      </c>
      <c r="AL11" s="64">
        <f t="shared" si="38"/>
        <v>288</v>
      </c>
      <c r="AM11" s="62"/>
      <c r="AN11" s="62"/>
      <c r="AO11" s="61"/>
      <c r="AP11" s="62"/>
      <c r="AQ11" s="62"/>
      <c r="AR11" s="61"/>
      <c r="AS11" s="64">
        <f t="shared" si="16"/>
        <v>0</v>
      </c>
      <c r="AT11" s="61"/>
      <c r="AU11" s="61"/>
      <c r="AV11" s="61"/>
      <c r="AW11" s="61"/>
      <c r="AX11" s="61"/>
      <c r="AY11" s="61"/>
      <c r="AZ11" s="64">
        <f t="shared" si="17"/>
        <v>0</v>
      </c>
      <c r="BA11" s="64">
        <f t="shared" si="18"/>
        <v>0</v>
      </c>
      <c r="BB11" s="64">
        <f t="shared" si="19"/>
        <v>0</v>
      </c>
      <c r="BC11" s="64">
        <f t="shared" si="20"/>
        <v>0</v>
      </c>
      <c r="BD11" s="75">
        <f t="shared" ref="BD11:BE11" si="39">AJ11+BA11</f>
        <v>104</v>
      </c>
      <c r="BE11" s="75">
        <f t="shared" si="39"/>
        <v>184</v>
      </c>
      <c r="BF11" s="75">
        <f t="shared" si="22"/>
        <v>288</v>
      </c>
      <c r="BG11" s="70">
        <v>0</v>
      </c>
      <c r="BH11" s="147">
        <v>42</v>
      </c>
      <c r="BI11" s="147">
        <v>8255</v>
      </c>
      <c r="BJ11" s="150">
        <f t="shared" si="23"/>
        <v>8297</v>
      </c>
      <c r="BK11" s="147">
        <v>760</v>
      </c>
      <c r="BL11" s="147">
        <v>16</v>
      </c>
      <c r="BM11" s="147">
        <v>7</v>
      </c>
      <c r="BN11" s="147">
        <v>1433</v>
      </c>
      <c r="BO11" s="150">
        <f t="shared" si="24"/>
        <v>2216</v>
      </c>
    </row>
    <row r="12" spans="1:67" ht="15.75" customHeight="1">
      <c r="A12" s="60">
        <v>45968</v>
      </c>
      <c r="B12" s="61" t="s">
        <v>42</v>
      </c>
      <c r="C12" s="62">
        <v>6</v>
      </c>
      <c r="D12" s="62">
        <v>7</v>
      </c>
      <c r="E12" s="63">
        <f t="shared" si="0"/>
        <v>13</v>
      </c>
      <c r="F12" s="62">
        <v>3</v>
      </c>
      <c r="G12" s="62">
        <v>3</v>
      </c>
      <c r="H12" s="62">
        <v>0</v>
      </c>
      <c r="I12" s="64">
        <f t="shared" si="1"/>
        <v>6</v>
      </c>
      <c r="J12" s="62">
        <v>4</v>
      </c>
      <c r="K12" s="62">
        <v>8</v>
      </c>
      <c r="L12" s="62">
        <v>0</v>
      </c>
      <c r="M12" s="64">
        <f t="shared" si="2"/>
        <v>12</v>
      </c>
      <c r="N12" s="64">
        <f t="shared" ref="N12:P12" si="40">F12+J12</f>
        <v>7</v>
      </c>
      <c r="O12" s="64">
        <f t="shared" si="40"/>
        <v>11</v>
      </c>
      <c r="P12" s="64">
        <f t="shared" si="40"/>
        <v>0</v>
      </c>
      <c r="Q12" s="66">
        <f t="shared" si="4"/>
        <v>18</v>
      </c>
      <c r="R12" s="64">
        <f t="shared" si="5"/>
        <v>12</v>
      </c>
      <c r="S12" s="64">
        <f t="shared" si="6"/>
        <v>19</v>
      </c>
      <c r="T12" s="67">
        <f t="shared" si="7"/>
        <v>31</v>
      </c>
      <c r="U12" s="68" t="s">
        <v>85</v>
      </c>
      <c r="V12" s="62">
        <v>0</v>
      </c>
      <c r="W12" s="62">
        <v>6</v>
      </c>
      <c r="X12" s="64">
        <f t="shared" si="8"/>
        <v>48</v>
      </c>
      <c r="Y12" s="62">
        <v>0</v>
      </c>
      <c r="Z12" s="62">
        <v>7</v>
      </c>
      <c r="AA12" s="64">
        <f t="shared" si="9"/>
        <v>56</v>
      </c>
      <c r="AB12" s="64">
        <f t="shared" si="10"/>
        <v>104</v>
      </c>
      <c r="AC12" s="62">
        <v>0</v>
      </c>
      <c r="AD12" s="62">
        <v>6</v>
      </c>
      <c r="AE12" s="64">
        <f t="shared" si="11"/>
        <v>48</v>
      </c>
      <c r="AF12" s="62">
        <v>0</v>
      </c>
      <c r="AG12" s="62">
        <v>12</v>
      </c>
      <c r="AH12" s="64">
        <f t="shared" si="12"/>
        <v>96</v>
      </c>
      <c r="AI12" s="64">
        <f t="shared" si="13"/>
        <v>144</v>
      </c>
      <c r="AJ12" s="64">
        <f t="shared" si="14"/>
        <v>96</v>
      </c>
      <c r="AK12" s="64">
        <f t="shared" ref="AK12:AL12" si="41">AA12+AH12</f>
        <v>152</v>
      </c>
      <c r="AL12" s="64">
        <f t="shared" si="41"/>
        <v>248</v>
      </c>
      <c r="AM12" s="62">
        <v>5</v>
      </c>
      <c r="AN12" s="62"/>
      <c r="AO12" s="61"/>
      <c r="AP12" s="62">
        <v>7</v>
      </c>
      <c r="AQ12" s="62"/>
      <c r="AR12" s="61"/>
      <c r="AS12" s="64">
        <f t="shared" si="16"/>
        <v>0</v>
      </c>
      <c r="AT12" s="61"/>
      <c r="AU12" s="61"/>
      <c r="AV12" s="61"/>
      <c r="AW12" s="61"/>
      <c r="AX12" s="61"/>
      <c r="AY12" s="61"/>
      <c r="AZ12" s="64">
        <f t="shared" si="17"/>
        <v>0</v>
      </c>
      <c r="BA12" s="64">
        <f t="shared" si="18"/>
        <v>0</v>
      </c>
      <c r="BB12" s="64">
        <f t="shared" si="19"/>
        <v>0</v>
      </c>
      <c r="BC12" s="64">
        <f t="shared" si="20"/>
        <v>0</v>
      </c>
      <c r="BD12" s="75">
        <f t="shared" ref="BD12:BE12" si="42">AJ12+BA12</f>
        <v>96</v>
      </c>
      <c r="BE12" s="75">
        <f t="shared" si="42"/>
        <v>152</v>
      </c>
      <c r="BF12" s="75">
        <f t="shared" si="22"/>
        <v>248</v>
      </c>
      <c r="BG12" s="70">
        <v>0</v>
      </c>
      <c r="BH12" s="147">
        <v>261</v>
      </c>
      <c r="BI12" s="147">
        <v>10884</v>
      </c>
      <c r="BJ12" s="150">
        <f t="shared" si="23"/>
        <v>11145</v>
      </c>
      <c r="BK12" s="147">
        <v>874</v>
      </c>
      <c r="BL12" s="147">
        <v>197</v>
      </c>
      <c r="BM12" s="147">
        <v>5</v>
      </c>
      <c r="BN12" s="147">
        <v>2448</v>
      </c>
      <c r="BO12" s="150">
        <f t="shared" si="24"/>
        <v>3524</v>
      </c>
    </row>
    <row r="13" spans="1:67" ht="15.75" customHeight="1">
      <c r="A13" s="73">
        <v>45969</v>
      </c>
      <c r="B13" s="74" t="s">
        <v>39</v>
      </c>
      <c r="C13" s="62">
        <v>2</v>
      </c>
      <c r="D13" s="62">
        <v>5</v>
      </c>
      <c r="E13" s="63">
        <f t="shared" si="0"/>
        <v>7</v>
      </c>
      <c r="F13" s="62">
        <v>0</v>
      </c>
      <c r="G13" s="62">
        <v>0</v>
      </c>
      <c r="H13" s="62">
        <v>0</v>
      </c>
      <c r="I13" s="64">
        <f t="shared" si="1"/>
        <v>0</v>
      </c>
      <c r="J13" s="62">
        <v>0</v>
      </c>
      <c r="K13" s="62">
        <v>0</v>
      </c>
      <c r="L13" s="62">
        <v>0</v>
      </c>
      <c r="M13" s="64">
        <f t="shared" si="2"/>
        <v>0</v>
      </c>
      <c r="N13" s="64">
        <f t="shared" ref="N13:P13" si="43">F13+J13</f>
        <v>0</v>
      </c>
      <c r="O13" s="64">
        <f t="shared" si="43"/>
        <v>0</v>
      </c>
      <c r="P13" s="64">
        <f t="shared" si="43"/>
        <v>0</v>
      </c>
      <c r="Q13" s="66">
        <f t="shared" si="4"/>
        <v>0</v>
      </c>
      <c r="R13" s="64">
        <f t="shared" si="5"/>
        <v>2</v>
      </c>
      <c r="S13" s="64">
        <f t="shared" si="6"/>
        <v>5</v>
      </c>
      <c r="T13" s="67">
        <f t="shared" si="7"/>
        <v>7</v>
      </c>
      <c r="U13" s="68"/>
      <c r="V13" s="82"/>
      <c r="W13" s="82"/>
      <c r="X13" s="64">
        <f t="shared" si="8"/>
        <v>0</v>
      </c>
      <c r="Y13" s="82"/>
      <c r="Z13" s="82"/>
      <c r="AA13" s="64">
        <f t="shared" si="9"/>
        <v>0</v>
      </c>
      <c r="AB13" s="64">
        <f t="shared" si="10"/>
        <v>0</v>
      </c>
      <c r="AC13" s="62">
        <v>0</v>
      </c>
      <c r="AD13" s="62">
        <v>0</v>
      </c>
      <c r="AE13" s="64">
        <f t="shared" si="11"/>
        <v>0</v>
      </c>
      <c r="AF13" s="62">
        <v>0</v>
      </c>
      <c r="AG13" s="62">
        <v>0</v>
      </c>
      <c r="AH13" s="64">
        <f t="shared" si="12"/>
        <v>0</v>
      </c>
      <c r="AI13" s="64">
        <f t="shared" si="13"/>
        <v>0</v>
      </c>
      <c r="AJ13" s="64">
        <f t="shared" si="14"/>
        <v>0</v>
      </c>
      <c r="AK13" s="64">
        <f t="shared" ref="AK13:AL13" si="44">AA13+AH13</f>
        <v>0</v>
      </c>
      <c r="AL13" s="64">
        <f t="shared" si="44"/>
        <v>0</v>
      </c>
      <c r="AM13" s="62"/>
      <c r="AN13" s="62"/>
      <c r="AO13" s="61"/>
      <c r="AP13" s="62"/>
      <c r="AQ13" s="62"/>
      <c r="AR13" s="61"/>
      <c r="AS13" s="64">
        <f t="shared" si="16"/>
        <v>0</v>
      </c>
      <c r="AT13" s="61"/>
      <c r="AU13" s="61"/>
      <c r="AV13" s="61"/>
      <c r="AW13" s="61"/>
      <c r="AX13" s="61"/>
      <c r="AY13" s="61"/>
      <c r="AZ13" s="64">
        <f t="shared" si="17"/>
        <v>0</v>
      </c>
      <c r="BA13" s="64">
        <f t="shared" si="18"/>
        <v>0</v>
      </c>
      <c r="BB13" s="64">
        <f t="shared" si="19"/>
        <v>0</v>
      </c>
      <c r="BC13" s="64">
        <f t="shared" si="20"/>
        <v>0</v>
      </c>
      <c r="BD13" s="75">
        <f t="shared" ref="BD13:BE13" si="45">AJ13+BA13</f>
        <v>0</v>
      </c>
      <c r="BE13" s="75">
        <f t="shared" si="45"/>
        <v>0</v>
      </c>
      <c r="BF13" s="75">
        <f t="shared" si="22"/>
        <v>0</v>
      </c>
      <c r="BG13" s="70">
        <v>0</v>
      </c>
      <c r="BH13" s="147">
        <v>47</v>
      </c>
      <c r="BI13" s="147">
        <v>1247</v>
      </c>
      <c r="BJ13" s="150">
        <f t="shared" si="23"/>
        <v>1294</v>
      </c>
      <c r="BK13" s="147">
        <v>0</v>
      </c>
      <c r="BL13" s="147">
        <v>0</v>
      </c>
      <c r="BM13" s="147">
        <v>0</v>
      </c>
      <c r="BN13" s="147">
        <v>43</v>
      </c>
      <c r="BO13" s="150">
        <f t="shared" si="24"/>
        <v>43</v>
      </c>
    </row>
    <row r="14" spans="1:67" ht="15.75" customHeight="1">
      <c r="A14" s="73">
        <v>45970</v>
      </c>
      <c r="B14" s="74" t="s">
        <v>37</v>
      </c>
      <c r="C14" s="62">
        <v>0</v>
      </c>
      <c r="D14" s="62">
        <v>1</v>
      </c>
      <c r="E14" s="63">
        <f t="shared" si="0"/>
        <v>1</v>
      </c>
      <c r="F14" s="62">
        <v>0</v>
      </c>
      <c r="G14" s="62">
        <v>0</v>
      </c>
      <c r="H14" s="62">
        <v>0</v>
      </c>
      <c r="I14" s="64">
        <f t="shared" si="1"/>
        <v>0</v>
      </c>
      <c r="J14" s="62">
        <v>0</v>
      </c>
      <c r="K14" s="62">
        <v>0</v>
      </c>
      <c r="L14" s="62">
        <v>0</v>
      </c>
      <c r="M14" s="64">
        <f t="shared" si="2"/>
        <v>0</v>
      </c>
      <c r="N14" s="64">
        <f t="shared" ref="N14:P14" si="46">F14+J14</f>
        <v>0</v>
      </c>
      <c r="O14" s="64">
        <f t="shared" si="46"/>
        <v>0</v>
      </c>
      <c r="P14" s="64">
        <f t="shared" si="46"/>
        <v>0</v>
      </c>
      <c r="Q14" s="66">
        <f t="shared" si="4"/>
        <v>0</v>
      </c>
      <c r="R14" s="64">
        <f t="shared" si="5"/>
        <v>0</v>
      </c>
      <c r="S14" s="64">
        <f t="shared" si="6"/>
        <v>1</v>
      </c>
      <c r="T14" s="67">
        <f t="shared" si="7"/>
        <v>1</v>
      </c>
      <c r="U14" s="68"/>
      <c r="V14" s="62">
        <v>0</v>
      </c>
      <c r="W14" s="62">
        <v>0</v>
      </c>
      <c r="X14" s="64">
        <f t="shared" si="8"/>
        <v>0</v>
      </c>
      <c r="Y14" s="62">
        <v>1</v>
      </c>
      <c r="Z14" s="62">
        <v>0</v>
      </c>
      <c r="AA14" s="64">
        <f t="shared" si="9"/>
        <v>4</v>
      </c>
      <c r="AB14" s="64">
        <f t="shared" si="10"/>
        <v>4</v>
      </c>
      <c r="AC14" s="62">
        <v>0</v>
      </c>
      <c r="AD14" s="62">
        <v>0</v>
      </c>
      <c r="AE14" s="64">
        <f t="shared" si="11"/>
        <v>0</v>
      </c>
      <c r="AF14" s="62">
        <v>0</v>
      </c>
      <c r="AG14" s="62">
        <v>0</v>
      </c>
      <c r="AH14" s="64">
        <f t="shared" si="12"/>
        <v>0</v>
      </c>
      <c r="AI14" s="64">
        <f t="shared" si="13"/>
        <v>0</v>
      </c>
      <c r="AJ14" s="64">
        <f t="shared" si="14"/>
        <v>0</v>
      </c>
      <c r="AK14" s="64">
        <f t="shared" ref="AK14:AL14" si="47">AA14+AH14</f>
        <v>4</v>
      </c>
      <c r="AL14" s="64">
        <f t="shared" si="47"/>
        <v>4</v>
      </c>
      <c r="AM14" s="62"/>
      <c r="AN14" s="62"/>
      <c r="AO14" s="61"/>
      <c r="AP14" s="62"/>
      <c r="AQ14" s="62"/>
      <c r="AR14" s="61"/>
      <c r="AS14" s="64">
        <f t="shared" si="16"/>
        <v>0</v>
      </c>
      <c r="AT14" s="61"/>
      <c r="AU14" s="61"/>
      <c r="AV14" s="61"/>
      <c r="AW14" s="61"/>
      <c r="AX14" s="61"/>
      <c r="AY14" s="61"/>
      <c r="AZ14" s="64">
        <f t="shared" si="17"/>
        <v>0</v>
      </c>
      <c r="BA14" s="64">
        <f t="shared" si="18"/>
        <v>0</v>
      </c>
      <c r="BB14" s="64">
        <f t="shared" si="19"/>
        <v>0</v>
      </c>
      <c r="BC14" s="64">
        <f t="shared" si="20"/>
        <v>0</v>
      </c>
      <c r="BD14" s="75">
        <f t="shared" ref="BD14:BE14" si="48">AJ14+BA14</f>
        <v>0</v>
      </c>
      <c r="BE14" s="75">
        <f t="shared" si="48"/>
        <v>4</v>
      </c>
      <c r="BF14" s="75">
        <f t="shared" si="22"/>
        <v>4</v>
      </c>
      <c r="BG14" s="70">
        <v>0</v>
      </c>
      <c r="BH14" s="147">
        <v>0</v>
      </c>
      <c r="BI14" s="147">
        <v>29</v>
      </c>
      <c r="BJ14" s="150">
        <f t="shared" si="23"/>
        <v>29</v>
      </c>
      <c r="BK14" s="147">
        <v>0</v>
      </c>
      <c r="BL14" s="147">
        <v>0</v>
      </c>
      <c r="BM14" s="147">
        <v>0</v>
      </c>
      <c r="BN14" s="147">
        <v>29</v>
      </c>
      <c r="BO14" s="150">
        <f t="shared" si="24"/>
        <v>29</v>
      </c>
    </row>
    <row r="15" spans="1:67" ht="15.75" customHeight="1">
      <c r="A15" s="60">
        <v>45971</v>
      </c>
      <c r="B15" s="61" t="s">
        <v>44</v>
      </c>
      <c r="C15" s="62">
        <v>6</v>
      </c>
      <c r="D15" s="62">
        <v>8</v>
      </c>
      <c r="E15" s="63">
        <f t="shared" si="0"/>
        <v>14</v>
      </c>
      <c r="F15" s="62">
        <v>3</v>
      </c>
      <c r="G15" s="62">
        <v>1</v>
      </c>
      <c r="H15" s="62">
        <v>0</v>
      </c>
      <c r="I15" s="64">
        <f t="shared" si="1"/>
        <v>4</v>
      </c>
      <c r="J15" s="62">
        <v>5</v>
      </c>
      <c r="K15" s="62">
        <v>10</v>
      </c>
      <c r="L15" s="62">
        <v>0</v>
      </c>
      <c r="M15" s="64">
        <f t="shared" si="2"/>
        <v>15</v>
      </c>
      <c r="N15" s="64">
        <f t="shared" ref="N15:P15" si="49">F15+J15</f>
        <v>8</v>
      </c>
      <c r="O15" s="64">
        <f t="shared" si="49"/>
        <v>11</v>
      </c>
      <c r="P15" s="64">
        <f t="shared" si="49"/>
        <v>0</v>
      </c>
      <c r="Q15" s="66">
        <f t="shared" si="4"/>
        <v>19</v>
      </c>
      <c r="R15" s="64">
        <f t="shared" si="5"/>
        <v>10</v>
      </c>
      <c r="S15" s="64">
        <f t="shared" si="6"/>
        <v>23</v>
      </c>
      <c r="T15" s="67">
        <f t="shared" si="7"/>
        <v>33</v>
      </c>
      <c r="U15" s="68" t="s">
        <v>85</v>
      </c>
      <c r="V15" s="62">
        <v>0</v>
      </c>
      <c r="W15" s="62">
        <v>6</v>
      </c>
      <c r="X15" s="64">
        <f t="shared" si="8"/>
        <v>48</v>
      </c>
      <c r="Y15" s="62">
        <v>0</v>
      </c>
      <c r="Z15" s="62">
        <v>8</v>
      </c>
      <c r="AA15" s="64">
        <f t="shared" si="9"/>
        <v>64</v>
      </c>
      <c r="AB15" s="64">
        <f t="shared" si="10"/>
        <v>112</v>
      </c>
      <c r="AC15" s="62">
        <v>0</v>
      </c>
      <c r="AD15" s="62">
        <v>4</v>
      </c>
      <c r="AE15" s="64">
        <f t="shared" si="11"/>
        <v>32</v>
      </c>
      <c r="AF15" s="62">
        <v>0</v>
      </c>
      <c r="AG15" s="62">
        <v>15</v>
      </c>
      <c r="AH15" s="64">
        <f t="shared" si="12"/>
        <v>120</v>
      </c>
      <c r="AI15" s="64">
        <f t="shared" si="13"/>
        <v>152</v>
      </c>
      <c r="AJ15" s="64">
        <f t="shared" si="14"/>
        <v>80</v>
      </c>
      <c r="AK15" s="64">
        <f t="shared" ref="AK15:AL15" si="50">AA15+AH15</f>
        <v>184</v>
      </c>
      <c r="AL15" s="64">
        <f t="shared" si="50"/>
        <v>264</v>
      </c>
      <c r="AM15" s="62"/>
      <c r="AN15" s="62"/>
      <c r="AO15" s="61"/>
      <c r="AP15" s="62">
        <v>2</v>
      </c>
      <c r="AQ15" s="62">
        <v>2</v>
      </c>
      <c r="AR15" s="61"/>
      <c r="AS15" s="64">
        <f t="shared" si="16"/>
        <v>2</v>
      </c>
      <c r="AT15" s="61"/>
      <c r="AU15" s="61"/>
      <c r="AV15" s="61"/>
      <c r="AW15" s="61"/>
      <c r="AX15" s="61"/>
      <c r="AY15" s="61"/>
      <c r="AZ15" s="64">
        <f t="shared" si="17"/>
        <v>0</v>
      </c>
      <c r="BA15" s="64">
        <f t="shared" si="18"/>
        <v>0</v>
      </c>
      <c r="BB15" s="64">
        <f t="shared" si="19"/>
        <v>2</v>
      </c>
      <c r="BC15" s="64">
        <f t="shared" si="20"/>
        <v>2</v>
      </c>
      <c r="BD15" s="75">
        <f t="shared" ref="BD15:BE15" si="51">AJ15+BA15</f>
        <v>80</v>
      </c>
      <c r="BE15" s="75">
        <f t="shared" si="51"/>
        <v>186</v>
      </c>
      <c r="BF15" s="75">
        <f t="shared" si="22"/>
        <v>266</v>
      </c>
      <c r="BG15" s="70">
        <v>0</v>
      </c>
      <c r="BH15" s="147">
        <v>30</v>
      </c>
      <c r="BI15" s="147">
        <v>5518</v>
      </c>
      <c r="BJ15" s="150">
        <f t="shared" si="23"/>
        <v>5548</v>
      </c>
      <c r="BK15" s="147">
        <v>2378</v>
      </c>
      <c r="BL15" s="147">
        <v>8</v>
      </c>
      <c r="BM15" s="147">
        <v>16</v>
      </c>
      <c r="BN15" s="147">
        <v>1665</v>
      </c>
      <c r="BO15" s="150">
        <f t="shared" si="24"/>
        <v>4067</v>
      </c>
    </row>
    <row r="16" spans="1:67" ht="15.75" customHeight="1">
      <c r="A16" s="60">
        <v>45972</v>
      </c>
      <c r="B16" s="61" t="s">
        <v>38</v>
      </c>
      <c r="C16" s="62">
        <v>5</v>
      </c>
      <c r="D16" s="62">
        <v>7</v>
      </c>
      <c r="E16" s="63">
        <f t="shared" si="0"/>
        <v>12</v>
      </c>
      <c r="F16" s="62">
        <v>3</v>
      </c>
      <c r="G16" s="62">
        <v>4</v>
      </c>
      <c r="H16" s="62">
        <v>0</v>
      </c>
      <c r="I16" s="64">
        <f t="shared" si="1"/>
        <v>7</v>
      </c>
      <c r="J16" s="62">
        <v>5</v>
      </c>
      <c r="K16" s="62">
        <v>6</v>
      </c>
      <c r="L16" s="62">
        <v>0</v>
      </c>
      <c r="M16" s="64">
        <f t="shared" si="2"/>
        <v>11</v>
      </c>
      <c r="N16" s="64">
        <f t="shared" ref="N16:P16" si="52">F16+J16</f>
        <v>8</v>
      </c>
      <c r="O16" s="64">
        <f t="shared" si="52"/>
        <v>10</v>
      </c>
      <c r="P16" s="64">
        <f t="shared" si="52"/>
        <v>0</v>
      </c>
      <c r="Q16" s="66">
        <f t="shared" si="4"/>
        <v>18</v>
      </c>
      <c r="R16" s="64">
        <f t="shared" si="5"/>
        <v>12</v>
      </c>
      <c r="S16" s="64">
        <f t="shared" si="6"/>
        <v>18</v>
      </c>
      <c r="T16" s="67">
        <f t="shared" si="7"/>
        <v>30</v>
      </c>
      <c r="U16" s="68" t="s">
        <v>165</v>
      </c>
      <c r="V16" s="62">
        <v>0</v>
      </c>
      <c r="W16" s="62">
        <v>5</v>
      </c>
      <c r="X16" s="64">
        <f t="shared" si="8"/>
        <v>40</v>
      </c>
      <c r="Y16" s="62">
        <v>0</v>
      </c>
      <c r="Z16" s="62">
        <v>7</v>
      </c>
      <c r="AA16" s="64">
        <f t="shared" si="9"/>
        <v>56</v>
      </c>
      <c r="AB16" s="64">
        <f t="shared" si="10"/>
        <v>96</v>
      </c>
      <c r="AC16" s="62">
        <v>0</v>
      </c>
      <c r="AD16" s="62">
        <v>7</v>
      </c>
      <c r="AE16" s="64">
        <f t="shared" si="11"/>
        <v>56</v>
      </c>
      <c r="AF16" s="62">
        <v>0</v>
      </c>
      <c r="AG16" s="62">
        <v>11</v>
      </c>
      <c r="AH16" s="64">
        <f t="shared" si="12"/>
        <v>88</v>
      </c>
      <c r="AI16" s="64">
        <f t="shared" si="13"/>
        <v>144</v>
      </c>
      <c r="AJ16" s="64">
        <f t="shared" si="14"/>
        <v>96</v>
      </c>
      <c r="AK16" s="64">
        <f t="shared" ref="AK16:AL16" si="53">AA16+AH16</f>
        <v>144</v>
      </c>
      <c r="AL16" s="64">
        <f t="shared" si="53"/>
        <v>240</v>
      </c>
      <c r="AM16" s="62"/>
      <c r="AN16" s="62"/>
      <c r="AO16" s="61"/>
      <c r="AP16" s="62">
        <v>3</v>
      </c>
      <c r="AQ16" s="62">
        <v>9</v>
      </c>
      <c r="AR16" s="61"/>
      <c r="AS16" s="64">
        <f t="shared" si="16"/>
        <v>9</v>
      </c>
      <c r="AT16" s="61"/>
      <c r="AU16" s="61"/>
      <c r="AV16" s="61"/>
      <c r="AW16" s="61"/>
      <c r="AX16" s="61"/>
      <c r="AY16" s="61"/>
      <c r="AZ16" s="64">
        <f t="shared" si="17"/>
        <v>0</v>
      </c>
      <c r="BA16" s="64">
        <f t="shared" si="18"/>
        <v>0</v>
      </c>
      <c r="BB16" s="64">
        <f t="shared" si="19"/>
        <v>9</v>
      </c>
      <c r="BC16" s="64">
        <f t="shared" si="20"/>
        <v>9</v>
      </c>
      <c r="BD16" s="75">
        <f t="shared" ref="BD16:BE16" si="54">AJ16+BA16</f>
        <v>96</v>
      </c>
      <c r="BE16" s="75">
        <f t="shared" si="54"/>
        <v>153</v>
      </c>
      <c r="BF16" s="75">
        <f t="shared" si="22"/>
        <v>249</v>
      </c>
      <c r="BG16" s="70">
        <v>0</v>
      </c>
      <c r="BH16" s="147">
        <v>202</v>
      </c>
      <c r="BI16" s="147">
        <v>5900</v>
      </c>
      <c r="BJ16" s="150">
        <f t="shared" si="23"/>
        <v>6102</v>
      </c>
      <c r="BK16" s="147">
        <v>902</v>
      </c>
      <c r="BL16" s="147">
        <v>79</v>
      </c>
      <c r="BM16" s="147">
        <v>47</v>
      </c>
      <c r="BN16" s="147">
        <v>1619</v>
      </c>
      <c r="BO16" s="150">
        <f t="shared" si="24"/>
        <v>2647</v>
      </c>
    </row>
    <row r="17" spans="1:67" ht="15.75" customHeight="1">
      <c r="A17" s="60">
        <v>45973</v>
      </c>
      <c r="B17" s="61" t="s">
        <v>45</v>
      </c>
      <c r="C17" s="62">
        <v>6</v>
      </c>
      <c r="D17" s="62">
        <v>6</v>
      </c>
      <c r="E17" s="63">
        <f t="shared" si="0"/>
        <v>12</v>
      </c>
      <c r="F17" s="62">
        <v>3</v>
      </c>
      <c r="G17" s="62">
        <v>1</v>
      </c>
      <c r="H17" s="62">
        <v>0</v>
      </c>
      <c r="I17" s="64">
        <f t="shared" si="1"/>
        <v>4</v>
      </c>
      <c r="J17" s="62">
        <v>5</v>
      </c>
      <c r="K17" s="62">
        <v>6</v>
      </c>
      <c r="L17" s="62">
        <v>0</v>
      </c>
      <c r="M17" s="64">
        <f t="shared" si="2"/>
        <v>11</v>
      </c>
      <c r="N17" s="64">
        <f t="shared" ref="N17:P17" si="55">F17+J17</f>
        <v>8</v>
      </c>
      <c r="O17" s="64">
        <f t="shared" si="55"/>
        <v>7</v>
      </c>
      <c r="P17" s="64">
        <f t="shared" si="55"/>
        <v>0</v>
      </c>
      <c r="Q17" s="66">
        <f t="shared" si="4"/>
        <v>15</v>
      </c>
      <c r="R17" s="64">
        <f t="shared" si="5"/>
        <v>10</v>
      </c>
      <c r="S17" s="64">
        <f t="shared" si="6"/>
        <v>17</v>
      </c>
      <c r="T17" s="67">
        <f t="shared" si="7"/>
        <v>27</v>
      </c>
      <c r="U17" s="68" t="s">
        <v>166</v>
      </c>
      <c r="V17" s="62">
        <v>0</v>
      </c>
      <c r="W17" s="62">
        <v>6</v>
      </c>
      <c r="X17" s="64">
        <f t="shared" si="8"/>
        <v>48</v>
      </c>
      <c r="Y17" s="62">
        <v>0</v>
      </c>
      <c r="Z17" s="62">
        <v>6</v>
      </c>
      <c r="AA17" s="64">
        <f t="shared" si="9"/>
        <v>48</v>
      </c>
      <c r="AB17" s="64">
        <f t="shared" si="10"/>
        <v>96</v>
      </c>
      <c r="AC17" s="62">
        <v>0</v>
      </c>
      <c r="AD17" s="62">
        <v>4</v>
      </c>
      <c r="AE17" s="64">
        <f t="shared" si="11"/>
        <v>32</v>
      </c>
      <c r="AF17" s="62">
        <v>0</v>
      </c>
      <c r="AG17" s="62">
        <v>11</v>
      </c>
      <c r="AH17" s="64">
        <f t="shared" si="12"/>
        <v>88</v>
      </c>
      <c r="AI17" s="64">
        <f t="shared" si="13"/>
        <v>120</v>
      </c>
      <c r="AJ17" s="64">
        <f t="shared" si="14"/>
        <v>80</v>
      </c>
      <c r="AK17" s="64">
        <f t="shared" ref="AK17:AL17" si="56">AA17+AH17</f>
        <v>136</v>
      </c>
      <c r="AL17" s="64">
        <f t="shared" si="56"/>
        <v>216</v>
      </c>
      <c r="AM17" s="62"/>
      <c r="AN17" s="62"/>
      <c r="AO17" s="61"/>
      <c r="AP17" s="62"/>
      <c r="AQ17" s="62"/>
      <c r="AR17" s="61"/>
      <c r="AS17" s="64">
        <f t="shared" si="16"/>
        <v>0</v>
      </c>
      <c r="AT17" s="61"/>
      <c r="AU17" s="61"/>
      <c r="AV17" s="61"/>
      <c r="AW17" s="61"/>
      <c r="AX17" s="61"/>
      <c r="AY17" s="61"/>
      <c r="AZ17" s="64">
        <f t="shared" si="17"/>
        <v>0</v>
      </c>
      <c r="BA17" s="64">
        <f t="shared" si="18"/>
        <v>0</v>
      </c>
      <c r="BB17" s="64">
        <f t="shared" si="19"/>
        <v>0</v>
      </c>
      <c r="BC17" s="64">
        <f t="shared" si="20"/>
        <v>0</v>
      </c>
      <c r="BD17" s="75">
        <f t="shared" ref="BD17:BE17" si="57">AJ17+BA17</f>
        <v>80</v>
      </c>
      <c r="BE17" s="75">
        <f t="shared" si="57"/>
        <v>136</v>
      </c>
      <c r="BF17" s="75">
        <f t="shared" si="22"/>
        <v>216</v>
      </c>
      <c r="BG17" s="70">
        <v>0</v>
      </c>
      <c r="BH17" s="147">
        <v>241</v>
      </c>
      <c r="BI17" s="147">
        <v>4054</v>
      </c>
      <c r="BJ17" s="150">
        <f t="shared" si="23"/>
        <v>4295</v>
      </c>
      <c r="BK17" s="147">
        <v>836</v>
      </c>
      <c r="BL17" s="147">
        <v>157</v>
      </c>
      <c r="BM17" s="147">
        <v>26</v>
      </c>
      <c r="BN17" s="147">
        <v>668</v>
      </c>
      <c r="BO17" s="150">
        <f t="shared" si="24"/>
        <v>1687</v>
      </c>
    </row>
    <row r="18" spans="1:67" ht="15.75" customHeight="1">
      <c r="A18" s="60">
        <v>45974</v>
      </c>
      <c r="B18" s="61" t="s">
        <v>32</v>
      </c>
      <c r="C18" s="62">
        <v>5</v>
      </c>
      <c r="D18" s="62">
        <v>8</v>
      </c>
      <c r="E18" s="63">
        <f t="shared" si="0"/>
        <v>13</v>
      </c>
      <c r="F18" s="62">
        <v>3</v>
      </c>
      <c r="G18" s="62">
        <v>1</v>
      </c>
      <c r="H18" s="62">
        <v>0</v>
      </c>
      <c r="I18" s="64">
        <f t="shared" si="1"/>
        <v>4</v>
      </c>
      <c r="J18" s="62">
        <v>5</v>
      </c>
      <c r="K18" s="62">
        <v>5</v>
      </c>
      <c r="L18" s="62">
        <v>0</v>
      </c>
      <c r="M18" s="64">
        <f t="shared" si="2"/>
        <v>10</v>
      </c>
      <c r="N18" s="64">
        <f t="shared" ref="N18:P18" si="58">F18+J18</f>
        <v>8</v>
      </c>
      <c r="O18" s="64">
        <f t="shared" si="58"/>
        <v>6</v>
      </c>
      <c r="P18" s="64">
        <f t="shared" si="58"/>
        <v>0</v>
      </c>
      <c r="Q18" s="66">
        <f t="shared" si="4"/>
        <v>14</v>
      </c>
      <c r="R18" s="64">
        <f t="shared" si="5"/>
        <v>9</v>
      </c>
      <c r="S18" s="64">
        <f t="shared" si="6"/>
        <v>18</v>
      </c>
      <c r="T18" s="67">
        <f t="shared" si="7"/>
        <v>27</v>
      </c>
      <c r="U18" s="68" t="s">
        <v>167</v>
      </c>
      <c r="V18" s="62">
        <v>0</v>
      </c>
      <c r="W18" s="62">
        <v>5</v>
      </c>
      <c r="X18" s="64">
        <f t="shared" si="8"/>
        <v>40</v>
      </c>
      <c r="Y18" s="62">
        <v>0</v>
      </c>
      <c r="Z18" s="62">
        <v>8</v>
      </c>
      <c r="AA18" s="64">
        <f t="shared" si="9"/>
        <v>64</v>
      </c>
      <c r="AB18" s="64">
        <f t="shared" si="10"/>
        <v>104</v>
      </c>
      <c r="AC18" s="62">
        <v>0</v>
      </c>
      <c r="AD18" s="62">
        <v>4</v>
      </c>
      <c r="AE18" s="64">
        <f t="shared" si="11"/>
        <v>32</v>
      </c>
      <c r="AF18" s="62">
        <v>0</v>
      </c>
      <c r="AG18" s="62">
        <v>10</v>
      </c>
      <c r="AH18" s="64">
        <f t="shared" si="12"/>
        <v>80</v>
      </c>
      <c r="AI18" s="64">
        <f t="shared" si="13"/>
        <v>112</v>
      </c>
      <c r="AJ18" s="64">
        <f t="shared" si="14"/>
        <v>72</v>
      </c>
      <c r="AK18" s="64">
        <f t="shared" ref="AK18:AL18" si="59">AA18+AH18</f>
        <v>144</v>
      </c>
      <c r="AL18" s="64">
        <f t="shared" si="59"/>
        <v>216</v>
      </c>
      <c r="AM18" s="62"/>
      <c r="AN18" s="62"/>
      <c r="AO18" s="61"/>
      <c r="AP18" s="62"/>
      <c r="AQ18" s="62"/>
      <c r="AR18" s="61"/>
      <c r="AS18" s="64">
        <f t="shared" si="16"/>
        <v>0</v>
      </c>
      <c r="AT18" s="61"/>
      <c r="AU18" s="61"/>
      <c r="AV18" s="61"/>
      <c r="AW18" s="61"/>
      <c r="AX18" s="61"/>
      <c r="AY18" s="61"/>
      <c r="AZ18" s="64">
        <f t="shared" si="17"/>
        <v>0</v>
      </c>
      <c r="BA18" s="64">
        <f t="shared" si="18"/>
        <v>0</v>
      </c>
      <c r="BB18" s="64">
        <f t="shared" si="19"/>
        <v>0</v>
      </c>
      <c r="BC18" s="64">
        <f t="shared" si="20"/>
        <v>0</v>
      </c>
      <c r="BD18" s="75">
        <f t="shared" ref="BD18:BE18" si="60">AJ18+BA18</f>
        <v>72</v>
      </c>
      <c r="BE18" s="75">
        <f t="shared" si="60"/>
        <v>144</v>
      </c>
      <c r="BF18" s="75">
        <f t="shared" si="22"/>
        <v>216</v>
      </c>
      <c r="BG18" s="70">
        <v>0</v>
      </c>
      <c r="BH18" s="147">
        <v>60</v>
      </c>
      <c r="BI18" s="147">
        <v>2575</v>
      </c>
      <c r="BJ18" s="150">
        <f t="shared" si="23"/>
        <v>2635</v>
      </c>
      <c r="BK18" s="147">
        <v>912</v>
      </c>
      <c r="BL18" s="147">
        <v>16</v>
      </c>
      <c r="BM18" s="147">
        <v>24</v>
      </c>
      <c r="BN18" s="147">
        <v>856</v>
      </c>
      <c r="BO18" s="150">
        <f t="shared" si="24"/>
        <v>1808</v>
      </c>
    </row>
    <row r="19" spans="1:67" ht="15.75" customHeight="1">
      <c r="A19" s="60">
        <v>45975</v>
      </c>
      <c r="B19" s="61" t="s">
        <v>42</v>
      </c>
      <c r="C19" s="62">
        <v>6</v>
      </c>
      <c r="D19" s="62">
        <v>6</v>
      </c>
      <c r="E19" s="63">
        <f t="shared" si="0"/>
        <v>12</v>
      </c>
      <c r="F19" s="62">
        <v>3</v>
      </c>
      <c r="G19" s="62">
        <v>1</v>
      </c>
      <c r="H19" s="62">
        <v>0</v>
      </c>
      <c r="I19" s="64">
        <f t="shared" si="1"/>
        <v>4</v>
      </c>
      <c r="J19" s="62">
        <v>5</v>
      </c>
      <c r="K19" s="62">
        <v>7</v>
      </c>
      <c r="L19" s="62">
        <v>0</v>
      </c>
      <c r="M19" s="64">
        <f t="shared" si="2"/>
        <v>12</v>
      </c>
      <c r="N19" s="64">
        <f t="shared" ref="N19:P19" si="61">F19+J19</f>
        <v>8</v>
      </c>
      <c r="O19" s="64">
        <f t="shared" si="61"/>
        <v>8</v>
      </c>
      <c r="P19" s="64">
        <f t="shared" si="61"/>
        <v>0</v>
      </c>
      <c r="Q19" s="66">
        <f t="shared" si="4"/>
        <v>16</v>
      </c>
      <c r="R19" s="64">
        <f t="shared" si="5"/>
        <v>10</v>
      </c>
      <c r="S19" s="64">
        <f t="shared" si="6"/>
        <v>18</v>
      </c>
      <c r="T19" s="67">
        <f t="shared" si="7"/>
        <v>28</v>
      </c>
      <c r="U19" s="68" t="s">
        <v>168</v>
      </c>
      <c r="V19" s="62">
        <v>0</v>
      </c>
      <c r="W19" s="62">
        <v>6</v>
      </c>
      <c r="X19" s="64">
        <f t="shared" si="8"/>
        <v>48</v>
      </c>
      <c r="Y19" s="62">
        <v>0</v>
      </c>
      <c r="Z19" s="62">
        <v>6</v>
      </c>
      <c r="AA19" s="64">
        <f t="shared" si="9"/>
        <v>48</v>
      </c>
      <c r="AB19" s="64">
        <f t="shared" si="10"/>
        <v>96</v>
      </c>
      <c r="AC19" s="62">
        <v>0</v>
      </c>
      <c r="AD19" s="62">
        <v>4</v>
      </c>
      <c r="AE19" s="64">
        <f t="shared" si="11"/>
        <v>32</v>
      </c>
      <c r="AF19" s="62">
        <v>0</v>
      </c>
      <c r="AG19" s="62">
        <v>12</v>
      </c>
      <c r="AH19" s="64">
        <f t="shared" si="12"/>
        <v>96</v>
      </c>
      <c r="AI19" s="64">
        <f t="shared" si="13"/>
        <v>128</v>
      </c>
      <c r="AJ19" s="64">
        <f t="shared" si="14"/>
        <v>80</v>
      </c>
      <c r="AK19" s="64">
        <f t="shared" ref="AK19:AL19" si="62">AA19+AH19</f>
        <v>144</v>
      </c>
      <c r="AL19" s="64">
        <f t="shared" si="62"/>
        <v>224</v>
      </c>
      <c r="AM19" s="62"/>
      <c r="AN19" s="62"/>
      <c r="AO19" s="61"/>
      <c r="AP19" s="62"/>
      <c r="AQ19" s="62"/>
      <c r="AR19" s="61"/>
      <c r="AS19" s="64">
        <f t="shared" si="16"/>
        <v>0</v>
      </c>
      <c r="AT19" s="61"/>
      <c r="AU19" s="61"/>
      <c r="AV19" s="61"/>
      <c r="AW19" s="61"/>
      <c r="AX19" s="61"/>
      <c r="AY19" s="61"/>
      <c r="AZ19" s="64">
        <f t="shared" si="17"/>
        <v>0</v>
      </c>
      <c r="BA19" s="64">
        <f t="shared" si="18"/>
        <v>0</v>
      </c>
      <c r="BB19" s="64">
        <f t="shared" si="19"/>
        <v>0</v>
      </c>
      <c r="BC19" s="64">
        <f t="shared" si="20"/>
        <v>0</v>
      </c>
      <c r="BD19" s="75">
        <f t="shared" ref="BD19:BE19" si="63">AJ19+BA19</f>
        <v>80</v>
      </c>
      <c r="BE19" s="75">
        <f t="shared" si="63"/>
        <v>144</v>
      </c>
      <c r="BF19" s="75">
        <f t="shared" si="22"/>
        <v>224</v>
      </c>
      <c r="BG19" s="70">
        <v>0</v>
      </c>
      <c r="BH19" s="147">
        <v>256</v>
      </c>
      <c r="BI19" s="147">
        <v>3445</v>
      </c>
      <c r="BJ19" s="150">
        <f t="shared" si="23"/>
        <v>3701</v>
      </c>
      <c r="BK19" s="147">
        <v>842</v>
      </c>
      <c r="BL19" s="147">
        <v>168</v>
      </c>
      <c r="BM19" s="147">
        <v>11</v>
      </c>
      <c r="BN19" s="147">
        <v>1011</v>
      </c>
      <c r="BO19" s="150">
        <f t="shared" si="24"/>
        <v>2032</v>
      </c>
    </row>
    <row r="20" spans="1:67" ht="15.75" customHeight="1">
      <c r="A20" s="73">
        <v>45976</v>
      </c>
      <c r="B20" s="74" t="s">
        <v>39</v>
      </c>
      <c r="C20" s="62">
        <v>3</v>
      </c>
      <c r="D20" s="62">
        <v>3</v>
      </c>
      <c r="E20" s="63">
        <f t="shared" si="0"/>
        <v>6</v>
      </c>
      <c r="F20" s="62">
        <v>0</v>
      </c>
      <c r="G20" s="62">
        <v>0</v>
      </c>
      <c r="H20" s="62">
        <v>0</v>
      </c>
      <c r="I20" s="64">
        <f t="shared" si="1"/>
        <v>0</v>
      </c>
      <c r="J20" s="62">
        <v>0</v>
      </c>
      <c r="K20" s="62">
        <v>0</v>
      </c>
      <c r="L20" s="62">
        <v>0</v>
      </c>
      <c r="M20" s="64">
        <f t="shared" si="2"/>
        <v>0</v>
      </c>
      <c r="N20" s="64">
        <f t="shared" ref="N20:P20" si="64">F20+J20</f>
        <v>0</v>
      </c>
      <c r="O20" s="64">
        <f t="shared" si="64"/>
        <v>0</v>
      </c>
      <c r="P20" s="64">
        <f t="shared" si="64"/>
        <v>0</v>
      </c>
      <c r="Q20" s="66">
        <f t="shared" si="4"/>
        <v>0</v>
      </c>
      <c r="R20" s="64">
        <f t="shared" si="5"/>
        <v>3</v>
      </c>
      <c r="S20" s="64">
        <f t="shared" si="6"/>
        <v>3</v>
      </c>
      <c r="T20" s="67">
        <f t="shared" si="7"/>
        <v>6</v>
      </c>
      <c r="U20" s="68" t="s">
        <v>169</v>
      </c>
      <c r="V20" s="62">
        <v>0</v>
      </c>
      <c r="W20" s="62">
        <v>3</v>
      </c>
      <c r="X20" s="64">
        <f t="shared" si="8"/>
        <v>24</v>
      </c>
      <c r="Y20" s="62">
        <v>0</v>
      </c>
      <c r="Z20" s="62">
        <v>3</v>
      </c>
      <c r="AA20" s="64">
        <f t="shared" si="9"/>
        <v>24</v>
      </c>
      <c r="AB20" s="64">
        <f t="shared" si="10"/>
        <v>48</v>
      </c>
      <c r="AC20" s="62">
        <v>0</v>
      </c>
      <c r="AD20" s="62">
        <v>0</v>
      </c>
      <c r="AE20" s="64">
        <v>0</v>
      </c>
      <c r="AF20" s="62">
        <v>0</v>
      </c>
      <c r="AG20" s="62">
        <v>0</v>
      </c>
      <c r="AH20" s="64">
        <f t="shared" si="12"/>
        <v>0</v>
      </c>
      <c r="AI20" s="64">
        <f t="shared" si="13"/>
        <v>0</v>
      </c>
      <c r="AJ20" s="64">
        <f t="shared" si="14"/>
        <v>24</v>
      </c>
      <c r="AK20" s="64">
        <f t="shared" ref="AK20:AL20" si="65">AA20+AH20</f>
        <v>24</v>
      </c>
      <c r="AL20" s="64">
        <f t="shared" si="65"/>
        <v>48</v>
      </c>
      <c r="AM20" s="62"/>
      <c r="AN20" s="62"/>
      <c r="AO20" s="61"/>
      <c r="AP20" s="62"/>
      <c r="AQ20" s="62"/>
      <c r="AR20" s="61"/>
      <c r="AS20" s="64">
        <f t="shared" si="16"/>
        <v>0</v>
      </c>
      <c r="AT20" s="61"/>
      <c r="AU20" s="61"/>
      <c r="AV20" s="61"/>
      <c r="AW20" s="61"/>
      <c r="AX20" s="61"/>
      <c r="AY20" s="61"/>
      <c r="AZ20" s="64">
        <f t="shared" si="17"/>
        <v>0</v>
      </c>
      <c r="BA20" s="64">
        <f t="shared" si="18"/>
        <v>0</v>
      </c>
      <c r="BB20" s="64">
        <f t="shared" si="19"/>
        <v>0</v>
      </c>
      <c r="BC20" s="64">
        <f t="shared" si="20"/>
        <v>0</v>
      </c>
      <c r="BD20" s="75">
        <f t="shared" ref="BD20:BE20" si="66">AJ20+BA20</f>
        <v>24</v>
      </c>
      <c r="BE20" s="75">
        <f t="shared" si="66"/>
        <v>24</v>
      </c>
      <c r="BF20" s="75">
        <f t="shared" si="22"/>
        <v>48</v>
      </c>
      <c r="BG20" s="70">
        <v>0</v>
      </c>
      <c r="BH20" s="147">
        <v>11</v>
      </c>
      <c r="BI20" s="147">
        <v>39</v>
      </c>
      <c r="BJ20" s="150">
        <f t="shared" si="23"/>
        <v>50</v>
      </c>
      <c r="BK20" s="147">
        <v>0</v>
      </c>
      <c r="BL20" s="147">
        <v>17</v>
      </c>
      <c r="BM20" s="147">
        <v>0</v>
      </c>
      <c r="BN20" s="147">
        <v>39</v>
      </c>
      <c r="BO20" s="150">
        <f t="shared" si="24"/>
        <v>56</v>
      </c>
    </row>
    <row r="21" spans="1:67" ht="15.75" customHeight="1">
      <c r="A21" s="73">
        <v>45977</v>
      </c>
      <c r="B21" s="74" t="s">
        <v>37</v>
      </c>
      <c r="C21" s="62">
        <v>1</v>
      </c>
      <c r="D21" s="62">
        <v>0</v>
      </c>
      <c r="E21" s="63">
        <f t="shared" si="0"/>
        <v>1</v>
      </c>
      <c r="F21" s="62">
        <v>0</v>
      </c>
      <c r="G21" s="62">
        <v>0</v>
      </c>
      <c r="H21" s="62">
        <v>0</v>
      </c>
      <c r="I21" s="64">
        <f t="shared" si="1"/>
        <v>0</v>
      </c>
      <c r="J21" s="62">
        <v>0</v>
      </c>
      <c r="K21" s="62">
        <v>0</v>
      </c>
      <c r="L21" s="62">
        <v>0</v>
      </c>
      <c r="M21" s="64">
        <f t="shared" si="2"/>
        <v>0</v>
      </c>
      <c r="N21" s="64">
        <f t="shared" ref="N21:P21" si="67">F21+J21</f>
        <v>0</v>
      </c>
      <c r="O21" s="64">
        <f t="shared" si="67"/>
        <v>0</v>
      </c>
      <c r="P21" s="64">
        <f t="shared" si="67"/>
        <v>0</v>
      </c>
      <c r="Q21" s="66">
        <f t="shared" si="4"/>
        <v>0</v>
      </c>
      <c r="R21" s="64">
        <f t="shared" si="5"/>
        <v>1</v>
      </c>
      <c r="S21" s="64">
        <f t="shared" si="6"/>
        <v>0</v>
      </c>
      <c r="T21" s="67">
        <f t="shared" si="7"/>
        <v>1</v>
      </c>
      <c r="U21" s="68"/>
      <c r="V21" s="62">
        <v>1</v>
      </c>
      <c r="W21" s="62">
        <v>0</v>
      </c>
      <c r="X21" s="64">
        <f t="shared" si="8"/>
        <v>4</v>
      </c>
      <c r="Y21" s="62">
        <v>0</v>
      </c>
      <c r="Z21" s="62">
        <v>0</v>
      </c>
      <c r="AA21" s="64">
        <f t="shared" si="9"/>
        <v>0</v>
      </c>
      <c r="AB21" s="64">
        <f t="shared" si="10"/>
        <v>4</v>
      </c>
      <c r="AC21" s="62">
        <v>0</v>
      </c>
      <c r="AD21" s="62">
        <v>0</v>
      </c>
      <c r="AE21" s="64">
        <v>0</v>
      </c>
      <c r="AF21" s="62">
        <v>0</v>
      </c>
      <c r="AG21" s="62">
        <v>0</v>
      </c>
      <c r="AH21" s="64">
        <f t="shared" si="12"/>
        <v>0</v>
      </c>
      <c r="AI21" s="64">
        <f t="shared" si="13"/>
        <v>0</v>
      </c>
      <c r="AJ21" s="64">
        <f t="shared" si="14"/>
        <v>4</v>
      </c>
      <c r="AK21" s="64">
        <f t="shared" ref="AK21:AL21" si="68">AA21+AH21</f>
        <v>0</v>
      </c>
      <c r="AL21" s="64">
        <f t="shared" si="68"/>
        <v>4</v>
      </c>
      <c r="AM21" s="62"/>
      <c r="AN21" s="62"/>
      <c r="AO21" s="61"/>
      <c r="AP21" s="62"/>
      <c r="AQ21" s="62"/>
      <c r="AR21" s="61"/>
      <c r="AS21" s="64">
        <f t="shared" si="16"/>
        <v>0</v>
      </c>
      <c r="AT21" s="61"/>
      <c r="AU21" s="61"/>
      <c r="AV21" s="61"/>
      <c r="AW21" s="61"/>
      <c r="AX21" s="61"/>
      <c r="AY21" s="61"/>
      <c r="AZ21" s="64">
        <f t="shared" si="17"/>
        <v>0</v>
      </c>
      <c r="BA21" s="64">
        <f t="shared" si="18"/>
        <v>0</v>
      </c>
      <c r="BB21" s="64">
        <f t="shared" si="19"/>
        <v>0</v>
      </c>
      <c r="BC21" s="64">
        <f t="shared" si="20"/>
        <v>0</v>
      </c>
      <c r="BD21" s="75">
        <f t="shared" ref="BD21:BE21" si="69">AJ21+BA21</f>
        <v>4</v>
      </c>
      <c r="BE21" s="75">
        <f t="shared" si="69"/>
        <v>0</v>
      </c>
      <c r="BF21" s="75">
        <f t="shared" si="22"/>
        <v>4</v>
      </c>
      <c r="BG21" s="70">
        <v>0</v>
      </c>
      <c r="BH21" s="147">
        <v>0</v>
      </c>
      <c r="BI21" s="147">
        <v>21</v>
      </c>
      <c r="BJ21" s="150">
        <f t="shared" si="23"/>
        <v>21</v>
      </c>
      <c r="BK21" s="147">
        <v>0</v>
      </c>
      <c r="BL21" s="147">
        <v>0</v>
      </c>
      <c r="BM21" s="147">
        <v>0</v>
      </c>
      <c r="BN21" s="147">
        <v>21</v>
      </c>
      <c r="BO21" s="150">
        <f t="shared" si="24"/>
        <v>21</v>
      </c>
    </row>
    <row r="22" spans="1:67" ht="15.75" customHeight="1">
      <c r="A22" s="60">
        <v>45978</v>
      </c>
      <c r="B22" s="61" t="s">
        <v>44</v>
      </c>
      <c r="C22" s="62">
        <v>6</v>
      </c>
      <c r="D22" s="62">
        <v>8</v>
      </c>
      <c r="E22" s="63">
        <f t="shared" si="0"/>
        <v>14</v>
      </c>
      <c r="F22" s="62">
        <v>3</v>
      </c>
      <c r="G22" s="62">
        <v>1</v>
      </c>
      <c r="H22" s="62">
        <v>0</v>
      </c>
      <c r="I22" s="64">
        <f t="shared" si="1"/>
        <v>4</v>
      </c>
      <c r="J22" s="62">
        <v>5</v>
      </c>
      <c r="K22" s="62">
        <v>14</v>
      </c>
      <c r="L22" s="62">
        <v>0</v>
      </c>
      <c r="M22" s="64">
        <f t="shared" si="2"/>
        <v>19</v>
      </c>
      <c r="N22" s="64">
        <f t="shared" ref="N22:P22" si="70">F22+J22</f>
        <v>8</v>
      </c>
      <c r="O22" s="64">
        <f t="shared" si="70"/>
        <v>15</v>
      </c>
      <c r="P22" s="64">
        <f t="shared" si="70"/>
        <v>0</v>
      </c>
      <c r="Q22" s="66">
        <f t="shared" si="4"/>
        <v>23</v>
      </c>
      <c r="R22" s="64">
        <f t="shared" si="5"/>
        <v>10</v>
      </c>
      <c r="S22" s="64">
        <f t="shared" si="6"/>
        <v>27</v>
      </c>
      <c r="T22" s="67">
        <f t="shared" si="7"/>
        <v>37</v>
      </c>
      <c r="U22" s="68" t="s">
        <v>170</v>
      </c>
      <c r="V22" s="62">
        <v>0</v>
      </c>
      <c r="W22" s="62">
        <v>6</v>
      </c>
      <c r="X22" s="64">
        <f t="shared" si="8"/>
        <v>48</v>
      </c>
      <c r="Y22" s="62">
        <v>0</v>
      </c>
      <c r="Z22" s="62">
        <v>8</v>
      </c>
      <c r="AA22" s="64">
        <f t="shared" si="9"/>
        <v>64</v>
      </c>
      <c r="AB22" s="64">
        <f t="shared" si="10"/>
        <v>112</v>
      </c>
      <c r="AC22" s="62">
        <v>0</v>
      </c>
      <c r="AD22" s="62">
        <v>4</v>
      </c>
      <c r="AE22" s="64">
        <f t="shared" ref="AE22:AE35" si="71">(4*AC22)+(8*AD22)</f>
        <v>32</v>
      </c>
      <c r="AF22" s="62">
        <v>0</v>
      </c>
      <c r="AG22" s="62">
        <v>19</v>
      </c>
      <c r="AH22" s="64">
        <f t="shared" si="12"/>
        <v>152</v>
      </c>
      <c r="AI22" s="64">
        <f t="shared" si="13"/>
        <v>184</v>
      </c>
      <c r="AJ22" s="64">
        <f t="shared" si="14"/>
        <v>80</v>
      </c>
      <c r="AK22" s="64">
        <f t="shared" ref="AK22:AL22" si="72">AA22+AH22</f>
        <v>216</v>
      </c>
      <c r="AL22" s="64">
        <f t="shared" si="72"/>
        <v>296</v>
      </c>
      <c r="AM22" s="62"/>
      <c r="AN22" s="62"/>
      <c r="AO22" s="61"/>
      <c r="AP22" s="62"/>
      <c r="AQ22" s="62"/>
      <c r="AR22" s="61"/>
      <c r="AS22" s="64">
        <f t="shared" si="16"/>
        <v>0</v>
      </c>
      <c r="AT22" s="61"/>
      <c r="AU22" s="61"/>
      <c r="AV22" s="61"/>
      <c r="AW22" s="61"/>
      <c r="AX22" s="61"/>
      <c r="AY22" s="61"/>
      <c r="AZ22" s="64">
        <f t="shared" si="17"/>
        <v>0</v>
      </c>
      <c r="BA22" s="64">
        <f t="shared" si="18"/>
        <v>0</v>
      </c>
      <c r="BB22" s="64">
        <f t="shared" si="19"/>
        <v>0</v>
      </c>
      <c r="BC22" s="64">
        <f t="shared" si="20"/>
        <v>0</v>
      </c>
      <c r="BD22" s="75">
        <f t="shared" ref="BD22:BE22" si="73">AJ22+BA22</f>
        <v>80</v>
      </c>
      <c r="BE22" s="75">
        <f t="shared" si="73"/>
        <v>216</v>
      </c>
      <c r="BF22" s="75">
        <f t="shared" si="22"/>
        <v>296</v>
      </c>
      <c r="BG22" s="70">
        <v>0</v>
      </c>
      <c r="BH22" s="147">
        <v>161</v>
      </c>
      <c r="BI22" s="147">
        <v>5236</v>
      </c>
      <c r="BJ22" s="150">
        <f t="shared" si="23"/>
        <v>5397</v>
      </c>
      <c r="BK22" s="147">
        <v>2340</v>
      </c>
      <c r="BL22" s="147">
        <v>84</v>
      </c>
      <c r="BM22" s="147">
        <v>28</v>
      </c>
      <c r="BN22" s="147">
        <v>1156</v>
      </c>
      <c r="BO22" s="150">
        <f t="shared" si="24"/>
        <v>3608</v>
      </c>
    </row>
    <row r="23" spans="1:67" ht="15.75" customHeight="1">
      <c r="A23" s="60">
        <v>45979</v>
      </c>
      <c r="B23" s="61" t="s">
        <v>38</v>
      </c>
      <c r="C23" s="62">
        <v>5</v>
      </c>
      <c r="D23" s="62">
        <v>8</v>
      </c>
      <c r="E23" s="63">
        <f t="shared" si="0"/>
        <v>13</v>
      </c>
      <c r="F23" s="62">
        <v>3</v>
      </c>
      <c r="G23" s="62">
        <v>2</v>
      </c>
      <c r="H23" s="62">
        <v>0</v>
      </c>
      <c r="I23" s="64">
        <f t="shared" si="1"/>
        <v>5</v>
      </c>
      <c r="J23" s="62">
        <v>5</v>
      </c>
      <c r="K23" s="62">
        <v>8</v>
      </c>
      <c r="L23" s="62">
        <v>0</v>
      </c>
      <c r="M23" s="64">
        <f t="shared" si="2"/>
        <v>13</v>
      </c>
      <c r="N23" s="64">
        <f t="shared" ref="N23:P23" si="74">F23+J23</f>
        <v>8</v>
      </c>
      <c r="O23" s="64">
        <f t="shared" si="74"/>
        <v>10</v>
      </c>
      <c r="P23" s="64">
        <f t="shared" si="74"/>
        <v>0</v>
      </c>
      <c r="Q23" s="66">
        <f t="shared" si="4"/>
        <v>18</v>
      </c>
      <c r="R23" s="64">
        <f t="shared" si="5"/>
        <v>10</v>
      </c>
      <c r="S23" s="64">
        <f t="shared" si="6"/>
        <v>21</v>
      </c>
      <c r="T23" s="67">
        <f t="shared" si="7"/>
        <v>31</v>
      </c>
      <c r="U23" s="68" t="s">
        <v>171</v>
      </c>
      <c r="V23" s="62">
        <v>0</v>
      </c>
      <c r="W23" s="62">
        <v>5</v>
      </c>
      <c r="X23" s="64">
        <f t="shared" si="8"/>
        <v>40</v>
      </c>
      <c r="Y23" s="62">
        <v>0</v>
      </c>
      <c r="Z23" s="62">
        <v>8</v>
      </c>
      <c r="AA23" s="64">
        <f t="shared" si="9"/>
        <v>64</v>
      </c>
      <c r="AB23" s="64">
        <f t="shared" si="10"/>
        <v>104</v>
      </c>
      <c r="AC23" s="62">
        <v>0</v>
      </c>
      <c r="AD23" s="62">
        <v>5</v>
      </c>
      <c r="AE23" s="64">
        <f t="shared" si="71"/>
        <v>40</v>
      </c>
      <c r="AF23" s="62">
        <v>0</v>
      </c>
      <c r="AG23" s="62">
        <v>13</v>
      </c>
      <c r="AH23" s="64">
        <f t="shared" si="12"/>
        <v>104</v>
      </c>
      <c r="AI23" s="64">
        <f t="shared" si="13"/>
        <v>144</v>
      </c>
      <c r="AJ23" s="64">
        <f t="shared" si="14"/>
        <v>80</v>
      </c>
      <c r="AK23" s="64">
        <f t="shared" ref="AK23:AL23" si="75">AA23+AH23</f>
        <v>168</v>
      </c>
      <c r="AL23" s="64">
        <f t="shared" si="75"/>
        <v>248</v>
      </c>
      <c r="AM23" s="62"/>
      <c r="AN23" s="62"/>
      <c r="AO23" s="61"/>
      <c r="AP23" s="62">
        <v>2</v>
      </c>
      <c r="AQ23" s="62">
        <v>3</v>
      </c>
      <c r="AR23" s="61"/>
      <c r="AS23" s="64">
        <f t="shared" si="16"/>
        <v>3</v>
      </c>
      <c r="AT23" s="61"/>
      <c r="AU23" s="61"/>
      <c r="AV23" s="61"/>
      <c r="AW23" s="61"/>
      <c r="AX23" s="61"/>
      <c r="AY23" s="61"/>
      <c r="AZ23" s="64">
        <f t="shared" si="17"/>
        <v>0</v>
      </c>
      <c r="BA23" s="64">
        <f t="shared" si="18"/>
        <v>0</v>
      </c>
      <c r="BB23" s="64">
        <f t="shared" si="19"/>
        <v>3</v>
      </c>
      <c r="BC23" s="64">
        <f t="shared" si="20"/>
        <v>3</v>
      </c>
      <c r="BD23" s="75">
        <f t="shared" ref="BD23:BE23" si="76">AJ23+BA23</f>
        <v>80</v>
      </c>
      <c r="BE23" s="75">
        <f t="shared" si="76"/>
        <v>171</v>
      </c>
      <c r="BF23" s="75">
        <f t="shared" si="22"/>
        <v>251</v>
      </c>
      <c r="BG23" s="70">
        <v>0</v>
      </c>
      <c r="BH23" s="147">
        <v>152</v>
      </c>
      <c r="BI23" s="147">
        <v>4152</v>
      </c>
      <c r="BJ23" s="150">
        <f t="shared" si="23"/>
        <v>4304</v>
      </c>
      <c r="BK23" s="147">
        <v>814</v>
      </c>
      <c r="BL23" s="147">
        <v>60</v>
      </c>
      <c r="BM23" s="147">
        <v>6</v>
      </c>
      <c r="BN23" s="147">
        <v>1567</v>
      </c>
      <c r="BO23" s="150">
        <f t="shared" si="24"/>
        <v>2447</v>
      </c>
    </row>
    <row r="24" spans="1:67" ht="15.75" customHeight="1">
      <c r="A24" s="60">
        <v>45980</v>
      </c>
      <c r="B24" s="61" t="s">
        <v>45</v>
      </c>
      <c r="C24" s="62">
        <v>6</v>
      </c>
      <c r="D24" s="62">
        <v>8</v>
      </c>
      <c r="E24" s="63">
        <f t="shared" si="0"/>
        <v>14</v>
      </c>
      <c r="F24" s="62">
        <v>3</v>
      </c>
      <c r="G24" s="62">
        <v>2</v>
      </c>
      <c r="H24" s="62">
        <v>0</v>
      </c>
      <c r="I24" s="64">
        <f t="shared" si="1"/>
        <v>5</v>
      </c>
      <c r="J24" s="62">
        <v>5</v>
      </c>
      <c r="K24" s="62">
        <v>7</v>
      </c>
      <c r="L24" s="62">
        <v>0</v>
      </c>
      <c r="M24" s="64">
        <f t="shared" si="2"/>
        <v>12</v>
      </c>
      <c r="N24" s="64">
        <f t="shared" ref="N24:P24" si="77">F24+J24</f>
        <v>8</v>
      </c>
      <c r="O24" s="64">
        <f t="shared" si="77"/>
        <v>9</v>
      </c>
      <c r="P24" s="64">
        <f t="shared" si="77"/>
        <v>0</v>
      </c>
      <c r="Q24" s="66">
        <f t="shared" si="4"/>
        <v>17</v>
      </c>
      <c r="R24" s="64">
        <f t="shared" si="5"/>
        <v>11</v>
      </c>
      <c r="S24" s="64">
        <f t="shared" si="6"/>
        <v>20</v>
      </c>
      <c r="T24" s="67">
        <f t="shared" si="7"/>
        <v>31</v>
      </c>
      <c r="U24" s="68" t="s">
        <v>128</v>
      </c>
      <c r="V24" s="62">
        <v>0</v>
      </c>
      <c r="W24" s="62">
        <v>6</v>
      </c>
      <c r="X24" s="64">
        <f t="shared" si="8"/>
        <v>48</v>
      </c>
      <c r="Y24" s="62">
        <v>0</v>
      </c>
      <c r="Z24" s="62">
        <v>8</v>
      </c>
      <c r="AA24" s="64">
        <f t="shared" si="9"/>
        <v>64</v>
      </c>
      <c r="AB24" s="64">
        <f t="shared" si="10"/>
        <v>112</v>
      </c>
      <c r="AC24" s="62">
        <v>0</v>
      </c>
      <c r="AD24" s="62">
        <v>5</v>
      </c>
      <c r="AE24" s="64">
        <f t="shared" si="71"/>
        <v>40</v>
      </c>
      <c r="AF24" s="62">
        <v>0</v>
      </c>
      <c r="AG24" s="62">
        <v>12</v>
      </c>
      <c r="AH24" s="64">
        <f t="shared" si="12"/>
        <v>96</v>
      </c>
      <c r="AI24" s="64">
        <f t="shared" si="13"/>
        <v>136</v>
      </c>
      <c r="AJ24" s="64">
        <f t="shared" si="14"/>
        <v>88</v>
      </c>
      <c r="AK24" s="64">
        <f t="shared" ref="AK24:AL24" si="78">AA24+AH24</f>
        <v>160</v>
      </c>
      <c r="AL24" s="64">
        <f t="shared" si="78"/>
        <v>248</v>
      </c>
      <c r="AM24" s="62"/>
      <c r="AN24" s="62"/>
      <c r="AO24" s="61"/>
      <c r="AP24" s="61">
        <v>5</v>
      </c>
      <c r="AQ24" s="61">
        <v>10</v>
      </c>
      <c r="AR24" s="68" t="s">
        <v>172</v>
      </c>
      <c r="AS24" s="64">
        <f t="shared" si="16"/>
        <v>10</v>
      </c>
      <c r="AT24" s="61"/>
      <c r="AU24" s="61"/>
      <c r="AV24" s="61"/>
      <c r="AW24" s="61"/>
      <c r="AX24" s="61"/>
      <c r="AY24" s="61"/>
      <c r="AZ24" s="64">
        <f t="shared" si="17"/>
        <v>0</v>
      </c>
      <c r="BA24" s="64">
        <f t="shared" si="18"/>
        <v>0</v>
      </c>
      <c r="BB24" s="64">
        <f t="shared" si="19"/>
        <v>10</v>
      </c>
      <c r="BC24" s="64">
        <f t="shared" si="20"/>
        <v>10</v>
      </c>
      <c r="BD24" s="75">
        <f t="shared" ref="BD24:BE24" si="79">AJ24+BA24</f>
        <v>88</v>
      </c>
      <c r="BE24" s="75">
        <f t="shared" si="79"/>
        <v>170</v>
      </c>
      <c r="BF24" s="75">
        <f t="shared" si="22"/>
        <v>258</v>
      </c>
      <c r="BG24" s="70">
        <v>0</v>
      </c>
      <c r="BH24" s="147">
        <v>266</v>
      </c>
      <c r="BI24" s="147">
        <v>3452</v>
      </c>
      <c r="BJ24" s="150">
        <f t="shared" si="23"/>
        <v>3718</v>
      </c>
      <c r="BK24" s="147">
        <v>803</v>
      </c>
      <c r="BL24" s="147">
        <v>188</v>
      </c>
      <c r="BM24" s="147">
        <v>8</v>
      </c>
      <c r="BN24" s="147">
        <v>1209</v>
      </c>
      <c r="BO24" s="150">
        <f t="shared" si="24"/>
        <v>2208</v>
      </c>
    </row>
    <row r="25" spans="1:67" ht="15.75" customHeight="1">
      <c r="A25" s="60">
        <v>45981</v>
      </c>
      <c r="B25" s="61" t="s">
        <v>32</v>
      </c>
      <c r="C25" s="62">
        <v>6.5</v>
      </c>
      <c r="D25" s="62">
        <v>6.5</v>
      </c>
      <c r="E25" s="63">
        <f t="shared" si="0"/>
        <v>13</v>
      </c>
      <c r="F25" s="62">
        <v>3</v>
      </c>
      <c r="G25" s="62">
        <v>1</v>
      </c>
      <c r="H25" s="62">
        <v>0</v>
      </c>
      <c r="I25" s="64">
        <f t="shared" si="1"/>
        <v>4</v>
      </c>
      <c r="J25" s="62">
        <v>5</v>
      </c>
      <c r="K25" s="62">
        <v>7</v>
      </c>
      <c r="L25" s="62">
        <v>0</v>
      </c>
      <c r="M25" s="64">
        <f t="shared" si="2"/>
        <v>12</v>
      </c>
      <c r="N25" s="64">
        <f t="shared" ref="N25:P25" si="80">F25+J25</f>
        <v>8</v>
      </c>
      <c r="O25" s="64">
        <f t="shared" si="80"/>
        <v>8</v>
      </c>
      <c r="P25" s="64">
        <f t="shared" si="80"/>
        <v>0</v>
      </c>
      <c r="Q25" s="66">
        <f t="shared" si="4"/>
        <v>16</v>
      </c>
      <c r="R25" s="64">
        <f t="shared" si="5"/>
        <v>10.5</v>
      </c>
      <c r="S25" s="64">
        <f t="shared" si="6"/>
        <v>18.5</v>
      </c>
      <c r="T25" s="67">
        <f t="shared" si="7"/>
        <v>29</v>
      </c>
      <c r="U25" s="68" t="s">
        <v>173</v>
      </c>
      <c r="V25" s="62">
        <v>1</v>
      </c>
      <c r="W25" s="62">
        <v>6</v>
      </c>
      <c r="X25" s="64">
        <f t="shared" si="8"/>
        <v>52</v>
      </c>
      <c r="Y25" s="62">
        <v>1</v>
      </c>
      <c r="Z25" s="62">
        <v>7</v>
      </c>
      <c r="AA25" s="64">
        <f t="shared" si="9"/>
        <v>60</v>
      </c>
      <c r="AB25" s="64">
        <f t="shared" si="10"/>
        <v>112</v>
      </c>
      <c r="AC25" s="62">
        <v>0</v>
      </c>
      <c r="AD25" s="62">
        <v>4</v>
      </c>
      <c r="AE25" s="64">
        <f t="shared" si="71"/>
        <v>32</v>
      </c>
      <c r="AF25" s="62">
        <v>0</v>
      </c>
      <c r="AG25" s="62">
        <v>12</v>
      </c>
      <c r="AH25" s="64">
        <f t="shared" si="12"/>
        <v>96</v>
      </c>
      <c r="AI25" s="64">
        <f t="shared" si="13"/>
        <v>128</v>
      </c>
      <c r="AJ25" s="64">
        <f t="shared" si="14"/>
        <v>84</v>
      </c>
      <c r="AK25" s="64">
        <f t="shared" ref="AK25:AL25" si="81">AA25+AH25</f>
        <v>156</v>
      </c>
      <c r="AL25" s="64">
        <f t="shared" si="81"/>
        <v>240</v>
      </c>
      <c r="AM25" s="62"/>
      <c r="AN25" s="62"/>
      <c r="AO25" s="61"/>
      <c r="AP25" s="62"/>
      <c r="AQ25" s="62"/>
      <c r="AR25" s="61"/>
      <c r="AS25" s="64">
        <f t="shared" si="16"/>
        <v>0</v>
      </c>
      <c r="AT25" s="61"/>
      <c r="AU25" s="61"/>
      <c r="AV25" s="61"/>
      <c r="AW25" s="61"/>
      <c r="AX25" s="61"/>
      <c r="AY25" s="61"/>
      <c r="AZ25" s="64">
        <f t="shared" si="17"/>
        <v>0</v>
      </c>
      <c r="BA25" s="64">
        <f t="shared" si="18"/>
        <v>0</v>
      </c>
      <c r="BB25" s="64">
        <f t="shared" si="19"/>
        <v>0</v>
      </c>
      <c r="BC25" s="64">
        <f t="shared" si="20"/>
        <v>0</v>
      </c>
      <c r="BD25" s="75">
        <f t="shared" ref="BD25:BE25" si="82">AJ25+BA25</f>
        <v>84</v>
      </c>
      <c r="BE25" s="75">
        <f t="shared" si="82"/>
        <v>156</v>
      </c>
      <c r="BF25" s="75">
        <f t="shared" si="22"/>
        <v>240</v>
      </c>
      <c r="BG25" s="70">
        <v>0</v>
      </c>
      <c r="BH25" s="147">
        <v>53</v>
      </c>
      <c r="BI25" s="147">
        <v>3749</v>
      </c>
      <c r="BJ25" s="150">
        <f t="shared" si="23"/>
        <v>3802</v>
      </c>
      <c r="BK25" s="147">
        <v>971</v>
      </c>
      <c r="BL25" s="147">
        <v>6</v>
      </c>
      <c r="BM25" s="147">
        <v>7</v>
      </c>
      <c r="BN25" s="147">
        <v>1479</v>
      </c>
      <c r="BO25" s="150">
        <f t="shared" si="24"/>
        <v>2463</v>
      </c>
    </row>
    <row r="26" spans="1:67" ht="15.75" customHeight="1">
      <c r="A26" s="60">
        <v>45982</v>
      </c>
      <c r="B26" s="61" t="s">
        <v>42</v>
      </c>
      <c r="C26" s="62">
        <v>7</v>
      </c>
      <c r="D26" s="62">
        <v>7.5</v>
      </c>
      <c r="E26" s="63">
        <f t="shared" si="0"/>
        <v>14.5</v>
      </c>
      <c r="F26" s="62">
        <v>3</v>
      </c>
      <c r="G26" s="62">
        <v>3</v>
      </c>
      <c r="H26" s="62">
        <v>0</v>
      </c>
      <c r="I26" s="64">
        <f t="shared" si="1"/>
        <v>6</v>
      </c>
      <c r="J26" s="62">
        <v>5</v>
      </c>
      <c r="K26" s="62">
        <v>13</v>
      </c>
      <c r="L26" s="62">
        <v>0</v>
      </c>
      <c r="M26" s="64">
        <f t="shared" si="2"/>
        <v>18</v>
      </c>
      <c r="N26" s="64">
        <f t="shared" ref="N26:P26" si="83">F26+J26</f>
        <v>8</v>
      </c>
      <c r="O26" s="64">
        <f t="shared" si="83"/>
        <v>16</v>
      </c>
      <c r="P26" s="64">
        <f t="shared" si="83"/>
        <v>0</v>
      </c>
      <c r="Q26" s="66">
        <f t="shared" si="4"/>
        <v>24</v>
      </c>
      <c r="R26" s="64">
        <f t="shared" si="5"/>
        <v>13</v>
      </c>
      <c r="S26" s="64">
        <f t="shared" si="6"/>
        <v>25.5</v>
      </c>
      <c r="T26" s="67">
        <f t="shared" si="7"/>
        <v>38.5</v>
      </c>
      <c r="U26" s="68" t="s">
        <v>174</v>
      </c>
      <c r="V26" s="62">
        <v>0</v>
      </c>
      <c r="W26" s="62">
        <v>7</v>
      </c>
      <c r="X26" s="64">
        <f t="shared" si="8"/>
        <v>56</v>
      </c>
      <c r="Y26" s="62">
        <v>1</v>
      </c>
      <c r="Z26" s="62">
        <v>7</v>
      </c>
      <c r="AA26" s="64">
        <f t="shared" si="9"/>
        <v>60</v>
      </c>
      <c r="AB26" s="64">
        <f t="shared" si="10"/>
        <v>116</v>
      </c>
      <c r="AC26" s="62">
        <v>0</v>
      </c>
      <c r="AD26" s="62">
        <v>6</v>
      </c>
      <c r="AE26" s="64">
        <f t="shared" si="71"/>
        <v>48</v>
      </c>
      <c r="AF26" s="62">
        <v>0</v>
      </c>
      <c r="AG26" s="62">
        <v>18</v>
      </c>
      <c r="AH26" s="64">
        <f t="shared" si="12"/>
        <v>144</v>
      </c>
      <c r="AI26" s="64">
        <f t="shared" si="13"/>
        <v>192</v>
      </c>
      <c r="AJ26" s="64">
        <f t="shared" si="14"/>
        <v>104</v>
      </c>
      <c r="AK26" s="64">
        <f t="shared" ref="AK26:AL26" si="84">AA26+AH26</f>
        <v>204</v>
      </c>
      <c r="AL26" s="64">
        <f t="shared" si="84"/>
        <v>308</v>
      </c>
      <c r="AM26" s="62"/>
      <c r="AN26" s="62"/>
      <c r="AO26" s="61"/>
      <c r="AP26" s="62"/>
      <c r="AQ26" s="62"/>
      <c r="AR26" s="61"/>
      <c r="AS26" s="64">
        <f t="shared" si="16"/>
        <v>0</v>
      </c>
      <c r="AT26" s="61"/>
      <c r="AU26" s="61"/>
      <c r="AV26" s="61"/>
      <c r="AW26" s="61"/>
      <c r="AX26" s="61"/>
      <c r="AY26" s="61"/>
      <c r="AZ26" s="64">
        <f t="shared" si="17"/>
        <v>0</v>
      </c>
      <c r="BA26" s="64">
        <f t="shared" si="18"/>
        <v>0</v>
      </c>
      <c r="BB26" s="64">
        <f t="shared" si="19"/>
        <v>0</v>
      </c>
      <c r="BC26" s="64">
        <f t="shared" si="20"/>
        <v>0</v>
      </c>
      <c r="BD26" s="75">
        <f t="shared" ref="BD26:BE26" si="85">AJ26+BA26</f>
        <v>104</v>
      </c>
      <c r="BE26" s="75">
        <f t="shared" si="85"/>
        <v>204</v>
      </c>
      <c r="BF26" s="75">
        <f t="shared" si="22"/>
        <v>308</v>
      </c>
      <c r="BG26" s="70">
        <v>0</v>
      </c>
      <c r="BH26" s="147">
        <v>69</v>
      </c>
      <c r="BI26" s="147">
        <v>3299</v>
      </c>
      <c r="BJ26" s="150">
        <f t="shared" si="23"/>
        <v>3368</v>
      </c>
      <c r="BK26" s="151">
        <v>835</v>
      </c>
      <c r="BL26" s="151">
        <v>6</v>
      </c>
      <c r="BM26" s="151">
        <v>4</v>
      </c>
      <c r="BN26" s="151">
        <v>2021</v>
      </c>
      <c r="BO26" s="150">
        <f t="shared" si="24"/>
        <v>2866</v>
      </c>
    </row>
    <row r="27" spans="1:67" ht="15.75" customHeight="1">
      <c r="A27" s="83">
        <v>45983</v>
      </c>
      <c r="B27" s="74" t="s">
        <v>39</v>
      </c>
      <c r="C27" s="62">
        <v>8</v>
      </c>
      <c r="D27" s="62">
        <v>7</v>
      </c>
      <c r="E27" s="63">
        <f t="shared" si="0"/>
        <v>15</v>
      </c>
      <c r="F27" s="62">
        <v>3</v>
      </c>
      <c r="G27" s="62">
        <v>6</v>
      </c>
      <c r="H27" s="62">
        <v>0</v>
      </c>
      <c r="I27" s="64">
        <f t="shared" si="1"/>
        <v>9</v>
      </c>
      <c r="J27" s="62">
        <v>4</v>
      </c>
      <c r="K27" s="62">
        <v>6</v>
      </c>
      <c r="L27" s="62">
        <v>0</v>
      </c>
      <c r="M27" s="64">
        <f t="shared" si="2"/>
        <v>10</v>
      </c>
      <c r="N27" s="64">
        <f t="shared" ref="N27:P27" si="86">F27+J27</f>
        <v>7</v>
      </c>
      <c r="O27" s="64">
        <f t="shared" si="86"/>
        <v>12</v>
      </c>
      <c r="P27" s="64">
        <f t="shared" si="86"/>
        <v>0</v>
      </c>
      <c r="Q27" s="66">
        <f t="shared" si="4"/>
        <v>19</v>
      </c>
      <c r="R27" s="64">
        <f t="shared" si="5"/>
        <v>17</v>
      </c>
      <c r="S27" s="64">
        <f t="shared" si="6"/>
        <v>17</v>
      </c>
      <c r="T27" s="67">
        <f t="shared" si="7"/>
        <v>34</v>
      </c>
      <c r="U27" s="68" t="s">
        <v>175</v>
      </c>
      <c r="V27" s="62">
        <v>0</v>
      </c>
      <c r="W27" s="62">
        <v>7</v>
      </c>
      <c r="X27" s="64">
        <f t="shared" si="8"/>
        <v>56</v>
      </c>
      <c r="Y27" s="62">
        <v>0</v>
      </c>
      <c r="Z27" s="62">
        <v>7</v>
      </c>
      <c r="AA27" s="64">
        <f t="shared" si="9"/>
        <v>56</v>
      </c>
      <c r="AB27" s="64">
        <f t="shared" si="10"/>
        <v>112</v>
      </c>
      <c r="AC27" s="62">
        <v>0</v>
      </c>
      <c r="AD27" s="62">
        <v>9</v>
      </c>
      <c r="AE27" s="64">
        <f t="shared" si="71"/>
        <v>72</v>
      </c>
      <c r="AF27" s="62">
        <v>0</v>
      </c>
      <c r="AG27" s="62">
        <v>10</v>
      </c>
      <c r="AH27" s="64">
        <f t="shared" si="12"/>
        <v>80</v>
      </c>
      <c r="AI27" s="64">
        <f t="shared" si="13"/>
        <v>152</v>
      </c>
      <c r="AJ27" s="64">
        <f t="shared" si="14"/>
        <v>128</v>
      </c>
      <c r="AK27" s="64">
        <f t="shared" ref="AK27:AL27" si="87">AA27+AH27</f>
        <v>136</v>
      </c>
      <c r="AL27" s="64">
        <f t="shared" si="87"/>
        <v>264</v>
      </c>
      <c r="AM27" s="62"/>
      <c r="AN27" s="62"/>
      <c r="AO27" s="61"/>
      <c r="AP27" s="62"/>
      <c r="AQ27" s="62"/>
      <c r="AR27" s="61"/>
      <c r="AS27" s="64">
        <f t="shared" si="16"/>
        <v>0</v>
      </c>
      <c r="AT27" s="84"/>
      <c r="AU27" s="84"/>
      <c r="AV27" s="61"/>
      <c r="AW27" s="84"/>
      <c r="AX27" s="84"/>
      <c r="AY27" s="61"/>
      <c r="AZ27" s="64">
        <f t="shared" si="17"/>
        <v>0</v>
      </c>
      <c r="BA27" s="64">
        <f t="shared" si="18"/>
        <v>0</v>
      </c>
      <c r="BB27" s="64">
        <f t="shared" si="19"/>
        <v>0</v>
      </c>
      <c r="BC27" s="64">
        <f t="shared" si="20"/>
        <v>0</v>
      </c>
      <c r="BD27" s="75">
        <f t="shared" ref="BD27:BE27" si="88">AJ27+BA27</f>
        <v>128</v>
      </c>
      <c r="BE27" s="75">
        <f t="shared" si="88"/>
        <v>136</v>
      </c>
      <c r="BF27" s="75">
        <f t="shared" si="22"/>
        <v>264</v>
      </c>
      <c r="BG27" s="70">
        <v>0</v>
      </c>
      <c r="BH27" s="85">
        <v>11</v>
      </c>
      <c r="BI27" s="147">
        <v>16115</v>
      </c>
      <c r="BJ27" s="150">
        <f t="shared" si="23"/>
        <v>16126</v>
      </c>
      <c r="BK27" s="147">
        <v>0</v>
      </c>
      <c r="BL27" s="147">
        <v>0</v>
      </c>
      <c r="BM27" s="147">
        <v>0</v>
      </c>
      <c r="BN27" s="147">
        <v>8037</v>
      </c>
      <c r="BO27" s="150">
        <f t="shared" si="24"/>
        <v>8037</v>
      </c>
    </row>
    <row r="28" spans="1:67" ht="15.75" customHeight="1">
      <c r="A28" s="83">
        <v>45984</v>
      </c>
      <c r="B28" s="74" t="s">
        <v>37</v>
      </c>
      <c r="C28" s="62">
        <v>8</v>
      </c>
      <c r="D28" s="62">
        <v>8</v>
      </c>
      <c r="E28" s="63">
        <f t="shared" si="0"/>
        <v>16</v>
      </c>
      <c r="F28" s="62">
        <v>3</v>
      </c>
      <c r="G28" s="62">
        <v>11</v>
      </c>
      <c r="H28" s="62">
        <v>0</v>
      </c>
      <c r="I28" s="64">
        <f t="shared" si="1"/>
        <v>14</v>
      </c>
      <c r="J28" s="62">
        <v>4</v>
      </c>
      <c r="K28" s="62">
        <v>22</v>
      </c>
      <c r="L28" s="62">
        <v>0</v>
      </c>
      <c r="M28" s="64">
        <f t="shared" si="2"/>
        <v>26</v>
      </c>
      <c r="N28" s="64">
        <f t="shared" ref="N28:P28" si="89">F28+J28</f>
        <v>7</v>
      </c>
      <c r="O28" s="64">
        <f t="shared" si="89"/>
        <v>33</v>
      </c>
      <c r="P28" s="64">
        <f t="shared" si="89"/>
        <v>0</v>
      </c>
      <c r="Q28" s="66">
        <f t="shared" si="4"/>
        <v>40</v>
      </c>
      <c r="R28" s="64">
        <f t="shared" si="5"/>
        <v>22</v>
      </c>
      <c r="S28" s="64">
        <f t="shared" si="6"/>
        <v>34</v>
      </c>
      <c r="T28" s="67">
        <f t="shared" si="7"/>
        <v>56</v>
      </c>
      <c r="U28" s="68" t="s">
        <v>176</v>
      </c>
      <c r="V28" s="62">
        <v>0</v>
      </c>
      <c r="W28" s="62">
        <v>7</v>
      </c>
      <c r="X28" s="64">
        <f t="shared" si="8"/>
        <v>56</v>
      </c>
      <c r="Y28" s="62">
        <v>0</v>
      </c>
      <c r="Z28" s="62">
        <v>8</v>
      </c>
      <c r="AA28" s="64">
        <f t="shared" si="9"/>
        <v>64</v>
      </c>
      <c r="AB28" s="64">
        <f t="shared" si="10"/>
        <v>120</v>
      </c>
      <c r="AC28" s="62">
        <v>0</v>
      </c>
      <c r="AD28" s="62">
        <v>14</v>
      </c>
      <c r="AE28" s="64">
        <f t="shared" si="71"/>
        <v>112</v>
      </c>
      <c r="AF28" s="62">
        <v>0</v>
      </c>
      <c r="AG28" s="62">
        <v>24</v>
      </c>
      <c r="AH28" s="64">
        <f t="shared" si="12"/>
        <v>192</v>
      </c>
      <c r="AI28" s="64">
        <f t="shared" si="13"/>
        <v>304</v>
      </c>
      <c r="AJ28" s="64">
        <f t="shared" si="14"/>
        <v>168</v>
      </c>
      <c r="AK28" s="64">
        <f t="shared" ref="AK28:AL28" si="90">AA28+AH28</f>
        <v>256</v>
      </c>
      <c r="AL28" s="64">
        <f t="shared" si="90"/>
        <v>424</v>
      </c>
      <c r="AM28" s="62"/>
      <c r="AN28" s="62"/>
      <c r="AO28" s="61"/>
      <c r="AP28" s="62"/>
      <c r="AQ28" s="62"/>
      <c r="AR28" s="61"/>
      <c r="AS28" s="64">
        <f t="shared" si="16"/>
        <v>0</v>
      </c>
      <c r="AT28" s="84"/>
      <c r="AU28" s="84"/>
      <c r="AV28" s="61"/>
      <c r="AW28" s="84"/>
      <c r="AX28" s="84"/>
      <c r="AY28" s="61"/>
      <c r="AZ28" s="64">
        <f t="shared" si="17"/>
        <v>0</v>
      </c>
      <c r="BA28" s="64">
        <f t="shared" si="18"/>
        <v>0</v>
      </c>
      <c r="BB28" s="64">
        <f t="shared" si="19"/>
        <v>0</v>
      </c>
      <c r="BC28" s="64">
        <f t="shared" si="20"/>
        <v>0</v>
      </c>
      <c r="BD28" s="75">
        <f t="shared" ref="BD28:BE28" si="91">AJ28+BA28</f>
        <v>168</v>
      </c>
      <c r="BE28" s="75">
        <f t="shared" si="91"/>
        <v>256</v>
      </c>
      <c r="BF28" s="75">
        <f t="shared" si="22"/>
        <v>424</v>
      </c>
      <c r="BG28" s="70">
        <v>0</v>
      </c>
      <c r="BH28" s="147">
        <v>41</v>
      </c>
      <c r="BI28" s="147">
        <v>29179</v>
      </c>
      <c r="BJ28" s="150">
        <f t="shared" si="23"/>
        <v>29220</v>
      </c>
      <c r="BK28" s="147">
        <v>63</v>
      </c>
      <c r="BL28" s="147">
        <v>2</v>
      </c>
      <c r="BM28" s="147">
        <v>0</v>
      </c>
      <c r="BN28" s="147">
        <v>9013</v>
      </c>
      <c r="BO28" s="150">
        <f t="shared" si="24"/>
        <v>9078</v>
      </c>
    </row>
    <row r="29" spans="1:67" ht="15.75" customHeight="1">
      <c r="A29" s="86">
        <v>45985</v>
      </c>
      <c r="B29" s="61" t="s">
        <v>44</v>
      </c>
      <c r="C29" s="62">
        <v>8</v>
      </c>
      <c r="D29" s="62">
        <v>8</v>
      </c>
      <c r="E29" s="63">
        <f t="shared" si="0"/>
        <v>16</v>
      </c>
      <c r="F29" s="62">
        <v>3</v>
      </c>
      <c r="G29" s="62">
        <v>21</v>
      </c>
      <c r="H29" s="62">
        <v>5</v>
      </c>
      <c r="I29" s="64">
        <f t="shared" si="1"/>
        <v>29</v>
      </c>
      <c r="J29" s="62">
        <v>5</v>
      </c>
      <c r="K29" s="62">
        <v>26</v>
      </c>
      <c r="L29" s="62">
        <v>8</v>
      </c>
      <c r="M29" s="64">
        <f t="shared" si="2"/>
        <v>39</v>
      </c>
      <c r="N29" s="64">
        <f t="shared" ref="N29:P29" si="92">F29+J29</f>
        <v>8</v>
      </c>
      <c r="O29" s="64">
        <f t="shared" si="92"/>
        <v>47</v>
      </c>
      <c r="P29" s="64">
        <f t="shared" si="92"/>
        <v>13</v>
      </c>
      <c r="Q29" s="66">
        <f t="shared" si="4"/>
        <v>68</v>
      </c>
      <c r="R29" s="64">
        <f t="shared" si="5"/>
        <v>37</v>
      </c>
      <c r="S29" s="64">
        <f t="shared" si="6"/>
        <v>47</v>
      </c>
      <c r="T29" s="67">
        <f t="shared" si="7"/>
        <v>84</v>
      </c>
      <c r="U29" s="68" t="s">
        <v>177</v>
      </c>
      <c r="V29" s="62">
        <v>0</v>
      </c>
      <c r="W29" s="62">
        <v>6</v>
      </c>
      <c r="X29" s="64">
        <f t="shared" si="8"/>
        <v>48</v>
      </c>
      <c r="Y29" s="62">
        <v>0</v>
      </c>
      <c r="Z29" s="62">
        <v>7</v>
      </c>
      <c r="AA29" s="64">
        <f t="shared" si="9"/>
        <v>56</v>
      </c>
      <c r="AB29" s="64">
        <f t="shared" si="10"/>
        <v>104</v>
      </c>
      <c r="AC29" s="62">
        <v>0</v>
      </c>
      <c r="AD29" s="62">
        <v>29</v>
      </c>
      <c r="AE29" s="64">
        <f t="shared" si="71"/>
        <v>232</v>
      </c>
      <c r="AF29" s="62">
        <v>0</v>
      </c>
      <c r="AG29" s="62">
        <v>39</v>
      </c>
      <c r="AH29" s="64">
        <f t="shared" si="12"/>
        <v>312</v>
      </c>
      <c r="AI29" s="64">
        <f t="shared" si="13"/>
        <v>544</v>
      </c>
      <c r="AJ29" s="64">
        <f t="shared" si="14"/>
        <v>280</v>
      </c>
      <c r="AK29" s="64">
        <f t="shared" ref="AK29:AL29" si="93">AA29+AH29</f>
        <v>368</v>
      </c>
      <c r="AL29" s="64">
        <f t="shared" si="93"/>
        <v>648</v>
      </c>
      <c r="AM29" s="62"/>
      <c r="AN29" s="62"/>
      <c r="AO29" s="61"/>
      <c r="AP29" s="62"/>
      <c r="AQ29" s="62"/>
      <c r="AR29" s="61"/>
      <c r="AS29" s="64">
        <f t="shared" si="16"/>
        <v>0</v>
      </c>
      <c r="AT29" s="61">
        <v>14</v>
      </c>
      <c r="AU29" s="61">
        <f t="shared" ref="AU29:AU33" si="94">AT29*3</f>
        <v>42</v>
      </c>
      <c r="AV29" s="61"/>
      <c r="AW29" s="61">
        <v>15</v>
      </c>
      <c r="AX29" s="61">
        <f t="shared" ref="AX29:AX33" si="95">AW29*3</f>
        <v>45</v>
      </c>
      <c r="AY29" s="61"/>
      <c r="AZ29" s="64">
        <f t="shared" si="17"/>
        <v>87</v>
      </c>
      <c r="BA29" s="64">
        <f t="shared" si="18"/>
        <v>42</v>
      </c>
      <c r="BB29" s="64">
        <f t="shared" si="19"/>
        <v>45</v>
      </c>
      <c r="BC29" s="64">
        <f t="shared" si="20"/>
        <v>87</v>
      </c>
      <c r="BD29" s="75">
        <f t="shared" ref="BD29:BE29" si="96">AJ29+BA29</f>
        <v>322</v>
      </c>
      <c r="BE29" s="75">
        <f t="shared" si="96"/>
        <v>413</v>
      </c>
      <c r="BF29" s="75">
        <f t="shared" si="22"/>
        <v>735</v>
      </c>
      <c r="BG29" s="70">
        <v>0</v>
      </c>
      <c r="BH29" s="147">
        <v>22</v>
      </c>
      <c r="BI29" s="147">
        <v>27975</v>
      </c>
      <c r="BJ29" s="150">
        <f t="shared" si="23"/>
        <v>27997</v>
      </c>
      <c r="BK29" s="147">
        <v>2054</v>
      </c>
      <c r="BL29" s="147">
        <v>1</v>
      </c>
      <c r="BM29" s="147">
        <v>22</v>
      </c>
      <c r="BN29" s="147">
        <v>9470</v>
      </c>
      <c r="BO29" s="150">
        <f t="shared" si="24"/>
        <v>11547</v>
      </c>
    </row>
    <row r="30" spans="1:67" ht="15.75" customHeight="1">
      <c r="A30" s="86">
        <v>45986</v>
      </c>
      <c r="B30" s="61" t="s">
        <v>38</v>
      </c>
      <c r="C30" s="62">
        <v>8</v>
      </c>
      <c r="D30" s="62">
        <v>8</v>
      </c>
      <c r="E30" s="63">
        <f t="shared" si="0"/>
        <v>16</v>
      </c>
      <c r="F30" s="62">
        <v>3</v>
      </c>
      <c r="G30" s="62">
        <v>21</v>
      </c>
      <c r="H30" s="62">
        <v>8</v>
      </c>
      <c r="I30" s="64">
        <f t="shared" si="1"/>
        <v>32</v>
      </c>
      <c r="J30" s="62">
        <v>5</v>
      </c>
      <c r="K30" s="62">
        <v>40.5</v>
      </c>
      <c r="L30" s="62">
        <v>8</v>
      </c>
      <c r="M30" s="64">
        <f t="shared" si="2"/>
        <v>53.5</v>
      </c>
      <c r="N30" s="64">
        <f t="shared" ref="N30:P30" si="97">F30+J30</f>
        <v>8</v>
      </c>
      <c r="O30" s="64">
        <f t="shared" si="97"/>
        <v>61.5</v>
      </c>
      <c r="P30" s="64">
        <f t="shared" si="97"/>
        <v>16</v>
      </c>
      <c r="Q30" s="66">
        <f t="shared" si="4"/>
        <v>85.5</v>
      </c>
      <c r="R30" s="64">
        <f t="shared" si="5"/>
        <v>40</v>
      </c>
      <c r="S30" s="64">
        <f t="shared" si="6"/>
        <v>61.5</v>
      </c>
      <c r="T30" s="67">
        <f t="shared" si="7"/>
        <v>101.5</v>
      </c>
      <c r="U30" s="68"/>
      <c r="V30" s="62">
        <v>0</v>
      </c>
      <c r="W30" s="62">
        <v>6</v>
      </c>
      <c r="X30" s="64">
        <f t="shared" si="8"/>
        <v>48</v>
      </c>
      <c r="Y30" s="62">
        <v>0</v>
      </c>
      <c r="Z30" s="62">
        <v>7</v>
      </c>
      <c r="AA30" s="64">
        <f t="shared" si="9"/>
        <v>56</v>
      </c>
      <c r="AB30" s="64">
        <f t="shared" si="10"/>
        <v>104</v>
      </c>
      <c r="AC30" s="62">
        <v>0</v>
      </c>
      <c r="AD30" s="62">
        <v>32</v>
      </c>
      <c r="AE30" s="64">
        <f t="shared" si="71"/>
        <v>256</v>
      </c>
      <c r="AF30" s="62">
        <v>1</v>
      </c>
      <c r="AG30" s="62">
        <v>53.5</v>
      </c>
      <c r="AH30" s="64">
        <f t="shared" si="12"/>
        <v>432</v>
      </c>
      <c r="AI30" s="64">
        <f t="shared" si="13"/>
        <v>688</v>
      </c>
      <c r="AJ30" s="64">
        <f t="shared" si="14"/>
        <v>304</v>
      </c>
      <c r="AK30" s="64">
        <f t="shared" ref="AK30:AL30" si="98">AA30+AH30</f>
        <v>488</v>
      </c>
      <c r="AL30" s="64">
        <f t="shared" si="98"/>
        <v>792</v>
      </c>
      <c r="AM30" s="62"/>
      <c r="AN30" s="62"/>
      <c r="AO30" s="61"/>
      <c r="AP30" s="62"/>
      <c r="AQ30" s="62"/>
      <c r="AR30" s="61"/>
      <c r="AS30" s="64">
        <f t="shared" si="16"/>
        <v>0</v>
      </c>
      <c r="AT30" s="61">
        <v>18</v>
      </c>
      <c r="AU30" s="61">
        <f t="shared" si="94"/>
        <v>54</v>
      </c>
      <c r="AV30" s="61"/>
      <c r="AW30" s="61">
        <v>18</v>
      </c>
      <c r="AX30" s="61">
        <f t="shared" si="95"/>
        <v>54</v>
      </c>
      <c r="AY30" s="61"/>
      <c r="AZ30" s="64">
        <f t="shared" si="17"/>
        <v>108</v>
      </c>
      <c r="BA30" s="64">
        <f t="shared" si="18"/>
        <v>54</v>
      </c>
      <c r="BB30" s="64">
        <f t="shared" si="19"/>
        <v>54</v>
      </c>
      <c r="BC30" s="64">
        <f t="shared" si="20"/>
        <v>108</v>
      </c>
      <c r="BD30" s="75">
        <f t="shared" ref="BD30:BE30" si="99">AJ30+BA30</f>
        <v>358</v>
      </c>
      <c r="BE30" s="75">
        <f t="shared" si="99"/>
        <v>542</v>
      </c>
      <c r="BF30" s="75">
        <f t="shared" si="22"/>
        <v>900</v>
      </c>
      <c r="BG30" s="70">
        <v>0</v>
      </c>
      <c r="BH30" s="147">
        <v>52</v>
      </c>
      <c r="BI30" s="147">
        <v>38978</v>
      </c>
      <c r="BJ30" s="150">
        <f t="shared" si="23"/>
        <v>39030</v>
      </c>
      <c r="BK30" s="147">
        <v>807</v>
      </c>
      <c r="BL30" s="147">
        <v>29</v>
      </c>
      <c r="BM30" s="147">
        <v>3</v>
      </c>
      <c r="BN30" s="147">
        <v>10620</v>
      </c>
      <c r="BO30" s="150">
        <f t="shared" si="24"/>
        <v>11459</v>
      </c>
    </row>
    <row r="31" spans="1:67" ht="15.75" customHeight="1">
      <c r="A31" s="86">
        <v>45987</v>
      </c>
      <c r="B31" s="61" t="s">
        <v>45</v>
      </c>
      <c r="C31" s="62">
        <v>8</v>
      </c>
      <c r="D31" s="62">
        <v>7</v>
      </c>
      <c r="E31" s="63">
        <f t="shared" si="0"/>
        <v>15</v>
      </c>
      <c r="F31" s="62">
        <v>3</v>
      </c>
      <c r="G31" s="62">
        <v>22</v>
      </c>
      <c r="H31" s="62">
        <v>0</v>
      </c>
      <c r="I31" s="64">
        <f t="shared" si="1"/>
        <v>25</v>
      </c>
      <c r="J31" s="62">
        <v>5</v>
      </c>
      <c r="K31" s="62">
        <f>61-22</f>
        <v>39</v>
      </c>
      <c r="L31" s="62">
        <v>0</v>
      </c>
      <c r="M31" s="64">
        <f t="shared" si="2"/>
        <v>44</v>
      </c>
      <c r="N31" s="64">
        <f t="shared" ref="N31:P31" si="100">F31+J31</f>
        <v>8</v>
      </c>
      <c r="O31" s="64">
        <f t="shared" si="100"/>
        <v>61</v>
      </c>
      <c r="P31" s="64">
        <f t="shared" si="100"/>
        <v>0</v>
      </c>
      <c r="Q31" s="66">
        <f t="shared" si="4"/>
        <v>69</v>
      </c>
      <c r="R31" s="64">
        <f t="shared" si="5"/>
        <v>33</v>
      </c>
      <c r="S31" s="64">
        <f t="shared" si="6"/>
        <v>51</v>
      </c>
      <c r="T31" s="67">
        <f t="shared" si="7"/>
        <v>84</v>
      </c>
      <c r="U31" s="68"/>
      <c r="V31" s="62">
        <v>0</v>
      </c>
      <c r="W31" s="62">
        <v>6</v>
      </c>
      <c r="X31" s="64">
        <f t="shared" si="8"/>
        <v>48</v>
      </c>
      <c r="Y31" s="62">
        <v>0</v>
      </c>
      <c r="Z31" s="62">
        <v>7</v>
      </c>
      <c r="AA31" s="64">
        <f t="shared" si="9"/>
        <v>56</v>
      </c>
      <c r="AB31" s="64">
        <f t="shared" si="10"/>
        <v>104</v>
      </c>
      <c r="AC31" s="62">
        <v>0</v>
      </c>
      <c r="AD31" s="62">
        <v>25</v>
      </c>
      <c r="AE31" s="64">
        <f t="shared" si="71"/>
        <v>200</v>
      </c>
      <c r="AF31" s="62">
        <v>0</v>
      </c>
      <c r="AG31" s="62">
        <v>44</v>
      </c>
      <c r="AH31" s="64">
        <f t="shared" si="12"/>
        <v>352</v>
      </c>
      <c r="AI31" s="64">
        <f t="shared" si="13"/>
        <v>552</v>
      </c>
      <c r="AJ31" s="64">
        <f t="shared" si="14"/>
        <v>248</v>
      </c>
      <c r="AK31" s="64">
        <f t="shared" ref="AK31:AL31" si="101">AA31+AH31</f>
        <v>408</v>
      </c>
      <c r="AL31" s="64">
        <f t="shared" si="101"/>
        <v>656</v>
      </c>
      <c r="AM31" s="62"/>
      <c r="AN31" s="62"/>
      <c r="AO31" s="61"/>
      <c r="AP31" s="62"/>
      <c r="AQ31" s="62"/>
      <c r="AR31" s="61"/>
      <c r="AS31" s="64">
        <f t="shared" si="16"/>
        <v>0</v>
      </c>
      <c r="AT31" s="61">
        <v>20</v>
      </c>
      <c r="AU31" s="61">
        <f t="shared" si="94"/>
        <v>60</v>
      </c>
      <c r="AV31" s="61"/>
      <c r="AW31" s="61">
        <v>19</v>
      </c>
      <c r="AX31" s="61">
        <f t="shared" si="95"/>
        <v>57</v>
      </c>
      <c r="AY31" s="61"/>
      <c r="AZ31" s="64">
        <f t="shared" si="17"/>
        <v>117</v>
      </c>
      <c r="BA31" s="64">
        <f t="shared" si="18"/>
        <v>60</v>
      </c>
      <c r="BB31" s="64">
        <f t="shared" si="19"/>
        <v>57</v>
      </c>
      <c r="BC31" s="64">
        <f t="shared" si="20"/>
        <v>117</v>
      </c>
      <c r="BD31" s="75">
        <f t="shared" ref="BD31:BE31" si="102">AJ31+BA31</f>
        <v>308</v>
      </c>
      <c r="BE31" s="75">
        <f t="shared" si="102"/>
        <v>465</v>
      </c>
      <c r="BF31" s="75">
        <f t="shared" si="22"/>
        <v>773</v>
      </c>
      <c r="BG31" s="70">
        <v>0</v>
      </c>
      <c r="BH31" s="147">
        <v>114</v>
      </c>
      <c r="BI31" s="147">
        <v>34545</v>
      </c>
      <c r="BJ31" s="150">
        <f t="shared" si="23"/>
        <v>34659</v>
      </c>
      <c r="BK31" s="147">
        <v>814</v>
      </c>
      <c r="BL31" s="147">
        <v>21</v>
      </c>
      <c r="BM31" s="147">
        <v>8</v>
      </c>
      <c r="BN31" s="147">
        <v>9554</v>
      </c>
      <c r="BO31" s="150">
        <f t="shared" si="24"/>
        <v>10397</v>
      </c>
    </row>
    <row r="32" spans="1:67" ht="15.75" customHeight="1">
      <c r="A32" s="86">
        <v>45988</v>
      </c>
      <c r="B32" s="61" t="s">
        <v>32</v>
      </c>
      <c r="C32" s="62">
        <v>8</v>
      </c>
      <c r="D32" s="62">
        <v>8</v>
      </c>
      <c r="E32" s="63">
        <f t="shared" si="0"/>
        <v>16</v>
      </c>
      <c r="F32" s="62">
        <v>3</v>
      </c>
      <c r="G32" s="62">
        <v>30</v>
      </c>
      <c r="H32" s="62">
        <v>0</v>
      </c>
      <c r="I32" s="64">
        <f t="shared" si="1"/>
        <v>33</v>
      </c>
      <c r="J32" s="62">
        <v>5</v>
      </c>
      <c r="K32" s="62">
        <f>45-30</f>
        <v>15</v>
      </c>
      <c r="L32" s="62">
        <v>0</v>
      </c>
      <c r="M32" s="64">
        <f t="shared" si="2"/>
        <v>20</v>
      </c>
      <c r="N32" s="64">
        <f t="shared" ref="N32:P32" si="103">F32+J32</f>
        <v>8</v>
      </c>
      <c r="O32" s="64">
        <f t="shared" si="103"/>
        <v>45</v>
      </c>
      <c r="P32" s="64">
        <f t="shared" si="103"/>
        <v>0</v>
      </c>
      <c r="Q32" s="66">
        <f t="shared" si="4"/>
        <v>53</v>
      </c>
      <c r="R32" s="64">
        <f t="shared" si="5"/>
        <v>41</v>
      </c>
      <c r="S32" s="64">
        <f t="shared" si="6"/>
        <v>28</v>
      </c>
      <c r="T32" s="67">
        <f t="shared" si="7"/>
        <v>69</v>
      </c>
      <c r="U32" s="68"/>
      <c r="V32" s="62">
        <v>0</v>
      </c>
      <c r="W32" s="62">
        <v>7</v>
      </c>
      <c r="X32" s="64">
        <f t="shared" si="8"/>
        <v>56</v>
      </c>
      <c r="Y32" s="62">
        <v>0</v>
      </c>
      <c r="Z32" s="62">
        <v>8</v>
      </c>
      <c r="AA32" s="64">
        <f t="shared" si="9"/>
        <v>64</v>
      </c>
      <c r="AB32" s="64">
        <f t="shared" si="10"/>
        <v>120</v>
      </c>
      <c r="AC32" s="62">
        <v>0</v>
      </c>
      <c r="AD32" s="62">
        <v>33</v>
      </c>
      <c r="AE32" s="64">
        <f t="shared" si="71"/>
        <v>264</v>
      </c>
      <c r="AF32" s="62">
        <v>0</v>
      </c>
      <c r="AG32" s="62">
        <v>20</v>
      </c>
      <c r="AH32" s="64">
        <f t="shared" si="12"/>
        <v>160</v>
      </c>
      <c r="AI32" s="64">
        <f t="shared" si="13"/>
        <v>424</v>
      </c>
      <c r="AJ32" s="64">
        <f t="shared" si="14"/>
        <v>320</v>
      </c>
      <c r="AK32" s="64">
        <f t="shared" ref="AK32:AL32" si="104">AA32+AH32</f>
        <v>224</v>
      </c>
      <c r="AL32" s="64">
        <f t="shared" si="104"/>
        <v>544</v>
      </c>
      <c r="AM32" s="62"/>
      <c r="AN32" s="62"/>
      <c r="AO32" s="61"/>
      <c r="AP32" s="62"/>
      <c r="AQ32" s="62"/>
      <c r="AR32" s="61"/>
      <c r="AS32" s="64">
        <f t="shared" si="16"/>
        <v>0</v>
      </c>
      <c r="AT32" s="61">
        <v>20</v>
      </c>
      <c r="AU32" s="61">
        <f t="shared" si="94"/>
        <v>60</v>
      </c>
      <c r="AV32" s="61"/>
      <c r="AW32" s="61">
        <v>19</v>
      </c>
      <c r="AX32" s="61">
        <f t="shared" si="95"/>
        <v>57</v>
      </c>
      <c r="AY32" s="61"/>
      <c r="AZ32" s="64">
        <f t="shared" si="17"/>
        <v>117</v>
      </c>
      <c r="BA32" s="64">
        <f t="shared" si="18"/>
        <v>60</v>
      </c>
      <c r="BB32" s="64">
        <f t="shared" si="19"/>
        <v>57</v>
      </c>
      <c r="BC32" s="64">
        <f t="shared" si="20"/>
        <v>117</v>
      </c>
      <c r="BD32" s="75">
        <f t="shared" ref="BD32:BE32" si="105">AJ32+BA32</f>
        <v>380</v>
      </c>
      <c r="BE32" s="75">
        <f t="shared" si="105"/>
        <v>281</v>
      </c>
      <c r="BF32" s="75">
        <f t="shared" si="22"/>
        <v>661</v>
      </c>
      <c r="BG32" s="70">
        <v>0</v>
      </c>
      <c r="BH32" s="147">
        <v>58</v>
      </c>
      <c r="BI32" s="147">
        <v>40695</v>
      </c>
      <c r="BJ32" s="150">
        <f t="shared" si="23"/>
        <v>40753</v>
      </c>
      <c r="BK32" s="147">
        <v>922</v>
      </c>
      <c r="BL32" s="147">
        <v>16</v>
      </c>
      <c r="BM32" s="147">
        <v>6</v>
      </c>
      <c r="BN32" s="147">
        <v>5921</v>
      </c>
      <c r="BO32" s="150">
        <f t="shared" si="24"/>
        <v>6865</v>
      </c>
    </row>
    <row r="33" spans="1:67" ht="15.75" customHeight="1">
      <c r="A33" s="86">
        <v>45989</v>
      </c>
      <c r="B33" s="61" t="s">
        <v>42</v>
      </c>
      <c r="C33" s="62">
        <v>8</v>
      </c>
      <c r="D33" s="62">
        <v>8</v>
      </c>
      <c r="E33" s="63">
        <f t="shared" si="0"/>
        <v>16</v>
      </c>
      <c r="F33" s="62">
        <v>3</v>
      </c>
      <c r="G33" s="62">
        <v>14</v>
      </c>
      <c r="H33" s="62">
        <v>0</v>
      </c>
      <c r="I33" s="64">
        <f t="shared" si="1"/>
        <v>17</v>
      </c>
      <c r="J33" s="62">
        <v>5</v>
      </c>
      <c r="K33" s="62">
        <f>45-14</f>
        <v>31</v>
      </c>
      <c r="L33" s="62">
        <v>0</v>
      </c>
      <c r="M33" s="64">
        <f t="shared" si="2"/>
        <v>36</v>
      </c>
      <c r="N33" s="64">
        <f t="shared" ref="N33:P33" si="106">F33+J33</f>
        <v>8</v>
      </c>
      <c r="O33" s="64">
        <f t="shared" si="106"/>
        <v>45</v>
      </c>
      <c r="P33" s="64">
        <f t="shared" si="106"/>
        <v>0</v>
      </c>
      <c r="Q33" s="66">
        <f t="shared" si="4"/>
        <v>53</v>
      </c>
      <c r="R33" s="64">
        <f t="shared" si="5"/>
        <v>25</v>
      </c>
      <c r="S33" s="64">
        <f t="shared" si="6"/>
        <v>44</v>
      </c>
      <c r="T33" s="67">
        <f t="shared" si="7"/>
        <v>69</v>
      </c>
      <c r="U33" s="68"/>
      <c r="V33" s="62">
        <v>0</v>
      </c>
      <c r="W33" s="62">
        <v>7</v>
      </c>
      <c r="X33" s="64">
        <f t="shared" si="8"/>
        <v>56</v>
      </c>
      <c r="Y33" s="62">
        <v>0</v>
      </c>
      <c r="Z33" s="62">
        <v>8</v>
      </c>
      <c r="AA33" s="64">
        <f t="shared" si="9"/>
        <v>64</v>
      </c>
      <c r="AB33" s="64">
        <f t="shared" si="10"/>
        <v>120</v>
      </c>
      <c r="AC33" s="62">
        <v>0</v>
      </c>
      <c r="AD33" s="62">
        <v>17</v>
      </c>
      <c r="AE33" s="64">
        <f t="shared" si="71"/>
        <v>136</v>
      </c>
      <c r="AF33" s="62">
        <v>0</v>
      </c>
      <c r="AG33" s="62">
        <v>36</v>
      </c>
      <c r="AH33" s="64">
        <f t="shared" si="12"/>
        <v>288</v>
      </c>
      <c r="AI33" s="64">
        <f t="shared" si="13"/>
        <v>424</v>
      </c>
      <c r="AJ33" s="64">
        <f t="shared" si="14"/>
        <v>192</v>
      </c>
      <c r="AK33" s="64">
        <f t="shared" ref="AK33:AL33" si="107">AA33+AH33</f>
        <v>352</v>
      </c>
      <c r="AL33" s="64">
        <f t="shared" si="107"/>
        <v>544</v>
      </c>
      <c r="AM33" s="62"/>
      <c r="AN33" s="62"/>
      <c r="AO33" s="61"/>
      <c r="AP33" s="62"/>
      <c r="AQ33" s="62"/>
      <c r="AR33" s="61"/>
      <c r="AS33" s="64">
        <f t="shared" si="16"/>
        <v>0</v>
      </c>
      <c r="AT33" s="61">
        <v>16</v>
      </c>
      <c r="AU33" s="61">
        <f t="shared" si="94"/>
        <v>48</v>
      </c>
      <c r="AV33" s="61"/>
      <c r="AW33" s="61">
        <v>15</v>
      </c>
      <c r="AX33" s="61">
        <f t="shared" si="95"/>
        <v>45</v>
      </c>
      <c r="AY33" s="61"/>
      <c r="AZ33" s="64">
        <f t="shared" si="17"/>
        <v>93</v>
      </c>
      <c r="BA33" s="64">
        <f t="shared" si="18"/>
        <v>48</v>
      </c>
      <c r="BB33" s="64">
        <f t="shared" si="19"/>
        <v>45</v>
      </c>
      <c r="BC33" s="64">
        <f t="shared" si="20"/>
        <v>93</v>
      </c>
      <c r="BD33" s="75">
        <f t="shared" ref="BD33:BE33" si="108">AJ33+BA33</f>
        <v>240</v>
      </c>
      <c r="BE33" s="75">
        <f t="shared" si="108"/>
        <v>397</v>
      </c>
      <c r="BF33" s="75">
        <f t="shared" si="22"/>
        <v>637</v>
      </c>
      <c r="BG33" s="70">
        <v>0</v>
      </c>
      <c r="BH33" s="147">
        <v>45</v>
      </c>
      <c r="BI33" s="147">
        <v>29555</v>
      </c>
      <c r="BJ33" s="150">
        <f t="shared" si="23"/>
        <v>29600</v>
      </c>
      <c r="BK33" s="147">
        <v>793</v>
      </c>
      <c r="BL33" s="147">
        <v>1</v>
      </c>
      <c r="BM33" s="147">
        <v>9</v>
      </c>
      <c r="BN33" s="147">
        <v>7526</v>
      </c>
      <c r="BO33" s="150">
        <f t="shared" si="24"/>
        <v>8329</v>
      </c>
    </row>
    <row r="34" spans="1:67" ht="15.75" customHeight="1">
      <c r="A34" s="83">
        <v>45990</v>
      </c>
      <c r="B34" s="74" t="s">
        <v>39</v>
      </c>
      <c r="C34" s="62">
        <v>8</v>
      </c>
      <c r="D34" s="62">
        <v>7.5</v>
      </c>
      <c r="E34" s="63">
        <f t="shared" si="0"/>
        <v>15.5</v>
      </c>
      <c r="F34" s="62">
        <v>3</v>
      </c>
      <c r="G34" s="62">
        <v>27</v>
      </c>
      <c r="H34" s="62">
        <v>0</v>
      </c>
      <c r="I34" s="64">
        <f t="shared" si="1"/>
        <v>30</v>
      </c>
      <c r="J34" s="62">
        <v>3</v>
      </c>
      <c r="K34" s="62">
        <v>15</v>
      </c>
      <c r="L34" s="62">
        <v>0</v>
      </c>
      <c r="M34" s="64">
        <f t="shared" si="2"/>
        <v>18</v>
      </c>
      <c r="N34" s="64">
        <f t="shared" ref="N34:P34" si="109">F34+J34</f>
        <v>6</v>
      </c>
      <c r="O34" s="64">
        <f t="shared" si="109"/>
        <v>42</v>
      </c>
      <c r="P34" s="64">
        <f t="shared" si="109"/>
        <v>0</v>
      </c>
      <c r="Q34" s="66">
        <f t="shared" si="4"/>
        <v>48</v>
      </c>
      <c r="R34" s="64">
        <f t="shared" si="5"/>
        <v>38</v>
      </c>
      <c r="S34" s="64">
        <f t="shared" si="6"/>
        <v>25.5</v>
      </c>
      <c r="T34" s="67">
        <f t="shared" si="7"/>
        <v>63.5</v>
      </c>
      <c r="U34" s="68"/>
      <c r="V34" s="62">
        <v>0</v>
      </c>
      <c r="W34" s="62">
        <v>7</v>
      </c>
      <c r="X34" s="64">
        <f t="shared" si="8"/>
        <v>56</v>
      </c>
      <c r="Y34" s="62">
        <v>1</v>
      </c>
      <c r="Z34" s="62">
        <v>7</v>
      </c>
      <c r="AA34" s="64">
        <f t="shared" si="9"/>
        <v>60</v>
      </c>
      <c r="AB34" s="64">
        <f t="shared" si="10"/>
        <v>116</v>
      </c>
      <c r="AC34" s="62">
        <v>0</v>
      </c>
      <c r="AD34" s="62">
        <v>30</v>
      </c>
      <c r="AE34" s="64">
        <f t="shared" si="71"/>
        <v>240</v>
      </c>
      <c r="AF34" s="62">
        <v>0</v>
      </c>
      <c r="AG34" s="62">
        <v>17</v>
      </c>
      <c r="AH34" s="64">
        <f t="shared" si="12"/>
        <v>136</v>
      </c>
      <c r="AI34" s="64">
        <f t="shared" si="13"/>
        <v>376</v>
      </c>
      <c r="AJ34" s="64">
        <f t="shared" si="14"/>
        <v>296</v>
      </c>
      <c r="AK34" s="64">
        <f t="shared" ref="AK34:AL34" si="110">AA34+AH34</f>
        <v>196</v>
      </c>
      <c r="AL34" s="64">
        <f t="shared" si="110"/>
        <v>492</v>
      </c>
      <c r="AM34" s="62"/>
      <c r="AN34" s="62"/>
      <c r="AO34" s="61"/>
      <c r="AP34" s="62"/>
      <c r="AQ34" s="62"/>
      <c r="AR34" s="61"/>
      <c r="AS34" s="64">
        <f t="shared" si="16"/>
        <v>0</v>
      </c>
      <c r="AT34" s="61"/>
      <c r="AU34" s="61"/>
      <c r="AV34" s="61"/>
      <c r="AW34" s="61"/>
      <c r="AX34" s="61"/>
      <c r="AY34" s="61"/>
      <c r="AZ34" s="64">
        <f t="shared" si="17"/>
        <v>0</v>
      </c>
      <c r="BA34" s="64">
        <f t="shared" si="18"/>
        <v>0</v>
      </c>
      <c r="BB34" s="64">
        <f t="shared" si="19"/>
        <v>0</v>
      </c>
      <c r="BC34" s="64">
        <f t="shared" si="20"/>
        <v>0</v>
      </c>
      <c r="BD34" s="75">
        <f t="shared" ref="BD34:BE34" si="111">AJ34+BA34</f>
        <v>296</v>
      </c>
      <c r="BE34" s="75">
        <f t="shared" si="111"/>
        <v>196</v>
      </c>
      <c r="BF34" s="75">
        <f t="shared" si="22"/>
        <v>492</v>
      </c>
      <c r="BG34" s="70">
        <v>0</v>
      </c>
      <c r="BH34" s="70">
        <v>95</v>
      </c>
      <c r="BI34" s="70">
        <v>28225</v>
      </c>
      <c r="BJ34" s="71">
        <f t="shared" si="23"/>
        <v>28320</v>
      </c>
      <c r="BK34" s="70">
        <v>0</v>
      </c>
      <c r="BL34" s="70">
        <v>2</v>
      </c>
      <c r="BM34" s="70">
        <v>0</v>
      </c>
      <c r="BN34" s="70">
        <v>5163</v>
      </c>
      <c r="BO34" s="71">
        <f t="shared" si="24"/>
        <v>5165</v>
      </c>
    </row>
    <row r="35" spans="1:67" ht="15.75" customHeight="1">
      <c r="A35" s="83">
        <v>45991</v>
      </c>
      <c r="B35" s="74" t="s">
        <v>37</v>
      </c>
      <c r="C35" s="62">
        <v>8</v>
      </c>
      <c r="D35" s="62">
        <v>8</v>
      </c>
      <c r="E35" s="63">
        <f t="shared" si="0"/>
        <v>16</v>
      </c>
      <c r="F35" s="62">
        <v>3</v>
      </c>
      <c r="G35" s="62">
        <f>22-10</f>
        <v>12</v>
      </c>
      <c r="H35" s="62">
        <v>0</v>
      </c>
      <c r="I35" s="64">
        <f t="shared" si="1"/>
        <v>15</v>
      </c>
      <c r="J35" s="62">
        <v>2</v>
      </c>
      <c r="K35" s="62">
        <v>9.5</v>
      </c>
      <c r="L35" s="62">
        <v>0</v>
      </c>
      <c r="M35" s="64">
        <f t="shared" si="2"/>
        <v>11.5</v>
      </c>
      <c r="N35" s="64">
        <f t="shared" ref="N35:P35" si="112">F35+J35</f>
        <v>5</v>
      </c>
      <c r="O35" s="64">
        <f t="shared" si="112"/>
        <v>21.5</v>
      </c>
      <c r="P35" s="64">
        <f t="shared" si="112"/>
        <v>0</v>
      </c>
      <c r="Q35" s="66">
        <f t="shared" si="4"/>
        <v>26.5</v>
      </c>
      <c r="R35" s="64">
        <f t="shared" si="5"/>
        <v>23</v>
      </c>
      <c r="S35" s="64">
        <f t="shared" si="6"/>
        <v>19.5</v>
      </c>
      <c r="T35" s="67">
        <f t="shared" si="7"/>
        <v>42.5</v>
      </c>
      <c r="U35" s="68"/>
      <c r="V35" s="62">
        <v>0</v>
      </c>
      <c r="W35" s="62">
        <v>7</v>
      </c>
      <c r="X35" s="64">
        <f t="shared" si="8"/>
        <v>56</v>
      </c>
      <c r="Y35" s="62">
        <v>0</v>
      </c>
      <c r="Z35" s="62">
        <v>8</v>
      </c>
      <c r="AA35" s="64">
        <f t="shared" si="9"/>
        <v>64</v>
      </c>
      <c r="AB35" s="64">
        <f t="shared" si="10"/>
        <v>120</v>
      </c>
      <c r="AC35" s="62">
        <v>0</v>
      </c>
      <c r="AD35" s="62">
        <v>15</v>
      </c>
      <c r="AE35" s="64">
        <f t="shared" si="71"/>
        <v>120</v>
      </c>
      <c r="AF35" s="62">
        <v>1</v>
      </c>
      <c r="AG35" s="62">
        <v>11</v>
      </c>
      <c r="AH35" s="64">
        <f t="shared" si="12"/>
        <v>92</v>
      </c>
      <c r="AI35" s="64">
        <f t="shared" si="13"/>
        <v>212</v>
      </c>
      <c r="AJ35" s="64">
        <f t="shared" si="14"/>
        <v>176</v>
      </c>
      <c r="AK35" s="64">
        <f t="shared" ref="AK35:AL35" si="113">AA35+AH35</f>
        <v>156</v>
      </c>
      <c r="AL35" s="64">
        <f t="shared" si="113"/>
        <v>332</v>
      </c>
      <c r="AM35" s="62"/>
      <c r="AN35" s="62"/>
      <c r="AO35" s="61"/>
      <c r="AP35" s="62"/>
      <c r="AQ35" s="62"/>
      <c r="AR35" s="61"/>
      <c r="AS35" s="64">
        <f t="shared" si="16"/>
        <v>0</v>
      </c>
      <c r="AT35" s="61"/>
      <c r="AU35" s="61"/>
      <c r="AV35" s="61"/>
      <c r="AW35" s="61"/>
      <c r="AX35" s="61"/>
      <c r="AY35" s="61"/>
      <c r="AZ35" s="64">
        <f t="shared" si="17"/>
        <v>0</v>
      </c>
      <c r="BA35" s="64">
        <f t="shared" si="18"/>
        <v>0</v>
      </c>
      <c r="BB35" s="64">
        <f t="shared" si="19"/>
        <v>0</v>
      </c>
      <c r="BC35" s="64">
        <f t="shared" si="20"/>
        <v>0</v>
      </c>
      <c r="BD35" s="75">
        <f t="shared" ref="BD35:BE35" si="114">AJ35+BA35</f>
        <v>176</v>
      </c>
      <c r="BE35" s="75">
        <f t="shared" si="114"/>
        <v>156</v>
      </c>
      <c r="BF35" s="75">
        <f t="shared" si="22"/>
        <v>332</v>
      </c>
      <c r="BG35" s="70">
        <v>0</v>
      </c>
      <c r="BH35" s="70">
        <v>35</v>
      </c>
      <c r="BI35" s="70">
        <v>17019</v>
      </c>
      <c r="BJ35" s="71">
        <f t="shared" si="23"/>
        <v>17054</v>
      </c>
      <c r="BK35" s="70">
        <v>0</v>
      </c>
      <c r="BL35" s="70">
        <v>0</v>
      </c>
      <c r="BM35" s="70">
        <v>0</v>
      </c>
      <c r="BN35" s="70">
        <v>7573</v>
      </c>
      <c r="BO35" s="71">
        <f t="shared" si="24"/>
        <v>7573</v>
      </c>
    </row>
    <row r="36" spans="1:67" ht="15.75" customHeight="1">
      <c r="BF36" s="87" t="s">
        <v>181</v>
      </c>
      <c r="BG36" s="88">
        <f t="shared" ref="BG36:BO36" si="115">SUM(BG6:BG35)</f>
        <v>0</v>
      </c>
      <c r="BH36" s="88">
        <f t="shared" si="115"/>
        <v>2955</v>
      </c>
      <c r="BI36" s="88">
        <f t="shared" si="115"/>
        <v>352151</v>
      </c>
      <c r="BJ36" s="144">
        <f t="shared" si="115"/>
        <v>355106</v>
      </c>
      <c r="BK36" s="88">
        <f t="shared" si="115"/>
        <v>22716</v>
      </c>
      <c r="BL36" s="88">
        <f t="shared" si="115"/>
        <v>1553</v>
      </c>
      <c r="BM36" s="88">
        <f t="shared" si="115"/>
        <v>282</v>
      </c>
      <c r="BN36" s="88">
        <f t="shared" si="115"/>
        <v>97756</v>
      </c>
      <c r="BO36" s="144">
        <f t="shared" si="115"/>
        <v>122307</v>
      </c>
    </row>
    <row r="38" spans="1:67" ht="15">
      <c r="A38" s="89" t="s">
        <v>183</v>
      </c>
      <c r="B38" s="89" t="s">
        <v>185</v>
      </c>
    </row>
    <row r="39" spans="1:67" ht="12.75">
      <c r="A39" s="27" t="s">
        <v>186</v>
      </c>
      <c r="B39" s="90" t="s">
        <v>187</v>
      </c>
    </row>
    <row r="40" spans="1:67" ht="12.75">
      <c r="A40" s="91" t="s">
        <v>191</v>
      </c>
      <c r="B40" s="9" t="s">
        <v>192</v>
      </c>
    </row>
    <row r="41" spans="1:67" ht="12.75">
      <c r="A41" s="91" t="s">
        <v>193</v>
      </c>
      <c r="B41" s="9" t="s">
        <v>194</v>
      </c>
    </row>
    <row r="42" spans="1:67" ht="12.75">
      <c r="A42" s="91" t="s">
        <v>195</v>
      </c>
      <c r="B42" s="9" t="s">
        <v>196</v>
      </c>
    </row>
    <row r="43" spans="1:67" ht="12.75">
      <c r="A43" s="91" t="s">
        <v>197</v>
      </c>
    </row>
    <row r="44" spans="1:67" ht="12.75">
      <c r="A44" s="91" t="s">
        <v>199</v>
      </c>
    </row>
    <row r="45" spans="1:67" ht="12.75">
      <c r="A45" s="91" t="s">
        <v>202</v>
      </c>
    </row>
    <row r="46" spans="1:67" ht="12.75">
      <c r="A46" s="91" t="s">
        <v>205</v>
      </c>
    </row>
    <row r="47" spans="1:67" ht="12.75">
      <c r="A47" s="93"/>
    </row>
    <row r="48" spans="1:67" ht="15">
      <c r="A48" s="89" t="s">
        <v>206</v>
      </c>
      <c r="B48" s="89" t="s">
        <v>207</v>
      </c>
    </row>
    <row r="49" spans="1:2" ht="12.75">
      <c r="A49" s="27" t="s">
        <v>15</v>
      </c>
      <c r="B49" s="90" t="s">
        <v>187</v>
      </c>
    </row>
    <row r="50" spans="1:2" ht="12.75">
      <c r="A50" s="91" t="s">
        <v>208</v>
      </c>
      <c r="B50" s="9" t="s">
        <v>209</v>
      </c>
    </row>
    <row r="51" spans="1:2" ht="12.75">
      <c r="A51" s="91" t="s">
        <v>210</v>
      </c>
      <c r="B51" s="9" t="s">
        <v>211</v>
      </c>
    </row>
    <row r="52" spans="1:2" ht="12.75">
      <c r="A52" s="91" t="s">
        <v>212</v>
      </c>
      <c r="B52" s="9" t="s">
        <v>213</v>
      </c>
    </row>
    <row r="53" spans="1:2" ht="12.75">
      <c r="A53" s="91" t="s">
        <v>214</v>
      </c>
      <c r="B53" s="9" t="s">
        <v>215</v>
      </c>
    </row>
    <row r="54" spans="1:2" ht="12.75">
      <c r="A54" s="91" t="s">
        <v>216</v>
      </c>
      <c r="B54" s="9" t="s">
        <v>217</v>
      </c>
    </row>
    <row r="55" spans="1:2" ht="12.75">
      <c r="A55" s="91" t="s">
        <v>218</v>
      </c>
    </row>
    <row r="56" spans="1:2" ht="12.75">
      <c r="A56" s="91" t="s">
        <v>219</v>
      </c>
    </row>
    <row r="57" spans="1:2" ht="12.75">
      <c r="A57" s="91" t="s">
        <v>220</v>
      </c>
    </row>
    <row r="58" spans="1:2" ht="12.75">
      <c r="A58" s="93"/>
    </row>
  </sheetData>
  <mergeCells count="35">
    <mergeCell ref="V4:X4"/>
    <mergeCell ref="Y4:AA4"/>
    <mergeCell ref="AM3:AS3"/>
    <mergeCell ref="BD1:BF4"/>
    <mergeCell ref="BA3:BC4"/>
    <mergeCell ref="BG3:BJ4"/>
    <mergeCell ref="BK3:BO4"/>
    <mergeCell ref="AZ4:AZ5"/>
    <mergeCell ref="A1:B2"/>
    <mergeCell ref="C1:U2"/>
    <mergeCell ref="AM1:BC2"/>
    <mergeCell ref="BG1:BO2"/>
    <mergeCell ref="A3:A5"/>
    <mergeCell ref="U3:U5"/>
    <mergeCell ref="AT3:AZ3"/>
    <mergeCell ref="B3:B5"/>
    <mergeCell ref="C3:E4"/>
    <mergeCell ref="F3:Q3"/>
    <mergeCell ref="R3:T4"/>
    <mergeCell ref="F4:I4"/>
    <mergeCell ref="J4:M4"/>
    <mergeCell ref="N4:Q4"/>
    <mergeCell ref="AJ3:AL4"/>
    <mergeCell ref="AM4:AO4"/>
    <mergeCell ref="AP4:AR4"/>
    <mergeCell ref="AS4:AS5"/>
    <mergeCell ref="AT4:AV4"/>
    <mergeCell ref="AW4:AY4"/>
    <mergeCell ref="V1:AL2"/>
    <mergeCell ref="V3:AB3"/>
    <mergeCell ref="AC3:AI3"/>
    <mergeCell ref="AB4:AB5"/>
    <mergeCell ref="AC4:AE4"/>
    <mergeCell ref="AF4:AH4"/>
    <mergeCell ref="AI4:AI5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U59"/>
  <sheetViews>
    <sheetView topLeftCell="AO7" workbookViewId="0">
      <selection activeCell="BN47" sqref="BN47"/>
    </sheetView>
  </sheetViews>
  <sheetFormatPr defaultColWidth="12.5703125" defaultRowHeight="15.75" customHeight="1"/>
  <cols>
    <col min="1" max="1" width="8.85546875" style="163" customWidth="1"/>
    <col min="2" max="2" width="8.28515625" style="163" customWidth="1"/>
    <col min="3" max="20" width="6.42578125" style="163" customWidth="1"/>
    <col min="21" max="21" width="19.7109375" style="163" customWidth="1"/>
    <col min="22" max="58" width="6.42578125" style="163" customWidth="1"/>
    <col min="59" max="59" width="5.7109375" style="163" bestFit="1" customWidth="1"/>
    <col min="60" max="60" width="8.28515625" style="163" bestFit="1" customWidth="1"/>
    <col min="61" max="61" width="10.7109375" style="163" bestFit="1" customWidth="1"/>
    <col min="62" max="63" width="8.7109375" style="163" bestFit="1" customWidth="1"/>
    <col min="64" max="64" width="7.28515625" style="163" bestFit="1" customWidth="1"/>
    <col min="65" max="65" width="10.7109375" style="163" bestFit="1" customWidth="1"/>
    <col min="66" max="66" width="7.28515625" style="163" bestFit="1" customWidth="1"/>
    <col min="67" max="67" width="8.7109375" style="163" bestFit="1" customWidth="1"/>
    <col min="68" max="68" width="6.7109375" style="163" bestFit="1" customWidth="1"/>
    <col min="69" max="69" width="13" style="163" bestFit="1" customWidth="1"/>
    <col min="70" max="70" width="7.28515625" style="163" bestFit="1" customWidth="1"/>
    <col min="71" max="71" width="11.85546875" style="163" bestFit="1" customWidth="1"/>
    <col min="72" max="72" width="4.7109375" style="163" bestFit="1" customWidth="1"/>
    <col min="73" max="73" width="22" style="163" bestFit="1" customWidth="1"/>
    <col min="74" max="16384" width="12.5703125" style="163"/>
  </cols>
  <sheetData>
    <row r="1" spans="1:73" ht="15.75" customHeight="1">
      <c r="A1" s="159" t="s">
        <v>135</v>
      </c>
      <c r="B1" s="160"/>
      <c r="C1" s="159" t="s">
        <v>136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0"/>
      <c r="V1" s="159" t="s">
        <v>137</v>
      </c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0"/>
      <c r="AM1" s="159" t="s">
        <v>138</v>
      </c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0"/>
      <c r="BD1" s="162" t="s">
        <v>139</v>
      </c>
      <c r="BE1" s="161"/>
      <c r="BF1" s="160"/>
      <c r="BG1" s="159" t="s">
        <v>140</v>
      </c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0"/>
    </row>
    <row r="2" spans="1:73" ht="15.75" customHeight="1">
      <c r="A2" s="164"/>
      <c r="B2" s="165"/>
      <c r="C2" s="164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5"/>
      <c r="V2" s="164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5"/>
      <c r="AM2" s="164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5"/>
      <c r="BD2" s="167"/>
      <c r="BE2" s="168"/>
      <c r="BF2" s="169"/>
      <c r="BG2" s="164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5"/>
    </row>
    <row r="3" spans="1:73" ht="15.75" customHeight="1">
      <c r="A3" s="170" t="s">
        <v>0</v>
      </c>
      <c r="B3" s="170" t="s">
        <v>1</v>
      </c>
      <c r="C3" s="171" t="s">
        <v>141</v>
      </c>
      <c r="D3" s="161"/>
      <c r="E3" s="160"/>
      <c r="F3" s="172" t="s">
        <v>143</v>
      </c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4"/>
      <c r="R3" s="175" t="s">
        <v>144</v>
      </c>
      <c r="S3" s="161"/>
      <c r="T3" s="160"/>
      <c r="U3" s="170" t="s">
        <v>145</v>
      </c>
      <c r="V3" s="176" t="s">
        <v>141</v>
      </c>
      <c r="W3" s="173"/>
      <c r="X3" s="173"/>
      <c r="Y3" s="173"/>
      <c r="Z3" s="173"/>
      <c r="AA3" s="173"/>
      <c r="AB3" s="174"/>
      <c r="AC3" s="176" t="s">
        <v>143</v>
      </c>
      <c r="AD3" s="173"/>
      <c r="AE3" s="173"/>
      <c r="AF3" s="173"/>
      <c r="AG3" s="173"/>
      <c r="AH3" s="173"/>
      <c r="AI3" s="174"/>
      <c r="AJ3" s="175" t="s">
        <v>144</v>
      </c>
      <c r="AK3" s="161"/>
      <c r="AL3" s="160"/>
      <c r="AM3" s="176" t="s">
        <v>141</v>
      </c>
      <c r="AN3" s="173"/>
      <c r="AO3" s="173"/>
      <c r="AP3" s="173"/>
      <c r="AQ3" s="173"/>
      <c r="AR3" s="173"/>
      <c r="AS3" s="174"/>
      <c r="AT3" s="176" t="s">
        <v>143</v>
      </c>
      <c r="AU3" s="173"/>
      <c r="AV3" s="173"/>
      <c r="AW3" s="173"/>
      <c r="AX3" s="173"/>
      <c r="AY3" s="173"/>
      <c r="AZ3" s="174"/>
      <c r="BA3" s="175" t="s">
        <v>144</v>
      </c>
      <c r="BB3" s="161"/>
      <c r="BC3" s="160"/>
      <c r="BD3" s="167"/>
      <c r="BE3" s="168"/>
      <c r="BF3" s="169"/>
      <c r="BG3" s="142" t="s">
        <v>16</v>
      </c>
      <c r="BH3" s="129"/>
      <c r="BI3" s="129"/>
      <c r="BJ3" s="130"/>
      <c r="BK3" s="142" t="s">
        <v>146</v>
      </c>
      <c r="BL3" s="129"/>
      <c r="BM3" s="129"/>
      <c r="BN3" s="129"/>
      <c r="BO3" s="159" t="s">
        <v>178</v>
      </c>
      <c r="BP3" s="161"/>
      <c r="BQ3" s="161"/>
      <c r="BR3" s="161"/>
      <c r="BS3" s="170" t="s">
        <v>179</v>
      </c>
      <c r="BT3" s="170" t="s">
        <v>8</v>
      </c>
      <c r="BU3" s="170" t="s">
        <v>180</v>
      </c>
    </row>
    <row r="4" spans="1:73" ht="15.75" customHeight="1">
      <c r="A4" s="177"/>
      <c r="B4" s="177"/>
      <c r="C4" s="164"/>
      <c r="D4" s="166"/>
      <c r="E4" s="165"/>
      <c r="F4" s="176" t="s">
        <v>16</v>
      </c>
      <c r="G4" s="173"/>
      <c r="H4" s="173"/>
      <c r="I4" s="174"/>
      <c r="J4" s="176" t="s">
        <v>147</v>
      </c>
      <c r="K4" s="173"/>
      <c r="L4" s="173"/>
      <c r="M4" s="174"/>
      <c r="N4" s="172" t="s">
        <v>148</v>
      </c>
      <c r="O4" s="173"/>
      <c r="P4" s="173"/>
      <c r="Q4" s="174"/>
      <c r="R4" s="164"/>
      <c r="S4" s="166"/>
      <c r="T4" s="165"/>
      <c r="U4" s="177"/>
      <c r="V4" s="176" t="s">
        <v>16</v>
      </c>
      <c r="W4" s="173"/>
      <c r="X4" s="174"/>
      <c r="Y4" s="176" t="s">
        <v>147</v>
      </c>
      <c r="Z4" s="173"/>
      <c r="AA4" s="174"/>
      <c r="AB4" s="170" t="s">
        <v>19</v>
      </c>
      <c r="AC4" s="176" t="s">
        <v>16</v>
      </c>
      <c r="AD4" s="173"/>
      <c r="AE4" s="174"/>
      <c r="AF4" s="176" t="s">
        <v>147</v>
      </c>
      <c r="AG4" s="173"/>
      <c r="AH4" s="174"/>
      <c r="AI4" s="170" t="s">
        <v>19</v>
      </c>
      <c r="AJ4" s="164"/>
      <c r="AK4" s="166"/>
      <c r="AL4" s="165"/>
      <c r="AM4" s="176" t="s">
        <v>16</v>
      </c>
      <c r="AN4" s="173"/>
      <c r="AO4" s="174"/>
      <c r="AP4" s="176" t="s">
        <v>147</v>
      </c>
      <c r="AQ4" s="173"/>
      <c r="AR4" s="174"/>
      <c r="AS4" s="170" t="s">
        <v>19</v>
      </c>
      <c r="AT4" s="176" t="s">
        <v>16</v>
      </c>
      <c r="AU4" s="173"/>
      <c r="AV4" s="174"/>
      <c r="AW4" s="176" t="s">
        <v>147</v>
      </c>
      <c r="AX4" s="173"/>
      <c r="AY4" s="174"/>
      <c r="AZ4" s="170" t="s">
        <v>19</v>
      </c>
      <c r="BA4" s="164"/>
      <c r="BB4" s="166"/>
      <c r="BC4" s="165"/>
      <c r="BD4" s="164"/>
      <c r="BE4" s="166"/>
      <c r="BF4" s="165"/>
      <c r="BG4" s="136"/>
      <c r="BH4" s="131"/>
      <c r="BI4" s="131"/>
      <c r="BJ4" s="132"/>
      <c r="BK4" s="136"/>
      <c r="BL4" s="131"/>
      <c r="BM4" s="131"/>
      <c r="BN4" s="131"/>
      <c r="BO4" s="164"/>
      <c r="BP4" s="166"/>
      <c r="BQ4" s="166"/>
      <c r="BR4" s="166"/>
      <c r="BS4" s="177"/>
      <c r="BT4" s="177"/>
      <c r="BU4" s="177"/>
    </row>
    <row r="5" spans="1:73" ht="15.75" customHeight="1">
      <c r="A5" s="178"/>
      <c r="B5" s="178"/>
      <c r="C5" s="145" t="s">
        <v>16</v>
      </c>
      <c r="D5" s="145" t="s">
        <v>149</v>
      </c>
      <c r="E5" s="179" t="s">
        <v>19</v>
      </c>
      <c r="F5" s="145" t="s">
        <v>150</v>
      </c>
      <c r="G5" s="145" t="s">
        <v>151</v>
      </c>
      <c r="H5" s="145" t="s">
        <v>152</v>
      </c>
      <c r="I5" s="145" t="s">
        <v>153</v>
      </c>
      <c r="J5" s="145" t="s">
        <v>150</v>
      </c>
      <c r="K5" s="145" t="s">
        <v>151</v>
      </c>
      <c r="L5" s="145" t="s">
        <v>152</v>
      </c>
      <c r="M5" s="145" t="s">
        <v>153</v>
      </c>
      <c r="N5" s="180" t="s">
        <v>150</v>
      </c>
      <c r="O5" s="181" t="s">
        <v>151</v>
      </c>
      <c r="P5" s="145" t="s">
        <v>152</v>
      </c>
      <c r="Q5" s="182" t="s">
        <v>153</v>
      </c>
      <c r="R5" s="145" t="s">
        <v>16</v>
      </c>
      <c r="S5" s="145" t="s">
        <v>149</v>
      </c>
      <c r="T5" s="183" t="s">
        <v>19</v>
      </c>
      <c r="U5" s="178"/>
      <c r="V5" s="145" t="s">
        <v>182</v>
      </c>
      <c r="W5" s="145" t="s">
        <v>184</v>
      </c>
      <c r="X5" s="145" t="s">
        <v>153</v>
      </c>
      <c r="Y5" s="145" t="s">
        <v>182</v>
      </c>
      <c r="Z5" s="145" t="s">
        <v>184</v>
      </c>
      <c r="AA5" s="145" t="s">
        <v>153</v>
      </c>
      <c r="AB5" s="178"/>
      <c r="AC5" s="145" t="s">
        <v>182</v>
      </c>
      <c r="AD5" s="145" t="s">
        <v>184</v>
      </c>
      <c r="AE5" s="145" t="s">
        <v>153</v>
      </c>
      <c r="AF5" s="145" t="s">
        <v>182</v>
      </c>
      <c r="AG5" s="145" t="s">
        <v>184</v>
      </c>
      <c r="AH5" s="145" t="s">
        <v>153</v>
      </c>
      <c r="AI5" s="178"/>
      <c r="AJ5" s="145" t="s">
        <v>16</v>
      </c>
      <c r="AK5" s="145" t="s">
        <v>149</v>
      </c>
      <c r="AL5" s="183" t="s">
        <v>19</v>
      </c>
      <c r="AM5" s="145" t="s">
        <v>188</v>
      </c>
      <c r="AN5" s="145" t="s">
        <v>189</v>
      </c>
      <c r="AO5" s="145" t="s">
        <v>190</v>
      </c>
      <c r="AP5" s="145" t="s">
        <v>188</v>
      </c>
      <c r="AQ5" s="145" t="s">
        <v>189</v>
      </c>
      <c r="AR5" s="145" t="s">
        <v>190</v>
      </c>
      <c r="AS5" s="178"/>
      <c r="AT5" s="145" t="s">
        <v>188</v>
      </c>
      <c r="AU5" s="145" t="s">
        <v>189</v>
      </c>
      <c r="AV5" s="145" t="s">
        <v>190</v>
      </c>
      <c r="AW5" s="145" t="s">
        <v>188</v>
      </c>
      <c r="AX5" s="145" t="s">
        <v>189</v>
      </c>
      <c r="AY5" s="145" t="s">
        <v>190</v>
      </c>
      <c r="AZ5" s="178"/>
      <c r="BA5" s="145" t="s">
        <v>16</v>
      </c>
      <c r="BB5" s="145" t="s">
        <v>149</v>
      </c>
      <c r="BC5" s="183" t="s">
        <v>19</v>
      </c>
      <c r="BD5" s="181" t="s">
        <v>16</v>
      </c>
      <c r="BE5" s="181" t="s">
        <v>149</v>
      </c>
      <c r="BF5" s="184" t="s">
        <v>19</v>
      </c>
      <c r="BG5" s="145" t="s">
        <v>158</v>
      </c>
      <c r="BH5" s="145" t="s">
        <v>160</v>
      </c>
      <c r="BI5" s="145" t="s">
        <v>198</v>
      </c>
      <c r="BJ5" s="143" t="s">
        <v>200</v>
      </c>
      <c r="BK5" s="145" t="s">
        <v>201</v>
      </c>
      <c r="BL5" s="92" t="s">
        <v>160</v>
      </c>
      <c r="BM5" s="92" t="s">
        <v>198</v>
      </c>
      <c r="BN5" s="216" t="s">
        <v>153</v>
      </c>
      <c r="BO5" s="145" t="s">
        <v>203</v>
      </c>
      <c r="BP5" s="92" t="s">
        <v>160</v>
      </c>
      <c r="BQ5" s="92" t="s">
        <v>204</v>
      </c>
      <c r="BR5" s="92" t="s">
        <v>153</v>
      </c>
      <c r="BS5" s="178"/>
      <c r="BT5" s="178"/>
      <c r="BU5" s="178"/>
    </row>
    <row r="6" spans="1:73" ht="15.75" customHeight="1">
      <c r="A6" s="185">
        <v>45992</v>
      </c>
      <c r="B6" s="186" t="s">
        <v>44</v>
      </c>
      <c r="C6" s="150">
        <v>8</v>
      </c>
      <c r="D6" s="150">
        <v>8</v>
      </c>
      <c r="E6" s="187">
        <f t="shared" ref="E6:E36" si="0">C6+D6</f>
        <v>16</v>
      </c>
      <c r="F6" s="150">
        <v>3</v>
      </c>
      <c r="G6" s="150">
        <v>14</v>
      </c>
      <c r="H6" s="150">
        <v>0</v>
      </c>
      <c r="I6" s="150">
        <f t="shared" ref="I6:I36" si="1">F6+G6+H6</f>
        <v>17</v>
      </c>
      <c r="J6" s="150">
        <v>4</v>
      </c>
      <c r="K6" s="150">
        <f>38-14</f>
        <v>24</v>
      </c>
      <c r="L6" s="150">
        <v>0</v>
      </c>
      <c r="M6" s="150">
        <f t="shared" ref="M6:M36" si="2">J6+K6+L6</f>
        <v>28</v>
      </c>
      <c r="N6" s="188">
        <f t="shared" ref="N6:P6" si="3">F6+J6</f>
        <v>7</v>
      </c>
      <c r="O6" s="189">
        <f t="shared" si="3"/>
        <v>38</v>
      </c>
      <c r="P6" s="150">
        <f t="shared" si="3"/>
        <v>0</v>
      </c>
      <c r="Q6" s="190">
        <f t="shared" ref="Q6:Q36" si="4">N6+O6+P6</f>
        <v>45</v>
      </c>
      <c r="R6" s="150">
        <f t="shared" ref="R6:R36" si="5">C6+I6</f>
        <v>25</v>
      </c>
      <c r="S6" s="150">
        <f t="shared" ref="S6:S36" si="6">D6+M6</f>
        <v>36</v>
      </c>
      <c r="T6" s="191">
        <f t="shared" ref="T6:T36" si="7">R6+S6</f>
        <v>61</v>
      </c>
      <c r="U6" s="192"/>
      <c r="V6" s="150">
        <v>0</v>
      </c>
      <c r="W6" s="150">
        <f t="shared" ref="W6:W25" si="8">C6</f>
        <v>8</v>
      </c>
      <c r="X6" s="150">
        <f t="shared" ref="X6:X36" si="9">(4*V6)+(8*W6)</f>
        <v>64</v>
      </c>
      <c r="Y6" s="150">
        <v>0</v>
      </c>
      <c r="Z6" s="150">
        <f t="shared" ref="Z6:Z17" si="10">D6</f>
        <v>8</v>
      </c>
      <c r="AA6" s="150">
        <f t="shared" ref="AA6:AA36" si="11">(4*Y6)+(8*Z6)</f>
        <v>64</v>
      </c>
      <c r="AB6" s="150">
        <f t="shared" ref="AB6:AB36" si="12">X6+AA6</f>
        <v>128</v>
      </c>
      <c r="AC6" s="150">
        <v>0</v>
      </c>
      <c r="AD6" s="150">
        <f t="shared" ref="AD6:AD36" si="13">I6</f>
        <v>17</v>
      </c>
      <c r="AE6" s="150">
        <f t="shared" ref="AE6:AE36" si="14">(4*AC6)+(8*AD6)</f>
        <v>136</v>
      </c>
      <c r="AF6" s="150">
        <v>0</v>
      </c>
      <c r="AG6" s="150">
        <f t="shared" ref="AG6:AG29" si="15">M6</f>
        <v>28</v>
      </c>
      <c r="AH6" s="150">
        <f t="shared" ref="AH6:AH36" si="16">(4*AF6)+(8*AG6)</f>
        <v>224</v>
      </c>
      <c r="AI6" s="150">
        <f t="shared" ref="AI6:AI36" si="17">AE6+AH6</f>
        <v>360</v>
      </c>
      <c r="AJ6" s="150">
        <f t="shared" ref="AJ6:AJ36" si="18">X6+AE6</f>
        <v>200</v>
      </c>
      <c r="AK6" s="150">
        <f t="shared" ref="AK6:AK36" si="19">AA6+AH6</f>
        <v>288</v>
      </c>
      <c r="AL6" s="191">
        <f t="shared" ref="AL6:AL36" si="20">AJ6+AK6</f>
        <v>488</v>
      </c>
      <c r="AM6" s="150">
        <v>7</v>
      </c>
      <c r="AN6" s="193">
        <v>3</v>
      </c>
      <c r="AO6" s="193">
        <f t="shared" ref="AO6:AO36" si="21">AM6*AN6</f>
        <v>21</v>
      </c>
      <c r="AP6" s="150">
        <v>8</v>
      </c>
      <c r="AQ6" s="193">
        <v>3</v>
      </c>
      <c r="AR6" s="193">
        <f t="shared" ref="AR6:AR36" si="22">AP6*AQ6</f>
        <v>24</v>
      </c>
      <c r="AS6" s="193">
        <f t="shared" ref="AS6:AS36" si="23">AO6+AR6</f>
        <v>45</v>
      </c>
      <c r="AT6" s="150">
        <v>9</v>
      </c>
      <c r="AU6" s="193">
        <v>3</v>
      </c>
      <c r="AV6" s="193">
        <f t="shared" ref="AV6:AV36" si="24">AT6*AU6</f>
        <v>27</v>
      </c>
      <c r="AW6" s="150">
        <v>20</v>
      </c>
      <c r="AX6" s="193">
        <v>3</v>
      </c>
      <c r="AY6" s="193">
        <f t="shared" ref="AY6:AY36" si="25">AW6*AX6</f>
        <v>60</v>
      </c>
      <c r="AZ6" s="193">
        <f t="shared" ref="AZ6:AZ36" si="26">AV6+AY6</f>
        <v>87</v>
      </c>
      <c r="BA6" s="193">
        <f t="shared" ref="BA6:BA36" si="27">AV6+AO6</f>
        <v>48</v>
      </c>
      <c r="BB6" s="193">
        <f t="shared" ref="BB6:BB36" si="28">AY6+AR6</f>
        <v>84</v>
      </c>
      <c r="BC6" s="194">
        <f t="shared" ref="BC6:BC36" si="29">BA6+BB6</f>
        <v>132</v>
      </c>
      <c r="BD6" s="195">
        <f t="shared" ref="BD6:BD36" si="30">X6+AE6+AO6+AV6</f>
        <v>248</v>
      </c>
      <c r="BE6" s="195">
        <f t="shared" ref="BE6:BE36" si="31">AA6+AH6+AR6+AY6</f>
        <v>372</v>
      </c>
      <c r="BF6" s="196">
        <f t="shared" ref="BF6:BF36" si="32">BD6+BE6</f>
        <v>620</v>
      </c>
      <c r="BG6" s="147">
        <v>0</v>
      </c>
      <c r="BH6" s="147">
        <v>20353</v>
      </c>
      <c r="BI6" s="147">
        <v>32</v>
      </c>
      <c r="BJ6" s="150">
        <f t="shared" ref="BJ6:BJ36" si="33">BG6+BH6+BI6</f>
        <v>20385</v>
      </c>
      <c r="BK6" s="147">
        <v>576</v>
      </c>
      <c r="BL6" s="147">
        <v>6055</v>
      </c>
      <c r="BM6" s="147">
        <v>1</v>
      </c>
      <c r="BN6" s="147">
        <f t="shared" ref="BN6:BN36" si="34">BK6+BL6+BM6</f>
        <v>6632</v>
      </c>
      <c r="BO6" s="147">
        <v>1392</v>
      </c>
      <c r="BP6" s="147">
        <v>1113</v>
      </c>
      <c r="BQ6" s="147">
        <v>25</v>
      </c>
      <c r="BR6" s="147">
        <f t="shared" ref="BR6:BR36" si="35">BQ6+BP6+BO6</f>
        <v>2530</v>
      </c>
      <c r="BS6" s="150">
        <f t="shared" ref="BS6:BS36" si="36">BN6+BR6</f>
        <v>9162</v>
      </c>
      <c r="BT6" s="147">
        <v>4</v>
      </c>
      <c r="BU6" s="150">
        <f t="shared" ref="BU6:BU36" si="37">BJ6+BK6+BO6+BQ6</f>
        <v>22378</v>
      </c>
    </row>
    <row r="7" spans="1:73" ht="15.75" customHeight="1">
      <c r="A7" s="185">
        <v>45993</v>
      </c>
      <c r="B7" s="186" t="s">
        <v>38</v>
      </c>
      <c r="C7" s="150">
        <v>8</v>
      </c>
      <c r="D7" s="150">
        <v>8</v>
      </c>
      <c r="E7" s="187">
        <f t="shared" si="0"/>
        <v>16</v>
      </c>
      <c r="F7" s="150">
        <v>3</v>
      </c>
      <c r="G7" s="150">
        <v>9</v>
      </c>
      <c r="H7" s="150">
        <v>0</v>
      </c>
      <c r="I7" s="150">
        <f t="shared" si="1"/>
        <v>12</v>
      </c>
      <c r="J7" s="150">
        <v>5</v>
      </c>
      <c r="K7" s="150">
        <v>15</v>
      </c>
      <c r="L7" s="150">
        <v>0</v>
      </c>
      <c r="M7" s="150">
        <f t="shared" si="2"/>
        <v>20</v>
      </c>
      <c r="N7" s="188">
        <f t="shared" ref="N7:P7" si="38">F7+J7</f>
        <v>8</v>
      </c>
      <c r="O7" s="189">
        <f t="shared" si="38"/>
        <v>24</v>
      </c>
      <c r="P7" s="150">
        <f t="shared" si="38"/>
        <v>0</v>
      </c>
      <c r="Q7" s="190">
        <f t="shared" si="4"/>
        <v>32</v>
      </c>
      <c r="R7" s="150">
        <f t="shared" si="5"/>
        <v>20</v>
      </c>
      <c r="S7" s="150">
        <f t="shared" si="6"/>
        <v>28</v>
      </c>
      <c r="T7" s="191">
        <f t="shared" si="7"/>
        <v>48</v>
      </c>
      <c r="U7" s="192"/>
      <c r="V7" s="150">
        <v>0</v>
      </c>
      <c r="W7" s="150">
        <f t="shared" si="8"/>
        <v>8</v>
      </c>
      <c r="X7" s="150">
        <f t="shared" si="9"/>
        <v>64</v>
      </c>
      <c r="Y7" s="150">
        <v>0</v>
      </c>
      <c r="Z7" s="150">
        <f t="shared" si="10"/>
        <v>8</v>
      </c>
      <c r="AA7" s="150">
        <f t="shared" si="11"/>
        <v>64</v>
      </c>
      <c r="AB7" s="150">
        <f t="shared" si="12"/>
        <v>128</v>
      </c>
      <c r="AC7" s="150">
        <v>0</v>
      </c>
      <c r="AD7" s="150">
        <f t="shared" si="13"/>
        <v>12</v>
      </c>
      <c r="AE7" s="150">
        <f t="shared" si="14"/>
        <v>96</v>
      </c>
      <c r="AF7" s="150">
        <v>0</v>
      </c>
      <c r="AG7" s="150">
        <f t="shared" si="15"/>
        <v>20</v>
      </c>
      <c r="AH7" s="150">
        <f t="shared" si="16"/>
        <v>160</v>
      </c>
      <c r="AI7" s="150">
        <f t="shared" si="17"/>
        <v>256</v>
      </c>
      <c r="AJ7" s="150">
        <f t="shared" si="18"/>
        <v>160</v>
      </c>
      <c r="AK7" s="150">
        <f t="shared" si="19"/>
        <v>224</v>
      </c>
      <c r="AL7" s="191">
        <f t="shared" si="20"/>
        <v>384</v>
      </c>
      <c r="AM7" s="150">
        <v>7</v>
      </c>
      <c r="AN7" s="193">
        <v>3</v>
      </c>
      <c r="AO7" s="193">
        <f t="shared" si="21"/>
        <v>21</v>
      </c>
      <c r="AP7" s="150">
        <v>8</v>
      </c>
      <c r="AQ7" s="193">
        <v>3</v>
      </c>
      <c r="AR7" s="193">
        <f t="shared" si="22"/>
        <v>24</v>
      </c>
      <c r="AS7" s="193">
        <f t="shared" si="23"/>
        <v>45</v>
      </c>
      <c r="AT7" s="150">
        <v>15</v>
      </c>
      <c r="AU7" s="193">
        <v>3</v>
      </c>
      <c r="AV7" s="193">
        <f t="shared" si="24"/>
        <v>45</v>
      </c>
      <c r="AW7" s="150">
        <v>9</v>
      </c>
      <c r="AX7" s="193">
        <v>3</v>
      </c>
      <c r="AY7" s="193">
        <f t="shared" si="25"/>
        <v>27</v>
      </c>
      <c r="AZ7" s="193">
        <f t="shared" si="26"/>
        <v>72</v>
      </c>
      <c r="BA7" s="193">
        <f t="shared" si="27"/>
        <v>66</v>
      </c>
      <c r="BB7" s="193">
        <f t="shared" si="28"/>
        <v>51</v>
      </c>
      <c r="BC7" s="194">
        <f t="shared" si="29"/>
        <v>117</v>
      </c>
      <c r="BD7" s="195">
        <f t="shared" si="30"/>
        <v>226</v>
      </c>
      <c r="BE7" s="195">
        <f t="shared" si="31"/>
        <v>275</v>
      </c>
      <c r="BF7" s="196">
        <f t="shared" si="32"/>
        <v>501</v>
      </c>
      <c r="BG7" s="147">
        <v>0</v>
      </c>
      <c r="BH7" s="147">
        <v>25986</v>
      </c>
      <c r="BI7" s="147">
        <v>24</v>
      </c>
      <c r="BJ7" s="150">
        <f t="shared" si="33"/>
        <v>26010</v>
      </c>
      <c r="BK7" s="147">
        <v>251</v>
      </c>
      <c r="BL7" s="147">
        <v>4063</v>
      </c>
      <c r="BM7" s="147">
        <v>3</v>
      </c>
      <c r="BN7" s="147">
        <f t="shared" si="34"/>
        <v>4317</v>
      </c>
      <c r="BO7" s="147">
        <v>643</v>
      </c>
      <c r="BP7" s="147">
        <v>2005</v>
      </c>
      <c r="BQ7" s="147">
        <v>10</v>
      </c>
      <c r="BR7" s="147">
        <f t="shared" si="35"/>
        <v>2658</v>
      </c>
      <c r="BS7" s="150">
        <f t="shared" si="36"/>
        <v>6975</v>
      </c>
      <c r="BT7" s="147">
        <v>2</v>
      </c>
      <c r="BU7" s="150">
        <f t="shared" si="37"/>
        <v>26914</v>
      </c>
    </row>
    <row r="8" spans="1:73" ht="15.75" customHeight="1">
      <c r="A8" s="185">
        <v>45994</v>
      </c>
      <c r="B8" s="186" t="s">
        <v>45</v>
      </c>
      <c r="C8" s="150">
        <v>8</v>
      </c>
      <c r="D8" s="150">
        <v>8</v>
      </c>
      <c r="E8" s="197">
        <f t="shared" si="0"/>
        <v>16</v>
      </c>
      <c r="F8" s="150">
        <v>3</v>
      </c>
      <c r="G8" s="150">
        <v>19</v>
      </c>
      <c r="H8" s="150">
        <v>0</v>
      </c>
      <c r="I8" s="148">
        <f t="shared" si="1"/>
        <v>22</v>
      </c>
      <c r="J8" s="150">
        <v>5</v>
      </c>
      <c r="K8" s="150">
        <v>21</v>
      </c>
      <c r="L8" s="150">
        <v>0</v>
      </c>
      <c r="M8" s="148">
        <f t="shared" si="2"/>
        <v>26</v>
      </c>
      <c r="N8" s="198">
        <f t="shared" ref="N8:P8" si="39">F8+J8</f>
        <v>8</v>
      </c>
      <c r="O8" s="199">
        <f t="shared" si="39"/>
        <v>40</v>
      </c>
      <c r="P8" s="148">
        <f t="shared" si="39"/>
        <v>0</v>
      </c>
      <c r="Q8" s="200">
        <f t="shared" si="4"/>
        <v>48</v>
      </c>
      <c r="R8" s="148">
        <f t="shared" si="5"/>
        <v>30</v>
      </c>
      <c r="S8" s="148">
        <f t="shared" si="6"/>
        <v>34</v>
      </c>
      <c r="T8" s="201">
        <f t="shared" si="7"/>
        <v>64</v>
      </c>
      <c r="U8" s="192"/>
      <c r="V8" s="150">
        <v>0</v>
      </c>
      <c r="W8" s="150">
        <f t="shared" si="8"/>
        <v>8</v>
      </c>
      <c r="X8" s="150">
        <f t="shared" si="9"/>
        <v>64</v>
      </c>
      <c r="Y8" s="150">
        <v>0</v>
      </c>
      <c r="Z8" s="150">
        <f t="shared" si="10"/>
        <v>8</v>
      </c>
      <c r="AA8" s="150">
        <f t="shared" si="11"/>
        <v>64</v>
      </c>
      <c r="AB8" s="150">
        <f t="shared" si="12"/>
        <v>128</v>
      </c>
      <c r="AC8" s="150">
        <v>0</v>
      </c>
      <c r="AD8" s="150">
        <f t="shared" si="13"/>
        <v>22</v>
      </c>
      <c r="AE8" s="150">
        <f t="shared" si="14"/>
        <v>176</v>
      </c>
      <c r="AF8" s="150">
        <v>0</v>
      </c>
      <c r="AG8" s="150">
        <f t="shared" si="15"/>
        <v>26</v>
      </c>
      <c r="AH8" s="150">
        <f t="shared" si="16"/>
        <v>208</v>
      </c>
      <c r="AI8" s="148">
        <f t="shared" si="17"/>
        <v>384</v>
      </c>
      <c r="AJ8" s="150">
        <f t="shared" si="18"/>
        <v>240</v>
      </c>
      <c r="AK8" s="150">
        <f t="shared" si="19"/>
        <v>272</v>
      </c>
      <c r="AL8" s="191">
        <f t="shared" si="20"/>
        <v>512</v>
      </c>
      <c r="AM8" s="150">
        <v>7</v>
      </c>
      <c r="AN8" s="193">
        <v>3</v>
      </c>
      <c r="AO8" s="193">
        <f t="shared" si="21"/>
        <v>21</v>
      </c>
      <c r="AP8" s="150">
        <v>8</v>
      </c>
      <c r="AQ8" s="193">
        <v>3</v>
      </c>
      <c r="AR8" s="193">
        <f t="shared" si="22"/>
        <v>24</v>
      </c>
      <c r="AS8" s="193">
        <f t="shared" si="23"/>
        <v>45</v>
      </c>
      <c r="AT8" s="150">
        <v>18</v>
      </c>
      <c r="AU8" s="193">
        <v>3</v>
      </c>
      <c r="AV8" s="193">
        <f t="shared" si="24"/>
        <v>54</v>
      </c>
      <c r="AW8" s="150">
        <v>13</v>
      </c>
      <c r="AX8" s="193">
        <v>3</v>
      </c>
      <c r="AY8" s="193">
        <f t="shared" si="25"/>
        <v>39</v>
      </c>
      <c r="AZ8" s="193">
        <f t="shared" si="26"/>
        <v>93</v>
      </c>
      <c r="BA8" s="193">
        <f t="shared" si="27"/>
        <v>75</v>
      </c>
      <c r="BB8" s="193">
        <f t="shared" si="28"/>
        <v>63</v>
      </c>
      <c r="BC8" s="194">
        <f t="shared" si="29"/>
        <v>138</v>
      </c>
      <c r="BD8" s="195">
        <f t="shared" si="30"/>
        <v>315</v>
      </c>
      <c r="BE8" s="195">
        <f t="shared" si="31"/>
        <v>335</v>
      </c>
      <c r="BF8" s="196">
        <f t="shared" si="32"/>
        <v>650</v>
      </c>
      <c r="BG8" s="147">
        <v>0</v>
      </c>
      <c r="BH8" s="147">
        <v>29695</v>
      </c>
      <c r="BI8" s="147">
        <v>127</v>
      </c>
      <c r="BJ8" s="148">
        <f t="shared" si="33"/>
        <v>29822</v>
      </c>
      <c r="BK8" s="147">
        <v>365</v>
      </c>
      <c r="BL8" s="147">
        <v>8574</v>
      </c>
      <c r="BM8" s="147">
        <v>34</v>
      </c>
      <c r="BN8" s="147">
        <f t="shared" si="34"/>
        <v>8973</v>
      </c>
      <c r="BO8" s="147">
        <v>545</v>
      </c>
      <c r="BP8" s="147">
        <v>1024</v>
      </c>
      <c r="BQ8" s="147">
        <v>10</v>
      </c>
      <c r="BR8" s="147">
        <f t="shared" si="35"/>
        <v>1579</v>
      </c>
      <c r="BS8" s="150">
        <f t="shared" si="36"/>
        <v>10552</v>
      </c>
      <c r="BT8" s="147">
        <v>6</v>
      </c>
      <c r="BU8" s="150">
        <f t="shared" si="37"/>
        <v>30742</v>
      </c>
    </row>
    <row r="9" spans="1:73" ht="15.75" customHeight="1">
      <c r="A9" s="185">
        <v>45995</v>
      </c>
      <c r="B9" s="186" t="s">
        <v>32</v>
      </c>
      <c r="C9" s="150">
        <v>8</v>
      </c>
      <c r="D9" s="150">
        <v>8</v>
      </c>
      <c r="E9" s="187">
        <f t="shared" si="0"/>
        <v>16</v>
      </c>
      <c r="F9" s="150">
        <v>3</v>
      </c>
      <c r="G9" s="150">
        <v>18</v>
      </c>
      <c r="H9" s="150">
        <v>0</v>
      </c>
      <c r="I9" s="150">
        <f t="shared" si="1"/>
        <v>21</v>
      </c>
      <c r="J9" s="150">
        <v>5</v>
      </c>
      <c r="K9" s="150">
        <v>18</v>
      </c>
      <c r="L9" s="150">
        <v>0</v>
      </c>
      <c r="M9" s="150">
        <f t="shared" si="2"/>
        <v>23</v>
      </c>
      <c r="N9" s="188">
        <f t="shared" ref="N9:P9" si="40">F9+J9</f>
        <v>8</v>
      </c>
      <c r="O9" s="189">
        <f t="shared" si="40"/>
        <v>36</v>
      </c>
      <c r="P9" s="150">
        <f t="shared" si="40"/>
        <v>0</v>
      </c>
      <c r="Q9" s="190">
        <f t="shared" si="4"/>
        <v>44</v>
      </c>
      <c r="R9" s="150">
        <f t="shared" si="5"/>
        <v>29</v>
      </c>
      <c r="S9" s="150">
        <f t="shared" si="6"/>
        <v>31</v>
      </c>
      <c r="T9" s="191">
        <f t="shared" si="7"/>
        <v>60</v>
      </c>
      <c r="U9" s="192"/>
      <c r="V9" s="150">
        <v>0</v>
      </c>
      <c r="W9" s="150">
        <f t="shared" si="8"/>
        <v>8</v>
      </c>
      <c r="X9" s="150">
        <f t="shared" si="9"/>
        <v>64</v>
      </c>
      <c r="Y9" s="150">
        <v>0</v>
      </c>
      <c r="Z9" s="150">
        <f t="shared" si="10"/>
        <v>8</v>
      </c>
      <c r="AA9" s="150">
        <f t="shared" si="11"/>
        <v>64</v>
      </c>
      <c r="AB9" s="150">
        <f t="shared" si="12"/>
        <v>128</v>
      </c>
      <c r="AC9" s="150">
        <v>0</v>
      </c>
      <c r="AD9" s="150">
        <f t="shared" si="13"/>
        <v>21</v>
      </c>
      <c r="AE9" s="150">
        <f t="shared" si="14"/>
        <v>168</v>
      </c>
      <c r="AF9" s="150">
        <v>0</v>
      </c>
      <c r="AG9" s="150">
        <f t="shared" si="15"/>
        <v>23</v>
      </c>
      <c r="AH9" s="150">
        <f t="shared" si="16"/>
        <v>184</v>
      </c>
      <c r="AI9" s="150">
        <f t="shared" si="17"/>
        <v>352</v>
      </c>
      <c r="AJ9" s="150">
        <f t="shared" si="18"/>
        <v>232</v>
      </c>
      <c r="AK9" s="150">
        <f t="shared" si="19"/>
        <v>248</v>
      </c>
      <c r="AL9" s="191">
        <f t="shared" si="20"/>
        <v>480</v>
      </c>
      <c r="AM9" s="150">
        <v>7</v>
      </c>
      <c r="AN9" s="193">
        <v>3</v>
      </c>
      <c r="AO9" s="193">
        <f t="shared" si="21"/>
        <v>21</v>
      </c>
      <c r="AP9" s="150">
        <v>8</v>
      </c>
      <c r="AQ9" s="193">
        <v>3</v>
      </c>
      <c r="AR9" s="193">
        <f t="shared" si="22"/>
        <v>24</v>
      </c>
      <c r="AS9" s="193">
        <f t="shared" si="23"/>
        <v>45</v>
      </c>
      <c r="AT9" s="150">
        <v>10</v>
      </c>
      <c r="AU9" s="193">
        <v>3</v>
      </c>
      <c r="AV9" s="193">
        <f t="shared" si="24"/>
        <v>30</v>
      </c>
      <c r="AW9" s="150">
        <v>13</v>
      </c>
      <c r="AX9" s="193">
        <v>3</v>
      </c>
      <c r="AY9" s="193">
        <f t="shared" si="25"/>
        <v>39</v>
      </c>
      <c r="AZ9" s="193">
        <f t="shared" si="26"/>
        <v>69</v>
      </c>
      <c r="BA9" s="193">
        <f t="shared" si="27"/>
        <v>51</v>
      </c>
      <c r="BB9" s="193">
        <f t="shared" si="28"/>
        <v>63</v>
      </c>
      <c r="BC9" s="194">
        <f t="shared" si="29"/>
        <v>114</v>
      </c>
      <c r="BD9" s="195">
        <f t="shared" si="30"/>
        <v>283</v>
      </c>
      <c r="BE9" s="195">
        <f t="shared" si="31"/>
        <v>311</v>
      </c>
      <c r="BF9" s="196">
        <f t="shared" si="32"/>
        <v>594</v>
      </c>
      <c r="BG9" s="147">
        <v>0</v>
      </c>
      <c r="BH9" s="202">
        <v>27437</v>
      </c>
      <c r="BI9" s="202">
        <v>96</v>
      </c>
      <c r="BJ9" s="150">
        <f t="shared" si="33"/>
        <v>27533</v>
      </c>
      <c r="BK9" s="147">
        <v>235</v>
      </c>
      <c r="BL9" s="147">
        <v>8176</v>
      </c>
      <c r="BM9" s="147">
        <v>2</v>
      </c>
      <c r="BN9" s="147">
        <f t="shared" si="34"/>
        <v>8413</v>
      </c>
      <c r="BO9" s="147">
        <v>536</v>
      </c>
      <c r="BP9" s="147">
        <v>655</v>
      </c>
      <c r="BQ9" s="147">
        <v>6</v>
      </c>
      <c r="BR9" s="147">
        <f t="shared" si="35"/>
        <v>1197</v>
      </c>
      <c r="BS9" s="150">
        <f t="shared" si="36"/>
        <v>9610</v>
      </c>
      <c r="BT9" s="147">
        <v>5</v>
      </c>
      <c r="BU9" s="150">
        <f t="shared" si="37"/>
        <v>28310</v>
      </c>
    </row>
    <row r="10" spans="1:73" ht="15.75" customHeight="1">
      <c r="A10" s="185">
        <v>45996</v>
      </c>
      <c r="B10" s="186" t="s">
        <v>42</v>
      </c>
      <c r="C10" s="150">
        <v>8</v>
      </c>
      <c r="D10" s="150">
        <v>7</v>
      </c>
      <c r="E10" s="187">
        <f t="shared" si="0"/>
        <v>15</v>
      </c>
      <c r="F10" s="150">
        <v>2</v>
      </c>
      <c r="G10" s="150">
        <v>22</v>
      </c>
      <c r="H10" s="150">
        <v>0</v>
      </c>
      <c r="I10" s="150">
        <f t="shared" si="1"/>
        <v>24</v>
      </c>
      <c r="J10" s="150">
        <v>4</v>
      </c>
      <c r="K10" s="150">
        <f>38-22</f>
        <v>16</v>
      </c>
      <c r="L10" s="150">
        <v>0</v>
      </c>
      <c r="M10" s="150">
        <f t="shared" si="2"/>
        <v>20</v>
      </c>
      <c r="N10" s="188">
        <f t="shared" ref="N10:P10" si="41">F10+J10</f>
        <v>6</v>
      </c>
      <c r="O10" s="189">
        <f t="shared" si="41"/>
        <v>38</v>
      </c>
      <c r="P10" s="150">
        <f t="shared" si="41"/>
        <v>0</v>
      </c>
      <c r="Q10" s="190">
        <f t="shared" si="4"/>
        <v>44</v>
      </c>
      <c r="R10" s="150">
        <f t="shared" si="5"/>
        <v>32</v>
      </c>
      <c r="S10" s="150">
        <f t="shared" si="6"/>
        <v>27</v>
      </c>
      <c r="T10" s="191">
        <f t="shared" si="7"/>
        <v>59</v>
      </c>
      <c r="U10" s="192"/>
      <c r="V10" s="150">
        <v>0</v>
      </c>
      <c r="W10" s="150">
        <f t="shared" si="8"/>
        <v>8</v>
      </c>
      <c r="X10" s="150">
        <f t="shared" si="9"/>
        <v>64</v>
      </c>
      <c r="Y10" s="150">
        <v>0</v>
      </c>
      <c r="Z10" s="150">
        <f t="shared" si="10"/>
        <v>7</v>
      </c>
      <c r="AA10" s="150">
        <f t="shared" si="11"/>
        <v>56</v>
      </c>
      <c r="AB10" s="150">
        <f t="shared" si="12"/>
        <v>120</v>
      </c>
      <c r="AC10" s="150">
        <v>0</v>
      </c>
      <c r="AD10" s="150">
        <f t="shared" si="13"/>
        <v>24</v>
      </c>
      <c r="AE10" s="150">
        <f t="shared" si="14"/>
        <v>192</v>
      </c>
      <c r="AF10" s="150">
        <v>0</v>
      </c>
      <c r="AG10" s="150">
        <f t="shared" si="15"/>
        <v>20</v>
      </c>
      <c r="AH10" s="150">
        <f t="shared" si="16"/>
        <v>160</v>
      </c>
      <c r="AI10" s="150">
        <f t="shared" si="17"/>
        <v>352</v>
      </c>
      <c r="AJ10" s="150">
        <f t="shared" si="18"/>
        <v>256</v>
      </c>
      <c r="AK10" s="150">
        <f t="shared" si="19"/>
        <v>216</v>
      </c>
      <c r="AL10" s="191">
        <f t="shared" si="20"/>
        <v>472</v>
      </c>
      <c r="AM10" s="150">
        <v>7</v>
      </c>
      <c r="AN10" s="193">
        <v>3</v>
      </c>
      <c r="AO10" s="193">
        <f t="shared" si="21"/>
        <v>21</v>
      </c>
      <c r="AP10" s="150">
        <v>7</v>
      </c>
      <c r="AQ10" s="193">
        <v>3</v>
      </c>
      <c r="AR10" s="193">
        <f t="shared" si="22"/>
        <v>21</v>
      </c>
      <c r="AS10" s="193">
        <f t="shared" si="23"/>
        <v>42</v>
      </c>
      <c r="AT10" s="150">
        <v>19</v>
      </c>
      <c r="AU10" s="193">
        <v>3</v>
      </c>
      <c r="AV10" s="193">
        <f t="shared" si="24"/>
        <v>57</v>
      </c>
      <c r="AW10" s="150">
        <v>10</v>
      </c>
      <c r="AX10" s="193">
        <v>3</v>
      </c>
      <c r="AY10" s="193">
        <f t="shared" si="25"/>
        <v>30</v>
      </c>
      <c r="AZ10" s="193">
        <f t="shared" si="26"/>
        <v>87</v>
      </c>
      <c r="BA10" s="193">
        <f t="shared" si="27"/>
        <v>78</v>
      </c>
      <c r="BB10" s="193">
        <f t="shared" si="28"/>
        <v>51</v>
      </c>
      <c r="BC10" s="194">
        <f t="shared" si="29"/>
        <v>129</v>
      </c>
      <c r="BD10" s="195">
        <f t="shared" si="30"/>
        <v>334</v>
      </c>
      <c r="BE10" s="195">
        <f t="shared" si="31"/>
        <v>267</v>
      </c>
      <c r="BF10" s="196">
        <f t="shared" si="32"/>
        <v>601</v>
      </c>
      <c r="BG10" s="147">
        <v>0</v>
      </c>
      <c r="BH10" s="202">
        <v>38656</v>
      </c>
      <c r="BI10" s="202">
        <v>93</v>
      </c>
      <c r="BJ10" s="150">
        <f t="shared" si="33"/>
        <v>38749</v>
      </c>
      <c r="BK10" s="147">
        <v>189</v>
      </c>
      <c r="BL10" s="147">
        <v>3956</v>
      </c>
      <c r="BM10" s="147">
        <v>3</v>
      </c>
      <c r="BN10" s="147">
        <f t="shared" si="34"/>
        <v>4148</v>
      </c>
      <c r="BO10" s="147">
        <v>447</v>
      </c>
      <c r="BP10" s="147">
        <v>672</v>
      </c>
      <c r="BQ10" s="147">
        <v>2</v>
      </c>
      <c r="BR10" s="147">
        <f t="shared" si="35"/>
        <v>1121</v>
      </c>
      <c r="BS10" s="150">
        <f t="shared" si="36"/>
        <v>5269</v>
      </c>
      <c r="BT10" s="147">
        <v>2</v>
      </c>
      <c r="BU10" s="150">
        <f t="shared" si="37"/>
        <v>39387</v>
      </c>
    </row>
    <row r="11" spans="1:73" ht="15.75" customHeight="1">
      <c r="A11" s="203">
        <v>45997</v>
      </c>
      <c r="B11" s="204" t="s">
        <v>39</v>
      </c>
      <c r="C11" s="150">
        <v>7</v>
      </c>
      <c r="D11" s="150">
        <v>5</v>
      </c>
      <c r="E11" s="187">
        <f t="shared" si="0"/>
        <v>12</v>
      </c>
      <c r="F11" s="150">
        <v>3</v>
      </c>
      <c r="G11" s="150">
        <v>19</v>
      </c>
      <c r="H11" s="150">
        <v>0</v>
      </c>
      <c r="I11" s="150">
        <f t="shared" si="1"/>
        <v>22</v>
      </c>
      <c r="J11" s="150">
        <v>3</v>
      </c>
      <c r="K11" s="150">
        <v>19</v>
      </c>
      <c r="L11" s="150">
        <v>0</v>
      </c>
      <c r="M11" s="150">
        <f t="shared" si="2"/>
        <v>22</v>
      </c>
      <c r="N11" s="188">
        <f t="shared" ref="N11:P11" si="42">F11+J11</f>
        <v>6</v>
      </c>
      <c r="O11" s="189">
        <f t="shared" si="42"/>
        <v>38</v>
      </c>
      <c r="P11" s="150">
        <f t="shared" si="42"/>
        <v>0</v>
      </c>
      <c r="Q11" s="190">
        <f t="shared" si="4"/>
        <v>44</v>
      </c>
      <c r="R11" s="150">
        <f t="shared" si="5"/>
        <v>29</v>
      </c>
      <c r="S11" s="150">
        <f t="shared" si="6"/>
        <v>27</v>
      </c>
      <c r="T11" s="191">
        <f t="shared" si="7"/>
        <v>56</v>
      </c>
      <c r="U11" s="192"/>
      <c r="V11" s="150">
        <v>0</v>
      </c>
      <c r="W11" s="150">
        <f t="shared" si="8"/>
        <v>7</v>
      </c>
      <c r="X11" s="150">
        <f t="shared" si="9"/>
        <v>56</v>
      </c>
      <c r="Y11" s="150">
        <v>0</v>
      </c>
      <c r="Z11" s="150">
        <f t="shared" si="10"/>
        <v>5</v>
      </c>
      <c r="AA11" s="150">
        <f t="shared" si="11"/>
        <v>40</v>
      </c>
      <c r="AB11" s="150">
        <f t="shared" si="12"/>
        <v>96</v>
      </c>
      <c r="AC11" s="150">
        <v>0</v>
      </c>
      <c r="AD11" s="150">
        <f t="shared" si="13"/>
        <v>22</v>
      </c>
      <c r="AE11" s="150">
        <f t="shared" si="14"/>
        <v>176</v>
      </c>
      <c r="AF11" s="150">
        <v>0</v>
      </c>
      <c r="AG11" s="150">
        <f t="shared" si="15"/>
        <v>22</v>
      </c>
      <c r="AH11" s="150">
        <f t="shared" si="16"/>
        <v>176</v>
      </c>
      <c r="AI11" s="150">
        <f t="shared" si="17"/>
        <v>352</v>
      </c>
      <c r="AJ11" s="150">
        <f t="shared" si="18"/>
        <v>232</v>
      </c>
      <c r="AK11" s="150">
        <f t="shared" si="19"/>
        <v>216</v>
      </c>
      <c r="AL11" s="191">
        <f t="shared" si="20"/>
        <v>448</v>
      </c>
      <c r="AM11" s="150">
        <v>0</v>
      </c>
      <c r="AN11" s="193">
        <v>0</v>
      </c>
      <c r="AO11" s="193">
        <f t="shared" si="21"/>
        <v>0</v>
      </c>
      <c r="AP11" s="150">
        <v>0</v>
      </c>
      <c r="AQ11" s="193">
        <v>0</v>
      </c>
      <c r="AR11" s="193">
        <f t="shared" si="22"/>
        <v>0</v>
      </c>
      <c r="AS11" s="193">
        <f t="shared" si="23"/>
        <v>0</v>
      </c>
      <c r="AT11" s="150">
        <v>0</v>
      </c>
      <c r="AU11" s="193">
        <v>0</v>
      </c>
      <c r="AV11" s="193">
        <f t="shared" si="24"/>
        <v>0</v>
      </c>
      <c r="AW11" s="150">
        <v>0</v>
      </c>
      <c r="AX11" s="193">
        <v>0</v>
      </c>
      <c r="AY11" s="193">
        <f t="shared" si="25"/>
        <v>0</v>
      </c>
      <c r="AZ11" s="193">
        <f t="shared" si="26"/>
        <v>0</v>
      </c>
      <c r="BA11" s="193">
        <f t="shared" si="27"/>
        <v>0</v>
      </c>
      <c r="BB11" s="193">
        <f t="shared" si="28"/>
        <v>0</v>
      </c>
      <c r="BC11" s="194">
        <f t="shared" si="29"/>
        <v>0</v>
      </c>
      <c r="BD11" s="195">
        <f t="shared" si="30"/>
        <v>232</v>
      </c>
      <c r="BE11" s="195">
        <f t="shared" si="31"/>
        <v>216</v>
      </c>
      <c r="BF11" s="196">
        <f t="shared" si="32"/>
        <v>448</v>
      </c>
      <c r="BG11" s="147">
        <v>0</v>
      </c>
      <c r="BH11" s="202">
        <v>23960</v>
      </c>
      <c r="BI11" s="202">
        <v>44</v>
      </c>
      <c r="BJ11" s="150">
        <f t="shared" si="33"/>
        <v>24004</v>
      </c>
      <c r="BK11" s="147">
        <v>0</v>
      </c>
      <c r="BL11" s="147">
        <v>5223</v>
      </c>
      <c r="BM11" s="147">
        <v>10</v>
      </c>
      <c r="BN11" s="147">
        <f t="shared" si="34"/>
        <v>5233</v>
      </c>
      <c r="BO11" s="147">
        <v>0</v>
      </c>
      <c r="BP11" s="147">
        <v>0</v>
      </c>
      <c r="BQ11" s="147">
        <v>0</v>
      </c>
      <c r="BR11" s="147">
        <f t="shared" si="35"/>
        <v>0</v>
      </c>
      <c r="BS11" s="150">
        <f t="shared" si="36"/>
        <v>5233</v>
      </c>
      <c r="BT11" s="147">
        <v>0</v>
      </c>
      <c r="BU11" s="150">
        <f t="shared" si="37"/>
        <v>24004</v>
      </c>
    </row>
    <row r="12" spans="1:73" ht="15.75" customHeight="1">
      <c r="A12" s="203">
        <v>45998</v>
      </c>
      <c r="B12" s="204" t="s">
        <v>37</v>
      </c>
      <c r="C12" s="150">
        <v>4</v>
      </c>
      <c r="D12" s="150">
        <v>4</v>
      </c>
      <c r="E12" s="187">
        <f t="shared" si="0"/>
        <v>8</v>
      </c>
      <c r="F12" s="150">
        <v>3</v>
      </c>
      <c r="G12" s="150">
        <v>2</v>
      </c>
      <c r="H12" s="150">
        <v>0</v>
      </c>
      <c r="I12" s="150">
        <f t="shared" si="1"/>
        <v>5</v>
      </c>
      <c r="J12" s="150">
        <v>2</v>
      </c>
      <c r="K12" s="150">
        <v>2</v>
      </c>
      <c r="L12" s="150">
        <v>0</v>
      </c>
      <c r="M12" s="150">
        <f t="shared" si="2"/>
        <v>4</v>
      </c>
      <c r="N12" s="188">
        <f t="shared" ref="N12:P12" si="43">F12+J12</f>
        <v>5</v>
      </c>
      <c r="O12" s="189">
        <f t="shared" si="43"/>
        <v>4</v>
      </c>
      <c r="P12" s="150">
        <f t="shared" si="43"/>
        <v>0</v>
      </c>
      <c r="Q12" s="190">
        <f t="shared" si="4"/>
        <v>9</v>
      </c>
      <c r="R12" s="150">
        <f t="shared" si="5"/>
        <v>9</v>
      </c>
      <c r="S12" s="150">
        <f t="shared" si="6"/>
        <v>8</v>
      </c>
      <c r="T12" s="191">
        <f t="shared" si="7"/>
        <v>17</v>
      </c>
      <c r="U12" s="192"/>
      <c r="V12" s="150">
        <v>0</v>
      </c>
      <c r="W12" s="150">
        <f t="shared" si="8"/>
        <v>4</v>
      </c>
      <c r="X12" s="150">
        <f t="shared" si="9"/>
        <v>32</v>
      </c>
      <c r="Y12" s="150">
        <v>0</v>
      </c>
      <c r="Z12" s="150">
        <f t="shared" si="10"/>
        <v>4</v>
      </c>
      <c r="AA12" s="150">
        <f t="shared" si="11"/>
        <v>32</v>
      </c>
      <c r="AB12" s="150">
        <f t="shared" si="12"/>
        <v>64</v>
      </c>
      <c r="AC12" s="150">
        <v>0</v>
      </c>
      <c r="AD12" s="150">
        <f t="shared" si="13"/>
        <v>5</v>
      </c>
      <c r="AE12" s="150">
        <f t="shared" si="14"/>
        <v>40</v>
      </c>
      <c r="AF12" s="150">
        <v>0</v>
      </c>
      <c r="AG12" s="150">
        <f t="shared" si="15"/>
        <v>4</v>
      </c>
      <c r="AH12" s="150">
        <f t="shared" si="16"/>
        <v>32</v>
      </c>
      <c r="AI12" s="150">
        <f t="shared" si="17"/>
        <v>72</v>
      </c>
      <c r="AJ12" s="150">
        <f t="shared" si="18"/>
        <v>72</v>
      </c>
      <c r="AK12" s="150">
        <f t="shared" si="19"/>
        <v>64</v>
      </c>
      <c r="AL12" s="191">
        <f t="shared" si="20"/>
        <v>136</v>
      </c>
      <c r="AM12" s="150">
        <v>4</v>
      </c>
      <c r="AN12" s="193">
        <v>2</v>
      </c>
      <c r="AO12" s="193">
        <f t="shared" si="21"/>
        <v>8</v>
      </c>
      <c r="AP12" s="150">
        <v>4</v>
      </c>
      <c r="AQ12" s="193">
        <v>2</v>
      </c>
      <c r="AR12" s="193">
        <f t="shared" si="22"/>
        <v>8</v>
      </c>
      <c r="AS12" s="193">
        <f t="shared" si="23"/>
        <v>16</v>
      </c>
      <c r="AT12" s="150">
        <v>3</v>
      </c>
      <c r="AU12" s="193">
        <v>2</v>
      </c>
      <c r="AV12" s="193">
        <f t="shared" si="24"/>
        <v>6</v>
      </c>
      <c r="AW12" s="150">
        <v>2</v>
      </c>
      <c r="AX12" s="193">
        <v>2</v>
      </c>
      <c r="AY12" s="193">
        <f t="shared" si="25"/>
        <v>4</v>
      </c>
      <c r="AZ12" s="193">
        <f t="shared" si="26"/>
        <v>10</v>
      </c>
      <c r="BA12" s="193">
        <f t="shared" si="27"/>
        <v>14</v>
      </c>
      <c r="BB12" s="193">
        <f t="shared" si="28"/>
        <v>12</v>
      </c>
      <c r="BC12" s="194">
        <f t="shared" si="29"/>
        <v>26</v>
      </c>
      <c r="BD12" s="195">
        <f t="shared" si="30"/>
        <v>86</v>
      </c>
      <c r="BE12" s="195">
        <f t="shared" si="31"/>
        <v>76</v>
      </c>
      <c r="BF12" s="196">
        <f t="shared" si="32"/>
        <v>162</v>
      </c>
      <c r="BG12" s="147">
        <v>0</v>
      </c>
      <c r="BH12" s="202">
        <v>13976</v>
      </c>
      <c r="BI12" s="202">
        <v>19</v>
      </c>
      <c r="BJ12" s="150">
        <f t="shared" si="33"/>
        <v>13995</v>
      </c>
      <c r="BK12" s="147">
        <v>0</v>
      </c>
      <c r="BL12" s="147">
        <v>1301</v>
      </c>
      <c r="BM12" s="147">
        <v>13</v>
      </c>
      <c r="BN12" s="147">
        <f t="shared" si="34"/>
        <v>1314</v>
      </c>
      <c r="BO12" s="147">
        <v>0</v>
      </c>
      <c r="BP12" s="147">
        <v>0</v>
      </c>
      <c r="BQ12" s="147">
        <v>0</v>
      </c>
      <c r="BR12" s="147">
        <f t="shared" si="35"/>
        <v>0</v>
      </c>
      <c r="BS12" s="150">
        <f t="shared" si="36"/>
        <v>1314</v>
      </c>
      <c r="BT12" s="147">
        <v>0</v>
      </c>
      <c r="BU12" s="150">
        <f t="shared" si="37"/>
        <v>13995</v>
      </c>
    </row>
    <row r="13" spans="1:73" ht="15.75" customHeight="1">
      <c r="A13" s="205">
        <v>45999</v>
      </c>
      <c r="B13" s="186" t="s">
        <v>44</v>
      </c>
      <c r="C13" s="150">
        <v>6</v>
      </c>
      <c r="D13" s="150">
        <v>7</v>
      </c>
      <c r="E13" s="187">
        <f t="shared" si="0"/>
        <v>13</v>
      </c>
      <c r="F13" s="150">
        <v>3</v>
      </c>
      <c r="G13" s="150">
        <v>1</v>
      </c>
      <c r="H13" s="150">
        <v>0</v>
      </c>
      <c r="I13" s="150">
        <f t="shared" si="1"/>
        <v>4</v>
      </c>
      <c r="J13" s="150">
        <v>4</v>
      </c>
      <c r="K13" s="150">
        <v>5</v>
      </c>
      <c r="L13" s="150">
        <v>0</v>
      </c>
      <c r="M13" s="150">
        <f t="shared" si="2"/>
        <v>9</v>
      </c>
      <c r="N13" s="188">
        <f t="shared" ref="N13:P13" si="44">F13+J13</f>
        <v>7</v>
      </c>
      <c r="O13" s="189">
        <f t="shared" si="44"/>
        <v>6</v>
      </c>
      <c r="P13" s="150">
        <f t="shared" si="44"/>
        <v>0</v>
      </c>
      <c r="Q13" s="190">
        <f t="shared" si="4"/>
        <v>13</v>
      </c>
      <c r="R13" s="150">
        <f t="shared" si="5"/>
        <v>10</v>
      </c>
      <c r="S13" s="150">
        <f t="shared" si="6"/>
        <v>16</v>
      </c>
      <c r="T13" s="191">
        <f t="shared" si="7"/>
        <v>26</v>
      </c>
      <c r="U13" s="192"/>
      <c r="V13" s="150">
        <v>0</v>
      </c>
      <c r="W13" s="150">
        <f t="shared" si="8"/>
        <v>6</v>
      </c>
      <c r="X13" s="150">
        <f t="shared" si="9"/>
        <v>48</v>
      </c>
      <c r="Y13" s="150">
        <v>0</v>
      </c>
      <c r="Z13" s="150">
        <f t="shared" si="10"/>
        <v>7</v>
      </c>
      <c r="AA13" s="150">
        <f t="shared" si="11"/>
        <v>56</v>
      </c>
      <c r="AB13" s="150">
        <f t="shared" si="12"/>
        <v>104</v>
      </c>
      <c r="AC13" s="150">
        <v>0</v>
      </c>
      <c r="AD13" s="150">
        <f t="shared" si="13"/>
        <v>4</v>
      </c>
      <c r="AE13" s="150">
        <f t="shared" si="14"/>
        <v>32</v>
      </c>
      <c r="AF13" s="150">
        <v>0</v>
      </c>
      <c r="AG13" s="150">
        <f t="shared" si="15"/>
        <v>9</v>
      </c>
      <c r="AH13" s="150">
        <f t="shared" si="16"/>
        <v>72</v>
      </c>
      <c r="AI13" s="150">
        <f t="shared" si="17"/>
        <v>104</v>
      </c>
      <c r="AJ13" s="150">
        <f t="shared" si="18"/>
        <v>80</v>
      </c>
      <c r="AK13" s="150">
        <f t="shared" si="19"/>
        <v>128</v>
      </c>
      <c r="AL13" s="191">
        <f t="shared" si="20"/>
        <v>208</v>
      </c>
      <c r="AM13" s="150">
        <v>5</v>
      </c>
      <c r="AN13" s="193">
        <v>2</v>
      </c>
      <c r="AO13" s="193">
        <f t="shared" si="21"/>
        <v>10</v>
      </c>
      <c r="AP13" s="150">
        <v>6</v>
      </c>
      <c r="AQ13" s="193">
        <v>2</v>
      </c>
      <c r="AR13" s="193">
        <f t="shared" si="22"/>
        <v>12</v>
      </c>
      <c r="AS13" s="193">
        <f t="shared" si="23"/>
        <v>22</v>
      </c>
      <c r="AT13" s="150">
        <v>4</v>
      </c>
      <c r="AU13" s="193">
        <v>2</v>
      </c>
      <c r="AV13" s="193">
        <f t="shared" si="24"/>
        <v>8</v>
      </c>
      <c r="AW13" s="150">
        <v>9</v>
      </c>
      <c r="AX13" s="193">
        <v>2</v>
      </c>
      <c r="AY13" s="193">
        <f t="shared" si="25"/>
        <v>18</v>
      </c>
      <c r="AZ13" s="193">
        <f t="shared" si="26"/>
        <v>26</v>
      </c>
      <c r="BA13" s="193">
        <f t="shared" si="27"/>
        <v>18</v>
      </c>
      <c r="BB13" s="193">
        <f t="shared" si="28"/>
        <v>30</v>
      </c>
      <c r="BC13" s="194">
        <f t="shared" si="29"/>
        <v>48</v>
      </c>
      <c r="BD13" s="195">
        <f t="shared" si="30"/>
        <v>98</v>
      </c>
      <c r="BE13" s="195">
        <f t="shared" si="31"/>
        <v>158</v>
      </c>
      <c r="BF13" s="196">
        <f t="shared" si="32"/>
        <v>256</v>
      </c>
      <c r="BG13" s="147">
        <v>0</v>
      </c>
      <c r="BH13" s="147">
        <v>10917</v>
      </c>
      <c r="BI13" s="147">
        <v>21</v>
      </c>
      <c r="BJ13" s="150">
        <f t="shared" si="33"/>
        <v>10938</v>
      </c>
      <c r="BK13" s="147">
        <v>462</v>
      </c>
      <c r="BL13" s="147">
        <v>928</v>
      </c>
      <c r="BM13" s="147">
        <v>9</v>
      </c>
      <c r="BN13" s="147">
        <f t="shared" si="34"/>
        <v>1399</v>
      </c>
      <c r="BO13" s="147">
        <v>1716</v>
      </c>
      <c r="BP13" s="147">
        <v>0</v>
      </c>
      <c r="BQ13" s="147">
        <v>21</v>
      </c>
      <c r="BR13" s="147">
        <f t="shared" si="35"/>
        <v>1737</v>
      </c>
      <c r="BS13" s="150">
        <f t="shared" si="36"/>
        <v>3136</v>
      </c>
      <c r="BT13" s="147">
        <v>5</v>
      </c>
      <c r="BU13" s="150">
        <f t="shared" si="37"/>
        <v>13137</v>
      </c>
    </row>
    <row r="14" spans="1:73" ht="15.75" customHeight="1">
      <c r="A14" s="205">
        <v>46000</v>
      </c>
      <c r="B14" s="186" t="s">
        <v>38</v>
      </c>
      <c r="C14" s="150">
        <v>5</v>
      </c>
      <c r="D14" s="150">
        <v>6</v>
      </c>
      <c r="E14" s="187">
        <f t="shared" si="0"/>
        <v>11</v>
      </c>
      <c r="F14" s="150">
        <v>3</v>
      </c>
      <c r="G14" s="150">
        <v>15</v>
      </c>
      <c r="H14" s="150">
        <v>0</v>
      </c>
      <c r="I14" s="150">
        <f t="shared" si="1"/>
        <v>18</v>
      </c>
      <c r="J14" s="150">
        <v>5</v>
      </c>
      <c r="K14" s="150">
        <v>12</v>
      </c>
      <c r="L14" s="150">
        <v>0</v>
      </c>
      <c r="M14" s="150">
        <f t="shared" si="2"/>
        <v>17</v>
      </c>
      <c r="N14" s="188">
        <f t="shared" ref="N14:P14" si="45">F14+J14</f>
        <v>8</v>
      </c>
      <c r="O14" s="189">
        <f t="shared" si="45"/>
        <v>27</v>
      </c>
      <c r="P14" s="150">
        <f t="shared" si="45"/>
        <v>0</v>
      </c>
      <c r="Q14" s="190">
        <f t="shared" si="4"/>
        <v>35</v>
      </c>
      <c r="R14" s="150">
        <f t="shared" si="5"/>
        <v>23</v>
      </c>
      <c r="S14" s="150">
        <f t="shared" si="6"/>
        <v>23</v>
      </c>
      <c r="T14" s="191">
        <f t="shared" si="7"/>
        <v>46</v>
      </c>
      <c r="U14" s="192" t="s">
        <v>221</v>
      </c>
      <c r="V14" s="150">
        <v>0</v>
      </c>
      <c r="W14" s="150">
        <f t="shared" si="8"/>
        <v>5</v>
      </c>
      <c r="X14" s="150">
        <f t="shared" si="9"/>
        <v>40</v>
      </c>
      <c r="Y14" s="150">
        <v>0</v>
      </c>
      <c r="Z14" s="150">
        <f t="shared" si="10"/>
        <v>6</v>
      </c>
      <c r="AA14" s="150">
        <f t="shared" si="11"/>
        <v>48</v>
      </c>
      <c r="AB14" s="150">
        <f t="shared" si="12"/>
        <v>88</v>
      </c>
      <c r="AC14" s="150">
        <v>0</v>
      </c>
      <c r="AD14" s="150">
        <f t="shared" si="13"/>
        <v>18</v>
      </c>
      <c r="AE14" s="150">
        <f t="shared" si="14"/>
        <v>144</v>
      </c>
      <c r="AF14" s="150">
        <v>0</v>
      </c>
      <c r="AG14" s="150">
        <f t="shared" si="15"/>
        <v>17</v>
      </c>
      <c r="AH14" s="150">
        <f t="shared" si="16"/>
        <v>136</v>
      </c>
      <c r="AI14" s="150">
        <f t="shared" si="17"/>
        <v>280</v>
      </c>
      <c r="AJ14" s="150">
        <f t="shared" si="18"/>
        <v>184</v>
      </c>
      <c r="AK14" s="150">
        <f t="shared" si="19"/>
        <v>184</v>
      </c>
      <c r="AL14" s="191">
        <f t="shared" si="20"/>
        <v>368</v>
      </c>
      <c r="AM14" s="150">
        <v>3</v>
      </c>
      <c r="AN14" s="193">
        <v>1.5</v>
      </c>
      <c r="AO14" s="193">
        <f t="shared" si="21"/>
        <v>4.5</v>
      </c>
      <c r="AP14" s="150">
        <v>5</v>
      </c>
      <c r="AQ14" s="193">
        <v>1.5</v>
      </c>
      <c r="AR14" s="193">
        <f t="shared" si="22"/>
        <v>7.5</v>
      </c>
      <c r="AS14" s="193">
        <f t="shared" si="23"/>
        <v>12</v>
      </c>
      <c r="AT14" s="150">
        <v>3</v>
      </c>
      <c r="AU14" s="193">
        <v>1.5</v>
      </c>
      <c r="AV14" s="193">
        <f t="shared" si="24"/>
        <v>4.5</v>
      </c>
      <c r="AW14" s="150">
        <v>3</v>
      </c>
      <c r="AX14" s="193">
        <v>1.5</v>
      </c>
      <c r="AY14" s="193">
        <f t="shared" si="25"/>
        <v>4.5</v>
      </c>
      <c r="AZ14" s="193">
        <f t="shared" si="26"/>
        <v>9</v>
      </c>
      <c r="BA14" s="193">
        <f t="shared" si="27"/>
        <v>9</v>
      </c>
      <c r="BB14" s="193">
        <f t="shared" si="28"/>
        <v>12</v>
      </c>
      <c r="BC14" s="194">
        <f t="shared" si="29"/>
        <v>21</v>
      </c>
      <c r="BD14" s="195">
        <f t="shared" si="30"/>
        <v>193</v>
      </c>
      <c r="BE14" s="195">
        <f t="shared" si="31"/>
        <v>196</v>
      </c>
      <c r="BF14" s="196">
        <f t="shared" si="32"/>
        <v>389</v>
      </c>
      <c r="BG14" s="147">
        <v>0</v>
      </c>
      <c r="BH14" s="147">
        <v>12360</v>
      </c>
      <c r="BI14" s="147">
        <v>64</v>
      </c>
      <c r="BJ14" s="150">
        <f t="shared" si="33"/>
        <v>12424</v>
      </c>
      <c r="BK14" s="147">
        <v>187</v>
      </c>
      <c r="BL14" s="147">
        <v>2638</v>
      </c>
      <c r="BM14" s="147">
        <v>21</v>
      </c>
      <c r="BN14" s="147">
        <f t="shared" si="34"/>
        <v>2846</v>
      </c>
      <c r="BO14" s="147">
        <v>620</v>
      </c>
      <c r="BP14" s="147">
        <v>1256</v>
      </c>
      <c r="BQ14" s="147">
        <v>7</v>
      </c>
      <c r="BR14" s="147">
        <f t="shared" si="35"/>
        <v>1883</v>
      </c>
      <c r="BS14" s="150">
        <f t="shared" si="36"/>
        <v>4729</v>
      </c>
      <c r="BT14" s="147">
        <v>5</v>
      </c>
      <c r="BU14" s="150">
        <f t="shared" si="37"/>
        <v>13238</v>
      </c>
    </row>
    <row r="15" spans="1:73" ht="15.75" customHeight="1">
      <c r="A15" s="206">
        <v>46001</v>
      </c>
      <c r="B15" s="186" t="s">
        <v>45</v>
      </c>
      <c r="C15" s="150">
        <v>6</v>
      </c>
      <c r="D15" s="150">
        <v>6</v>
      </c>
      <c r="E15" s="187">
        <f t="shared" si="0"/>
        <v>12</v>
      </c>
      <c r="F15" s="150">
        <v>3</v>
      </c>
      <c r="G15" s="150">
        <v>5</v>
      </c>
      <c r="H15" s="150">
        <v>0</v>
      </c>
      <c r="I15" s="150">
        <f t="shared" si="1"/>
        <v>8</v>
      </c>
      <c r="J15" s="150">
        <v>5</v>
      </c>
      <c r="K15" s="150">
        <v>4</v>
      </c>
      <c r="L15" s="150">
        <v>0</v>
      </c>
      <c r="M15" s="150">
        <f t="shared" si="2"/>
        <v>9</v>
      </c>
      <c r="N15" s="188">
        <f t="shared" ref="N15:P15" si="46">F15+J15</f>
        <v>8</v>
      </c>
      <c r="O15" s="189">
        <f t="shared" si="46"/>
        <v>9</v>
      </c>
      <c r="P15" s="150">
        <f t="shared" si="46"/>
        <v>0</v>
      </c>
      <c r="Q15" s="190">
        <f t="shared" si="4"/>
        <v>17</v>
      </c>
      <c r="R15" s="150">
        <f t="shared" si="5"/>
        <v>14</v>
      </c>
      <c r="S15" s="150">
        <f t="shared" si="6"/>
        <v>15</v>
      </c>
      <c r="T15" s="191">
        <f t="shared" si="7"/>
        <v>29</v>
      </c>
      <c r="U15" s="192"/>
      <c r="V15" s="150">
        <v>0</v>
      </c>
      <c r="W15" s="150">
        <f t="shared" si="8"/>
        <v>6</v>
      </c>
      <c r="X15" s="150">
        <f t="shared" si="9"/>
        <v>48</v>
      </c>
      <c r="Y15" s="150">
        <v>0</v>
      </c>
      <c r="Z15" s="150">
        <f t="shared" si="10"/>
        <v>6</v>
      </c>
      <c r="AA15" s="150">
        <f t="shared" si="11"/>
        <v>48</v>
      </c>
      <c r="AB15" s="150">
        <f t="shared" si="12"/>
        <v>96</v>
      </c>
      <c r="AC15" s="150">
        <v>0</v>
      </c>
      <c r="AD15" s="150">
        <f t="shared" si="13"/>
        <v>8</v>
      </c>
      <c r="AE15" s="150">
        <f t="shared" si="14"/>
        <v>64</v>
      </c>
      <c r="AF15" s="150">
        <v>0</v>
      </c>
      <c r="AG15" s="150">
        <f t="shared" si="15"/>
        <v>9</v>
      </c>
      <c r="AH15" s="150">
        <f t="shared" si="16"/>
        <v>72</v>
      </c>
      <c r="AI15" s="150">
        <f t="shared" si="17"/>
        <v>136</v>
      </c>
      <c r="AJ15" s="150">
        <f t="shared" si="18"/>
        <v>112</v>
      </c>
      <c r="AK15" s="150">
        <f t="shared" si="19"/>
        <v>120</v>
      </c>
      <c r="AL15" s="191">
        <f t="shared" si="20"/>
        <v>232</v>
      </c>
      <c r="AM15" s="150">
        <v>0</v>
      </c>
      <c r="AN15" s="193">
        <v>0</v>
      </c>
      <c r="AO15" s="193">
        <f t="shared" si="21"/>
        <v>0</v>
      </c>
      <c r="AP15" s="150">
        <v>0</v>
      </c>
      <c r="AQ15" s="193">
        <v>0</v>
      </c>
      <c r="AR15" s="193">
        <f t="shared" si="22"/>
        <v>0</v>
      </c>
      <c r="AS15" s="193">
        <f t="shared" si="23"/>
        <v>0</v>
      </c>
      <c r="AT15" s="150">
        <v>0</v>
      </c>
      <c r="AU15" s="193">
        <v>0</v>
      </c>
      <c r="AV15" s="193">
        <f t="shared" si="24"/>
        <v>0</v>
      </c>
      <c r="AW15" s="150">
        <v>0</v>
      </c>
      <c r="AX15" s="193">
        <v>0</v>
      </c>
      <c r="AY15" s="193">
        <f t="shared" si="25"/>
        <v>0</v>
      </c>
      <c r="AZ15" s="193">
        <f t="shared" si="26"/>
        <v>0</v>
      </c>
      <c r="BA15" s="193">
        <f t="shared" si="27"/>
        <v>0</v>
      </c>
      <c r="BB15" s="193">
        <f t="shared" si="28"/>
        <v>0</v>
      </c>
      <c r="BC15" s="194">
        <f t="shared" si="29"/>
        <v>0</v>
      </c>
      <c r="BD15" s="195">
        <f t="shared" si="30"/>
        <v>112</v>
      </c>
      <c r="BE15" s="195">
        <f t="shared" si="31"/>
        <v>120</v>
      </c>
      <c r="BF15" s="196">
        <f t="shared" si="32"/>
        <v>232</v>
      </c>
      <c r="BG15" s="147">
        <v>0</v>
      </c>
      <c r="BH15" s="147">
        <v>7239</v>
      </c>
      <c r="BI15" s="147">
        <v>43</v>
      </c>
      <c r="BJ15" s="150">
        <f t="shared" si="33"/>
        <v>7282</v>
      </c>
      <c r="BK15" s="147">
        <v>171</v>
      </c>
      <c r="BL15" s="147">
        <v>762</v>
      </c>
      <c r="BM15" s="147">
        <v>25</v>
      </c>
      <c r="BN15" s="147">
        <f t="shared" si="34"/>
        <v>958</v>
      </c>
      <c r="BO15" s="147">
        <v>550</v>
      </c>
      <c r="BP15" s="147">
        <v>318</v>
      </c>
      <c r="BQ15" s="147">
        <v>6</v>
      </c>
      <c r="BR15" s="147">
        <f t="shared" si="35"/>
        <v>874</v>
      </c>
      <c r="BS15" s="150">
        <f t="shared" si="36"/>
        <v>1832</v>
      </c>
      <c r="BT15" s="147">
        <v>2</v>
      </c>
      <c r="BU15" s="150">
        <f t="shared" si="37"/>
        <v>8009</v>
      </c>
    </row>
    <row r="16" spans="1:73" ht="15.75" customHeight="1">
      <c r="A16" s="206">
        <v>46002</v>
      </c>
      <c r="B16" s="186" t="s">
        <v>32</v>
      </c>
      <c r="C16" s="150">
        <v>6</v>
      </c>
      <c r="D16" s="150">
        <v>6</v>
      </c>
      <c r="E16" s="187">
        <f t="shared" si="0"/>
        <v>12</v>
      </c>
      <c r="F16" s="150">
        <v>3</v>
      </c>
      <c r="G16" s="150">
        <v>2</v>
      </c>
      <c r="H16" s="150">
        <v>0</v>
      </c>
      <c r="I16" s="150">
        <f t="shared" si="1"/>
        <v>5</v>
      </c>
      <c r="J16" s="150">
        <v>5</v>
      </c>
      <c r="K16" s="150">
        <v>5</v>
      </c>
      <c r="L16" s="150">
        <v>0</v>
      </c>
      <c r="M16" s="150">
        <f t="shared" si="2"/>
        <v>10</v>
      </c>
      <c r="N16" s="188">
        <f t="shared" ref="N16:P16" si="47">F16+J16</f>
        <v>8</v>
      </c>
      <c r="O16" s="189">
        <f t="shared" si="47"/>
        <v>7</v>
      </c>
      <c r="P16" s="150">
        <f t="shared" si="47"/>
        <v>0</v>
      </c>
      <c r="Q16" s="190">
        <f t="shared" si="4"/>
        <v>15</v>
      </c>
      <c r="R16" s="150">
        <f t="shared" si="5"/>
        <v>11</v>
      </c>
      <c r="S16" s="150">
        <f t="shared" si="6"/>
        <v>16</v>
      </c>
      <c r="T16" s="191">
        <f t="shared" si="7"/>
        <v>27</v>
      </c>
      <c r="U16" s="192"/>
      <c r="V16" s="150">
        <v>0</v>
      </c>
      <c r="W16" s="150">
        <f t="shared" si="8"/>
        <v>6</v>
      </c>
      <c r="X16" s="150">
        <f t="shared" si="9"/>
        <v>48</v>
      </c>
      <c r="Y16" s="150">
        <v>0</v>
      </c>
      <c r="Z16" s="150">
        <f t="shared" si="10"/>
        <v>6</v>
      </c>
      <c r="AA16" s="150">
        <f t="shared" si="11"/>
        <v>48</v>
      </c>
      <c r="AB16" s="150">
        <f t="shared" si="12"/>
        <v>96</v>
      </c>
      <c r="AC16" s="150">
        <v>0</v>
      </c>
      <c r="AD16" s="150">
        <f t="shared" si="13"/>
        <v>5</v>
      </c>
      <c r="AE16" s="150">
        <f t="shared" si="14"/>
        <v>40</v>
      </c>
      <c r="AF16" s="150">
        <v>0</v>
      </c>
      <c r="AG16" s="150">
        <f t="shared" si="15"/>
        <v>10</v>
      </c>
      <c r="AH16" s="150">
        <f t="shared" si="16"/>
        <v>80</v>
      </c>
      <c r="AI16" s="150">
        <f t="shared" si="17"/>
        <v>120</v>
      </c>
      <c r="AJ16" s="150">
        <f t="shared" si="18"/>
        <v>88</v>
      </c>
      <c r="AK16" s="150">
        <f t="shared" si="19"/>
        <v>128</v>
      </c>
      <c r="AL16" s="191">
        <f t="shared" si="20"/>
        <v>216</v>
      </c>
      <c r="AM16" s="150">
        <v>3</v>
      </c>
      <c r="AN16" s="193">
        <v>1.5</v>
      </c>
      <c r="AO16" s="193">
        <f t="shared" si="21"/>
        <v>4.5</v>
      </c>
      <c r="AP16" s="150">
        <v>4</v>
      </c>
      <c r="AQ16" s="193">
        <v>1.5</v>
      </c>
      <c r="AR16" s="193">
        <f t="shared" si="22"/>
        <v>6</v>
      </c>
      <c r="AS16" s="193">
        <f t="shared" si="23"/>
        <v>10.5</v>
      </c>
      <c r="AT16" s="150">
        <v>0</v>
      </c>
      <c r="AU16" s="193">
        <v>0</v>
      </c>
      <c r="AV16" s="193">
        <f t="shared" si="24"/>
        <v>0</v>
      </c>
      <c r="AW16" s="150">
        <v>0</v>
      </c>
      <c r="AX16" s="193">
        <v>0</v>
      </c>
      <c r="AY16" s="193">
        <f t="shared" si="25"/>
        <v>0</v>
      </c>
      <c r="AZ16" s="193">
        <f t="shared" si="26"/>
        <v>0</v>
      </c>
      <c r="BA16" s="193">
        <f t="shared" si="27"/>
        <v>4.5</v>
      </c>
      <c r="BB16" s="193">
        <f t="shared" si="28"/>
        <v>6</v>
      </c>
      <c r="BC16" s="194">
        <f t="shared" si="29"/>
        <v>10.5</v>
      </c>
      <c r="BD16" s="195">
        <f t="shared" si="30"/>
        <v>92.5</v>
      </c>
      <c r="BE16" s="195">
        <f t="shared" si="31"/>
        <v>134</v>
      </c>
      <c r="BF16" s="196">
        <f t="shared" si="32"/>
        <v>226.5</v>
      </c>
      <c r="BG16" s="147">
        <v>0</v>
      </c>
      <c r="BH16" s="147">
        <v>4431</v>
      </c>
      <c r="BI16" s="147">
        <v>25</v>
      </c>
      <c r="BJ16" s="150">
        <f t="shared" si="33"/>
        <v>4456</v>
      </c>
      <c r="BK16" s="147">
        <v>183</v>
      </c>
      <c r="BL16" s="147">
        <v>604</v>
      </c>
      <c r="BM16" s="147">
        <v>7</v>
      </c>
      <c r="BN16" s="147">
        <f t="shared" si="34"/>
        <v>794</v>
      </c>
      <c r="BO16" s="147">
        <v>498</v>
      </c>
      <c r="BP16" s="147">
        <v>495</v>
      </c>
      <c r="BQ16" s="147">
        <v>5</v>
      </c>
      <c r="BR16" s="147">
        <f t="shared" si="35"/>
        <v>998</v>
      </c>
      <c r="BS16" s="150">
        <f t="shared" si="36"/>
        <v>1792</v>
      </c>
      <c r="BT16" s="147">
        <v>2</v>
      </c>
      <c r="BU16" s="150">
        <f t="shared" si="37"/>
        <v>5142</v>
      </c>
    </row>
    <row r="17" spans="1:73" ht="15.75" customHeight="1">
      <c r="A17" s="206">
        <v>46003</v>
      </c>
      <c r="B17" s="186" t="s">
        <v>42</v>
      </c>
      <c r="C17" s="150">
        <v>5</v>
      </c>
      <c r="D17" s="150">
        <v>3</v>
      </c>
      <c r="E17" s="187">
        <f t="shared" si="0"/>
        <v>8</v>
      </c>
      <c r="F17" s="150">
        <v>3</v>
      </c>
      <c r="G17" s="150">
        <v>3</v>
      </c>
      <c r="H17" s="150">
        <v>0</v>
      </c>
      <c r="I17" s="150">
        <f t="shared" si="1"/>
        <v>6</v>
      </c>
      <c r="J17" s="150">
        <v>5</v>
      </c>
      <c r="K17" s="150">
        <v>4</v>
      </c>
      <c r="L17" s="150">
        <v>0</v>
      </c>
      <c r="M17" s="150">
        <f t="shared" si="2"/>
        <v>9</v>
      </c>
      <c r="N17" s="188">
        <f t="shared" ref="N17:P17" si="48">F17+J17</f>
        <v>8</v>
      </c>
      <c r="O17" s="189">
        <f t="shared" si="48"/>
        <v>7</v>
      </c>
      <c r="P17" s="150">
        <f t="shared" si="48"/>
        <v>0</v>
      </c>
      <c r="Q17" s="190">
        <f t="shared" si="4"/>
        <v>15</v>
      </c>
      <c r="R17" s="150">
        <f t="shared" si="5"/>
        <v>11</v>
      </c>
      <c r="S17" s="150">
        <f t="shared" si="6"/>
        <v>12</v>
      </c>
      <c r="T17" s="191">
        <f t="shared" si="7"/>
        <v>23</v>
      </c>
      <c r="U17" s="192"/>
      <c r="V17" s="150">
        <v>0</v>
      </c>
      <c r="W17" s="150">
        <f t="shared" si="8"/>
        <v>5</v>
      </c>
      <c r="X17" s="150">
        <f t="shared" si="9"/>
        <v>40</v>
      </c>
      <c r="Y17" s="150">
        <v>0</v>
      </c>
      <c r="Z17" s="150">
        <f t="shared" si="10"/>
        <v>3</v>
      </c>
      <c r="AA17" s="150">
        <f t="shared" si="11"/>
        <v>24</v>
      </c>
      <c r="AB17" s="150">
        <f t="shared" si="12"/>
        <v>64</v>
      </c>
      <c r="AC17" s="150">
        <v>0</v>
      </c>
      <c r="AD17" s="150">
        <f t="shared" si="13"/>
        <v>6</v>
      </c>
      <c r="AE17" s="150">
        <f t="shared" si="14"/>
        <v>48</v>
      </c>
      <c r="AF17" s="150">
        <v>0</v>
      </c>
      <c r="AG17" s="150">
        <f t="shared" si="15"/>
        <v>9</v>
      </c>
      <c r="AH17" s="150">
        <f t="shared" si="16"/>
        <v>72</v>
      </c>
      <c r="AI17" s="150">
        <f t="shared" si="17"/>
        <v>120</v>
      </c>
      <c r="AJ17" s="150">
        <f t="shared" si="18"/>
        <v>88</v>
      </c>
      <c r="AK17" s="150">
        <f t="shared" si="19"/>
        <v>96</v>
      </c>
      <c r="AL17" s="191">
        <f t="shared" si="20"/>
        <v>184</v>
      </c>
      <c r="AM17" s="150">
        <v>0</v>
      </c>
      <c r="AN17" s="193">
        <v>0</v>
      </c>
      <c r="AO17" s="193">
        <f t="shared" si="21"/>
        <v>0</v>
      </c>
      <c r="AP17" s="150">
        <v>0</v>
      </c>
      <c r="AQ17" s="193">
        <v>0</v>
      </c>
      <c r="AR17" s="193">
        <f t="shared" si="22"/>
        <v>0</v>
      </c>
      <c r="AS17" s="193">
        <f t="shared" si="23"/>
        <v>0</v>
      </c>
      <c r="AT17" s="150">
        <v>0</v>
      </c>
      <c r="AU17" s="193">
        <v>0</v>
      </c>
      <c r="AV17" s="193">
        <f t="shared" si="24"/>
        <v>0</v>
      </c>
      <c r="AW17" s="150">
        <v>0</v>
      </c>
      <c r="AX17" s="193">
        <v>0</v>
      </c>
      <c r="AY17" s="193">
        <f t="shared" si="25"/>
        <v>0</v>
      </c>
      <c r="AZ17" s="193">
        <f t="shared" si="26"/>
        <v>0</v>
      </c>
      <c r="BA17" s="193">
        <f t="shared" si="27"/>
        <v>0</v>
      </c>
      <c r="BB17" s="193">
        <f t="shared" si="28"/>
        <v>0</v>
      </c>
      <c r="BC17" s="194">
        <f t="shared" si="29"/>
        <v>0</v>
      </c>
      <c r="BD17" s="195">
        <f t="shared" si="30"/>
        <v>88</v>
      </c>
      <c r="BE17" s="195">
        <f t="shared" si="31"/>
        <v>96</v>
      </c>
      <c r="BF17" s="196">
        <f t="shared" si="32"/>
        <v>184</v>
      </c>
      <c r="BG17" s="147">
        <v>0</v>
      </c>
      <c r="BH17" s="147">
        <v>4684</v>
      </c>
      <c r="BI17" s="147">
        <v>80</v>
      </c>
      <c r="BJ17" s="150">
        <f t="shared" si="33"/>
        <v>4764</v>
      </c>
      <c r="BK17" s="147">
        <v>197</v>
      </c>
      <c r="BL17" s="147">
        <v>721</v>
      </c>
      <c r="BM17" s="147">
        <v>11</v>
      </c>
      <c r="BN17" s="147">
        <f t="shared" si="34"/>
        <v>929</v>
      </c>
      <c r="BO17" s="147">
        <v>511</v>
      </c>
      <c r="BP17" s="147">
        <v>229</v>
      </c>
      <c r="BQ17" s="147">
        <v>22</v>
      </c>
      <c r="BR17" s="147">
        <f t="shared" si="35"/>
        <v>762</v>
      </c>
      <c r="BS17" s="150">
        <f t="shared" si="36"/>
        <v>1691</v>
      </c>
      <c r="BT17" s="147">
        <v>5</v>
      </c>
      <c r="BU17" s="150">
        <f t="shared" si="37"/>
        <v>5494</v>
      </c>
    </row>
    <row r="18" spans="1:73" ht="15.75" customHeight="1">
      <c r="A18" s="207">
        <v>46004</v>
      </c>
      <c r="B18" s="204" t="s">
        <v>39</v>
      </c>
      <c r="C18" s="150">
        <v>0</v>
      </c>
      <c r="D18" s="150">
        <v>1</v>
      </c>
      <c r="E18" s="187">
        <f t="shared" si="0"/>
        <v>1</v>
      </c>
      <c r="F18" s="150">
        <v>0</v>
      </c>
      <c r="G18" s="150">
        <v>0</v>
      </c>
      <c r="H18" s="150">
        <v>0</v>
      </c>
      <c r="I18" s="150">
        <f t="shared" si="1"/>
        <v>0</v>
      </c>
      <c r="J18" s="150">
        <v>0</v>
      </c>
      <c r="K18" s="150">
        <v>0</v>
      </c>
      <c r="L18" s="150">
        <v>0</v>
      </c>
      <c r="M18" s="150">
        <f t="shared" si="2"/>
        <v>0</v>
      </c>
      <c r="N18" s="188">
        <f t="shared" ref="N18:P18" si="49">F18+J18</f>
        <v>0</v>
      </c>
      <c r="O18" s="189">
        <f t="shared" si="49"/>
        <v>0</v>
      </c>
      <c r="P18" s="150">
        <f t="shared" si="49"/>
        <v>0</v>
      </c>
      <c r="Q18" s="190">
        <f t="shared" si="4"/>
        <v>0</v>
      </c>
      <c r="R18" s="150">
        <f t="shared" si="5"/>
        <v>0</v>
      </c>
      <c r="S18" s="150">
        <f t="shared" si="6"/>
        <v>1</v>
      </c>
      <c r="T18" s="191">
        <f t="shared" si="7"/>
        <v>1</v>
      </c>
      <c r="U18" s="192"/>
      <c r="V18" s="150">
        <v>0</v>
      </c>
      <c r="W18" s="150">
        <f t="shared" si="8"/>
        <v>0</v>
      </c>
      <c r="X18" s="150">
        <f t="shared" si="9"/>
        <v>0</v>
      </c>
      <c r="Y18" s="150">
        <v>1</v>
      </c>
      <c r="Z18" s="150">
        <v>0</v>
      </c>
      <c r="AA18" s="150">
        <f t="shared" si="11"/>
        <v>4</v>
      </c>
      <c r="AB18" s="150">
        <f t="shared" si="12"/>
        <v>4</v>
      </c>
      <c r="AC18" s="150">
        <v>0</v>
      </c>
      <c r="AD18" s="150">
        <f t="shared" si="13"/>
        <v>0</v>
      </c>
      <c r="AE18" s="150">
        <f t="shared" si="14"/>
        <v>0</v>
      </c>
      <c r="AF18" s="150">
        <v>0</v>
      </c>
      <c r="AG18" s="150">
        <f t="shared" si="15"/>
        <v>0</v>
      </c>
      <c r="AH18" s="150">
        <f t="shared" si="16"/>
        <v>0</v>
      </c>
      <c r="AI18" s="150">
        <f t="shared" si="17"/>
        <v>0</v>
      </c>
      <c r="AJ18" s="150">
        <f t="shared" si="18"/>
        <v>0</v>
      </c>
      <c r="AK18" s="150">
        <f t="shared" si="19"/>
        <v>4</v>
      </c>
      <c r="AL18" s="191">
        <f t="shared" si="20"/>
        <v>4</v>
      </c>
      <c r="AM18" s="150">
        <v>0</v>
      </c>
      <c r="AN18" s="193">
        <v>0</v>
      </c>
      <c r="AO18" s="193">
        <f t="shared" si="21"/>
        <v>0</v>
      </c>
      <c r="AP18" s="150">
        <v>0</v>
      </c>
      <c r="AQ18" s="193">
        <v>0</v>
      </c>
      <c r="AR18" s="193">
        <f t="shared" si="22"/>
        <v>0</v>
      </c>
      <c r="AS18" s="193">
        <f t="shared" si="23"/>
        <v>0</v>
      </c>
      <c r="AT18" s="150">
        <v>0</v>
      </c>
      <c r="AU18" s="193">
        <v>0</v>
      </c>
      <c r="AV18" s="193">
        <f t="shared" si="24"/>
        <v>0</v>
      </c>
      <c r="AW18" s="150">
        <v>0</v>
      </c>
      <c r="AX18" s="193">
        <v>0</v>
      </c>
      <c r="AY18" s="193">
        <f t="shared" si="25"/>
        <v>0</v>
      </c>
      <c r="AZ18" s="193">
        <f t="shared" si="26"/>
        <v>0</v>
      </c>
      <c r="BA18" s="193">
        <f t="shared" si="27"/>
        <v>0</v>
      </c>
      <c r="BB18" s="193">
        <f t="shared" si="28"/>
        <v>0</v>
      </c>
      <c r="BC18" s="194">
        <f t="shared" si="29"/>
        <v>0</v>
      </c>
      <c r="BD18" s="195">
        <f t="shared" si="30"/>
        <v>0</v>
      </c>
      <c r="BE18" s="195">
        <f t="shared" si="31"/>
        <v>4</v>
      </c>
      <c r="BF18" s="196">
        <f t="shared" si="32"/>
        <v>4</v>
      </c>
      <c r="BG18" s="147">
        <v>0</v>
      </c>
      <c r="BH18" s="202">
        <v>51</v>
      </c>
      <c r="BI18" s="147">
        <v>0</v>
      </c>
      <c r="BJ18" s="150">
        <f t="shared" si="33"/>
        <v>51</v>
      </c>
      <c r="BK18" s="147">
        <v>0</v>
      </c>
      <c r="BL18" s="147">
        <v>50</v>
      </c>
      <c r="BM18" s="147">
        <v>0</v>
      </c>
      <c r="BN18" s="147">
        <f t="shared" si="34"/>
        <v>50</v>
      </c>
      <c r="BO18" s="147">
        <v>0</v>
      </c>
      <c r="BP18" s="147">
        <v>0</v>
      </c>
      <c r="BQ18" s="147">
        <v>0</v>
      </c>
      <c r="BR18" s="147">
        <f t="shared" si="35"/>
        <v>0</v>
      </c>
      <c r="BS18" s="150">
        <f t="shared" si="36"/>
        <v>50</v>
      </c>
      <c r="BT18" s="147">
        <v>0</v>
      </c>
      <c r="BU18" s="150">
        <f t="shared" si="37"/>
        <v>51</v>
      </c>
    </row>
    <row r="19" spans="1:73" ht="15.75" customHeight="1">
      <c r="A19" s="207">
        <v>46005</v>
      </c>
      <c r="B19" s="204" t="s">
        <v>37</v>
      </c>
      <c r="C19" s="150">
        <v>0</v>
      </c>
      <c r="D19" s="150">
        <v>1</v>
      </c>
      <c r="E19" s="187">
        <f t="shared" si="0"/>
        <v>1</v>
      </c>
      <c r="F19" s="150">
        <v>0</v>
      </c>
      <c r="G19" s="150">
        <v>0</v>
      </c>
      <c r="H19" s="150">
        <v>0</v>
      </c>
      <c r="I19" s="150">
        <f t="shared" si="1"/>
        <v>0</v>
      </c>
      <c r="J19" s="150">
        <v>0</v>
      </c>
      <c r="K19" s="150">
        <v>0</v>
      </c>
      <c r="L19" s="150">
        <v>0</v>
      </c>
      <c r="M19" s="150">
        <f t="shared" si="2"/>
        <v>0</v>
      </c>
      <c r="N19" s="188">
        <f t="shared" ref="N19:P19" si="50">F19+J19</f>
        <v>0</v>
      </c>
      <c r="O19" s="189">
        <f t="shared" si="50"/>
        <v>0</v>
      </c>
      <c r="P19" s="150">
        <f t="shared" si="50"/>
        <v>0</v>
      </c>
      <c r="Q19" s="190">
        <f t="shared" si="4"/>
        <v>0</v>
      </c>
      <c r="R19" s="150">
        <f t="shared" si="5"/>
        <v>0</v>
      </c>
      <c r="S19" s="150">
        <f t="shared" si="6"/>
        <v>1</v>
      </c>
      <c r="T19" s="191">
        <f t="shared" si="7"/>
        <v>1</v>
      </c>
      <c r="U19" s="192"/>
      <c r="V19" s="150">
        <v>0</v>
      </c>
      <c r="W19" s="150">
        <f t="shared" si="8"/>
        <v>0</v>
      </c>
      <c r="X19" s="150">
        <f t="shared" si="9"/>
        <v>0</v>
      </c>
      <c r="Y19" s="150">
        <v>1</v>
      </c>
      <c r="Z19" s="150">
        <v>0</v>
      </c>
      <c r="AA19" s="150">
        <f t="shared" si="11"/>
        <v>4</v>
      </c>
      <c r="AB19" s="150">
        <f t="shared" si="12"/>
        <v>4</v>
      </c>
      <c r="AC19" s="150">
        <v>0</v>
      </c>
      <c r="AD19" s="150">
        <f t="shared" si="13"/>
        <v>0</v>
      </c>
      <c r="AE19" s="150">
        <f t="shared" si="14"/>
        <v>0</v>
      </c>
      <c r="AF19" s="150">
        <v>0</v>
      </c>
      <c r="AG19" s="150">
        <f t="shared" si="15"/>
        <v>0</v>
      </c>
      <c r="AH19" s="150">
        <f t="shared" si="16"/>
        <v>0</v>
      </c>
      <c r="AI19" s="150">
        <f t="shared" si="17"/>
        <v>0</v>
      </c>
      <c r="AJ19" s="150">
        <f t="shared" si="18"/>
        <v>0</v>
      </c>
      <c r="AK19" s="150">
        <f t="shared" si="19"/>
        <v>4</v>
      </c>
      <c r="AL19" s="191">
        <f t="shared" si="20"/>
        <v>4</v>
      </c>
      <c r="AM19" s="150">
        <v>0</v>
      </c>
      <c r="AN19" s="193">
        <v>0</v>
      </c>
      <c r="AO19" s="193">
        <f t="shared" si="21"/>
        <v>0</v>
      </c>
      <c r="AP19" s="150">
        <v>0</v>
      </c>
      <c r="AQ19" s="193">
        <v>0</v>
      </c>
      <c r="AR19" s="193">
        <f t="shared" si="22"/>
        <v>0</v>
      </c>
      <c r="AS19" s="193">
        <f t="shared" si="23"/>
        <v>0</v>
      </c>
      <c r="AT19" s="150">
        <v>0</v>
      </c>
      <c r="AU19" s="193">
        <v>0</v>
      </c>
      <c r="AV19" s="193">
        <f t="shared" si="24"/>
        <v>0</v>
      </c>
      <c r="AW19" s="150">
        <v>0</v>
      </c>
      <c r="AX19" s="193">
        <v>0</v>
      </c>
      <c r="AY19" s="193">
        <f t="shared" si="25"/>
        <v>0</v>
      </c>
      <c r="AZ19" s="193">
        <f t="shared" si="26"/>
        <v>0</v>
      </c>
      <c r="BA19" s="193">
        <f t="shared" si="27"/>
        <v>0</v>
      </c>
      <c r="BB19" s="193">
        <f t="shared" si="28"/>
        <v>0</v>
      </c>
      <c r="BC19" s="194">
        <f t="shared" si="29"/>
        <v>0</v>
      </c>
      <c r="BD19" s="195">
        <f t="shared" si="30"/>
        <v>0</v>
      </c>
      <c r="BE19" s="195">
        <f t="shared" si="31"/>
        <v>4</v>
      </c>
      <c r="BF19" s="196">
        <f t="shared" si="32"/>
        <v>4</v>
      </c>
      <c r="BG19" s="147">
        <v>0</v>
      </c>
      <c r="BH19" s="202">
        <v>67</v>
      </c>
      <c r="BI19" s="147">
        <v>0</v>
      </c>
      <c r="BJ19" s="150">
        <f t="shared" si="33"/>
        <v>67</v>
      </c>
      <c r="BK19" s="147">
        <v>0</v>
      </c>
      <c r="BL19" s="147">
        <v>67</v>
      </c>
      <c r="BM19" s="147">
        <v>0</v>
      </c>
      <c r="BN19" s="147">
        <f t="shared" si="34"/>
        <v>67</v>
      </c>
      <c r="BO19" s="147">
        <v>0</v>
      </c>
      <c r="BP19" s="147">
        <v>0</v>
      </c>
      <c r="BQ19" s="147">
        <v>0</v>
      </c>
      <c r="BR19" s="147">
        <f t="shared" si="35"/>
        <v>0</v>
      </c>
      <c r="BS19" s="150">
        <f t="shared" si="36"/>
        <v>67</v>
      </c>
      <c r="BT19" s="147">
        <v>0</v>
      </c>
      <c r="BU19" s="150">
        <f t="shared" si="37"/>
        <v>67</v>
      </c>
    </row>
    <row r="20" spans="1:73" ht="15.75" customHeight="1">
      <c r="A20" s="206">
        <v>46006</v>
      </c>
      <c r="B20" s="186" t="s">
        <v>44</v>
      </c>
      <c r="C20" s="150">
        <v>6</v>
      </c>
      <c r="D20" s="150">
        <v>5</v>
      </c>
      <c r="E20" s="187">
        <f t="shared" si="0"/>
        <v>11</v>
      </c>
      <c r="F20" s="150">
        <v>2</v>
      </c>
      <c r="G20" s="150">
        <v>2</v>
      </c>
      <c r="H20" s="150">
        <v>0</v>
      </c>
      <c r="I20" s="150">
        <f t="shared" si="1"/>
        <v>4</v>
      </c>
      <c r="J20" s="150">
        <v>5</v>
      </c>
      <c r="K20" s="150">
        <v>12</v>
      </c>
      <c r="L20" s="150">
        <v>0</v>
      </c>
      <c r="M20" s="150">
        <f t="shared" si="2"/>
        <v>17</v>
      </c>
      <c r="N20" s="188">
        <f t="shared" ref="N20:P20" si="51">F20+J20</f>
        <v>7</v>
      </c>
      <c r="O20" s="189">
        <f t="shared" si="51"/>
        <v>14</v>
      </c>
      <c r="P20" s="150">
        <f t="shared" si="51"/>
        <v>0</v>
      </c>
      <c r="Q20" s="190">
        <f t="shared" si="4"/>
        <v>21</v>
      </c>
      <c r="R20" s="150">
        <f t="shared" si="5"/>
        <v>10</v>
      </c>
      <c r="S20" s="150">
        <f t="shared" si="6"/>
        <v>22</v>
      </c>
      <c r="T20" s="191">
        <f t="shared" si="7"/>
        <v>32</v>
      </c>
      <c r="U20" s="192"/>
      <c r="V20" s="150">
        <v>0</v>
      </c>
      <c r="W20" s="150">
        <f t="shared" si="8"/>
        <v>6</v>
      </c>
      <c r="X20" s="150">
        <f t="shared" si="9"/>
        <v>48</v>
      </c>
      <c r="Y20" s="150">
        <v>0</v>
      </c>
      <c r="Z20" s="150">
        <f t="shared" ref="Z20:Z23" si="52">D20</f>
        <v>5</v>
      </c>
      <c r="AA20" s="150">
        <f t="shared" si="11"/>
        <v>40</v>
      </c>
      <c r="AB20" s="150">
        <f t="shared" si="12"/>
        <v>88</v>
      </c>
      <c r="AC20" s="150">
        <v>0</v>
      </c>
      <c r="AD20" s="150">
        <f t="shared" si="13"/>
        <v>4</v>
      </c>
      <c r="AE20" s="150">
        <f t="shared" si="14"/>
        <v>32</v>
      </c>
      <c r="AF20" s="150">
        <v>0</v>
      </c>
      <c r="AG20" s="150">
        <f t="shared" si="15"/>
        <v>17</v>
      </c>
      <c r="AH20" s="150">
        <f t="shared" si="16"/>
        <v>136</v>
      </c>
      <c r="AI20" s="150">
        <f t="shared" si="17"/>
        <v>168</v>
      </c>
      <c r="AJ20" s="150">
        <f t="shared" si="18"/>
        <v>80</v>
      </c>
      <c r="AK20" s="150">
        <f t="shared" si="19"/>
        <v>176</v>
      </c>
      <c r="AL20" s="191">
        <f t="shared" si="20"/>
        <v>256</v>
      </c>
      <c r="AM20" s="150">
        <v>0</v>
      </c>
      <c r="AN20" s="193">
        <v>0</v>
      </c>
      <c r="AO20" s="193">
        <f t="shared" si="21"/>
        <v>0</v>
      </c>
      <c r="AP20" s="150">
        <v>2</v>
      </c>
      <c r="AQ20" s="193">
        <v>1.5</v>
      </c>
      <c r="AR20" s="193">
        <f t="shared" si="22"/>
        <v>3</v>
      </c>
      <c r="AS20" s="193">
        <f t="shared" si="23"/>
        <v>3</v>
      </c>
      <c r="AT20" s="150">
        <v>0</v>
      </c>
      <c r="AU20" s="193">
        <v>0</v>
      </c>
      <c r="AV20" s="193">
        <f t="shared" si="24"/>
        <v>0</v>
      </c>
      <c r="AW20" s="150">
        <v>0</v>
      </c>
      <c r="AX20" s="193">
        <v>0</v>
      </c>
      <c r="AY20" s="193">
        <f t="shared" si="25"/>
        <v>0</v>
      </c>
      <c r="AZ20" s="193">
        <f t="shared" si="26"/>
        <v>0</v>
      </c>
      <c r="BA20" s="193">
        <f t="shared" si="27"/>
        <v>0</v>
      </c>
      <c r="BB20" s="193">
        <f t="shared" si="28"/>
        <v>3</v>
      </c>
      <c r="BC20" s="194">
        <f t="shared" si="29"/>
        <v>3</v>
      </c>
      <c r="BD20" s="195">
        <f t="shared" si="30"/>
        <v>80</v>
      </c>
      <c r="BE20" s="195">
        <f t="shared" si="31"/>
        <v>179</v>
      </c>
      <c r="BF20" s="196">
        <f t="shared" si="32"/>
        <v>259</v>
      </c>
      <c r="BG20" s="147">
        <v>0</v>
      </c>
      <c r="BH20" s="202">
        <v>4869</v>
      </c>
      <c r="BI20" s="147">
        <v>32</v>
      </c>
      <c r="BJ20" s="150">
        <f t="shared" si="33"/>
        <v>4901</v>
      </c>
      <c r="BK20" s="147">
        <v>496</v>
      </c>
      <c r="BL20" s="147">
        <v>1724</v>
      </c>
      <c r="BM20" s="147">
        <v>15</v>
      </c>
      <c r="BN20" s="147">
        <f t="shared" si="34"/>
        <v>2235</v>
      </c>
      <c r="BO20" s="147">
        <v>1604</v>
      </c>
      <c r="BP20" s="147">
        <v>256</v>
      </c>
      <c r="BQ20" s="147">
        <v>42</v>
      </c>
      <c r="BR20" s="147">
        <f t="shared" si="35"/>
        <v>1902</v>
      </c>
      <c r="BS20" s="150">
        <f t="shared" si="36"/>
        <v>4137</v>
      </c>
      <c r="BT20" s="147">
        <v>5</v>
      </c>
      <c r="BU20" s="150">
        <f t="shared" si="37"/>
        <v>7043</v>
      </c>
    </row>
    <row r="21" spans="1:73" ht="15.75" customHeight="1">
      <c r="A21" s="206">
        <v>46007</v>
      </c>
      <c r="B21" s="186" t="s">
        <v>38</v>
      </c>
      <c r="C21" s="150">
        <v>4</v>
      </c>
      <c r="D21" s="150">
        <v>7</v>
      </c>
      <c r="E21" s="187">
        <f t="shared" si="0"/>
        <v>11</v>
      </c>
      <c r="F21" s="150">
        <v>2</v>
      </c>
      <c r="G21" s="150">
        <v>4</v>
      </c>
      <c r="H21" s="150">
        <v>0</v>
      </c>
      <c r="I21" s="150">
        <f t="shared" si="1"/>
        <v>6</v>
      </c>
      <c r="J21" s="150">
        <v>5</v>
      </c>
      <c r="K21" s="150">
        <v>4</v>
      </c>
      <c r="L21" s="150">
        <v>0</v>
      </c>
      <c r="M21" s="150">
        <f t="shared" si="2"/>
        <v>9</v>
      </c>
      <c r="N21" s="188">
        <f t="shared" ref="N21:P21" si="53">F21+J21</f>
        <v>7</v>
      </c>
      <c r="O21" s="189">
        <f t="shared" si="53"/>
        <v>8</v>
      </c>
      <c r="P21" s="150">
        <f t="shared" si="53"/>
        <v>0</v>
      </c>
      <c r="Q21" s="190">
        <f t="shared" si="4"/>
        <v>15</v>
      </c>
      <c r="R21" s="150">
        <f t="shared" si="5"/>
        <v>10</v>
      </c>
      <c r="S21" s="150">
        <f t="shared" si="6"/>
        <v>16</v>
      </c>
      <c r="T21" s="191">
        <f t="shared" si="7"/>
        <v>26</v>
      </c>
      <c r="U21" s="192"/>
      <c r="V21" s="150">
        <v>0</v>
      </c>
      <c r="W21" s="150">
        <f t="shared" si="8"/>
        <v>4</v>
      </c>
      <c r="X21" s="150">
        <f t="shared" si="9"/>
        <v>32</v>
      </c>
      <c r="Y21" s="150">
        <v>0</v>
      </c>
      <c r="Z21" s="150">
        <f t="shared" si="52"/>
        <v>7</v>
      </c>
      <c r="AA21" s="150">
        <f t="shared" si="11"/>
        <v>56</v>
      </c>
      <c r="AB21" s="150">
        <f t="shared" si="12"/>
        <v>88</v>
      </c>
      <c r="AC21" s="150">
        <v>0</v>
      </c>
      <c r="AD21" s="150">
        <f t="shared" si="13"/>
        <v>6</v>
      </c>
      <c r="AE21" s="150">
        <f t="shared" si="14"/>
        <v>48</v>
      </c>
      <c r="AF21" s="150">
        <v>0</v>
      </c>
      <c r="AG21" s="150">
        <f t="shared" si="15"/>
        <v>9</v>
      </c>
      <c r="AH21" s="150">
        <f t="shared" si="16"/>
        <v>72</v>
      </c>
      <c r="AI21" s="150">
        <f t="shared" si="17"/>
        <v>120</v>
      </c>
      <c r="AJ21" s="150">
        <f t="shared" si="18"/>
        <v>80</v>
      </c>
      <c r="AK21" s="150">
        <f t="shared" si="19"/>
        <v>128</v>
      </c>
      <c r="AL21" s="191">
        <f t="shared" si="20"/>
        <v>208</v>
      </c>
      <c r="AM21" s="150">
        <v>0</v>
      </c>
      <c r="AN21" s="193">
        <v>0</v>
      </c>
      <c r="AO21" s="193">
        <f t="shared" si="21"/>
        <v>0</v>
      </c>
      <c r="AP21" s="150">
        <v>0</v>
      </c>
      <c r="AQ21" s="193">
        <v>0</v>
      </c>
      <c r="AR21" s="193">
        <f t="shared" si="22"/>
        <v>0</v>
      </c>
      <c r="AS21" s="193">
        <f t="shared" si="23"/>
        <v>0</v>
      </c>
      <c r="AT21" s="150">
        <v>0</v>
      </c>
      <c r="AU21" s="193">
        <v>0</v>
      </c>
      <c r="AV21" s="193">
        <f t="shared" si="24"/>
        <v>0</v>
      </c>
      <c r="AW21" s="150">
        <v>0</v>
      </c>
      <c r="AX21" s="193">
        <v>0</v>
      </c>
      <c r="AY21" s="193">
        <f t="shared" si="25"/>
        <v>0</v>
      </c>
      <c r="AZ21" s="193">
        <f t="shared" si="26"/>
        <v>0</v>
      </c>
      <c r="BA21" s="193">
        <f t="shared" si="27"/>
        <v>0</v>
      </c>
      <c r="BB21" s="193">
        <f t="shared" si="28"/>
        <v>0</v>
      </c>
      <c r="BC21" s="194">
        <f t="shared" si="29"/>
        <v>0</v>
      </c>
      <c r="BD21" s="195">
        <f t="shared" si="30"/>
        <v>80</v>
      </c>
      <c r="BE21" s="195">
        <f t="shared" si="31"/>
        <v>128</v>
      </c>
      <c r="BF21" s="196">
        <f t="shared" si="32"/>
        <v>208</v>
      </c>
      <c r="BG21" s="147">
        <v>0</v>
      </c>
      <c r="BH21" s="202">
        <v>5488</v>
      </c>
      <c r="BI21" s="147">
        <v>147</v>
      </c>
      <c r="BJ21" s="150">
        <f t="shared" si="33"/>
        <v>5635</v>
      </c>
      <c r="BK21" s="147">
        <v>191</v>
      </c>
      <c r="BL21" s="147">
        <v>614</v>
      </c>
      <c r="BM21" s="147">
        <v>38</v>
      </c>
      <c r="BN21" s="147">
        <f t="shared" si="34"/>
        <v>843</v>
      </c>
      <c r="BO21" s="147">
        <v>613</v>
      </c>
      <c r="BP21" s="147">
        <v>557</v>
      </c>
      <c r="BQ21" s="147">
        <v>0</v>
      </c>
      <c r="BR21" s="147">
        <f t="shared" si="35"/>
        <v>1170</v>
      </c>
      <c r="BS21" s="150">
        <f t="shared" si="36"/>
        <v>2013</v>
      </c>
      <c r="BT21" s="147">
        <v>8</v>
      </c>
      <c r="BU21" s="150">
        <f t="shared" si="37"/>
        <v>6439</v>
      </c>
    </row>
    <row r="22" spans="1:73" ht="15.75" customHeight="1">
      <c r="A22" s="206">
        <v>46008</v>
      </c>
      <c r="B22" s="186" t="s">
        <v>45</v>
      </c>
      <c r="C22" s="150">
        <v>5</v>
      </c>
      <c r="D22" s="150">
        <v>5</v>
      </c>
      <c r="E22" s="187">
        <f t="shared" si="0"/>
        <v>10</v>
      </c>
      <c r="F22" s="150">
        <v>3</v>
      </c>
      <c r="G22" s="150">
        <v>3</v>
      </c>
      <c r="H22" s="150">
        <v>0</v>
      </c>
      <c r="I22" s="150">
        <f t="shared" si="1"/>
        <v>6</v>
      </c>
      <c r="J22" s="150">
        <v>5</v>
      </c>
      <c r="K22" s="150">
        <v>4</v>
      </c>
      <c r="L22" s="150">
        <v>0</v>
      </c>
      <c r="M22" s="150">
        <f t="shared" si="2"/>
        <v>9</v>
      </c>
      <c r="N22" s="188">
        <f t="shared" ref="N22:P22" si="54">F22+J22</f>
        <v>8</v>
      </c>
      <c r="O22" s="189">
        <f t="shared" si="54"/>
        <v>7</v>
      </c>
      <c r="P22" s="150">
        <f t="shared" si="54"/>
        <v>0</v>
      </c>
      <c r="Q22" s="190">
        <f t="shared" si="4"/>
        <v>15</v>
      </c>
      <c r="R22" s="150">
        <f t="shared" si="5"/>
        <v>11</v>
      </c>
      <c r="S22" s="150">
        <f t="shared" si="6"/>
        <v>14</v>
      </c>
      <c r="T22" s="191">
        <f t="shared" si="7"/>
        <v>25</v>
      </c>
      <c r="U22" s="192"/>
      <c r="V22" s="150">
        <v>0</v>
      </c>
      <c r="W22" s="150">
        <f t="shared" si="8"/>
        <v>5</v>
      </c>
      <c r="X22" s="150">
        <f t="shared" si="9"/>
        <v>40</v>
      </c>
      <c r="Y22" s="150">
        <v>0</v>
      </c>
      <c r="Z22" s="150">
        <f t="shared" si="52"/>
        <v>5</v>
      </c>
      <c r="AA22" s="150">
        <f t="shared" si="11"/>
        <v>40</v>
      </c>
      <c r="AB22" s="150">
        <f t="shared" si="12"/>
        <v>80</v>
      </c>
      <c r="AC22" s="150">
        <v>0</v>
      </c>
      <c r="AD22" s="150">
        <f t="shared" si="13"/>
        <v>6</v>
      </c>
      <c r="AE22" s="150">
        <f t="shared" si="14"/>
        <v>48</v>
      </c>
      <c r="AF22" s="150">
        <v>0</v>
      </c>
      <c r="AG22" s="150">
        <f t="shared" si="15"/>
        <v>9</v>
      </c>
      <c r="AH22" s="150">
        <f t="shared" si="16"/>
        <v>72</v>
      </c>
      <c r="AI22" s="150">
        <f t="shared" si="17"/>
        <v>120</v>
      </c>
      <c r="AJ22" s="150">
        <f t="shared" si="18"/>
        <v>88</v>
      </c>
      <c r="AK22" s="150">
        <f t="shared" si="19"/>
        <v>112</v>
      </c>
      <c r="AL22" s="191">
        <f t="shared" si="20"/>
        <v>200</v>
      </c>
      <c r="AM22" s="150">
        <v>0</v>
      </c>
      <c r="AN22" s="193">
        <v>0</v>
      </c>
      <c r="AO22" s="193">
        <f t="shared" si="21"/>
        <v>0</v>
      </c>
      <c r="AP22" s="150">
        <v>1</v>
      </c>
      <c r="AQ22" s="193">
        <v>1.5</v>
      </c>
      <c r="AR22" s="193">
        <f t="shared" si="22"/>
        <v>1.5</v>
      </c>
      <c r="AS22" s="193">
        <f t="shared" si="23"/>
        <v>1.5</v>
      </c>
      <c r="AT22" s="150">
        <v>0</v>
      </c>
      <c r="AU22" s="193">
        <v>0</v>
      </c>
      <c r="AV22" s="193">
        <f t="shared" si="24"/>
        <v>0</v>
      </c>
      <c r="AW22" s="150">
        <v>0</v>
      </c>
      <c r="AX22" s="193">
        <v>0</v>
      </c>
      <c r="AY22" s="193">
        <f t="shared" si="25"/>
        <v>0</v>
      </c>
      <c r="AZ22" s="193">
        <f t="shared" si="26"/>
        <v>0</v>
      </c>
      <c r="BA22" s="193">
        <f t="shared" si="27"/>
        <v>0</v>
      </c>
      <c r="BB22" s="193">
        <f t="shared" si="28"/>
        <v>1.5</v>
      </c>
      <c r="BC22" s="194">
        <f t="shared" si="29"/>
        <v>1.5</v>
      </c>
      <c r="BD22" s="195">
        <f t="shared" si="30"/>
        <v>88</v>
      </c>
      <c r="BE22" s="195">
        <f t="shared" si="31"/>
        <v>113.5</v>
      </c>
      <c r="BF22" s="196">
        <f t="shared" si="32"/>
        <v>201.5</v>
      </c>
      <c r="BG22" s="147">
        <v>0</v>
      </c>
      <c r="BH22" s="147">
        <v>4479</v>
      </c>
      <c r="BI22" s="147">
        <v>25</v>
      </c>
      <c r="BJ22" s="150">
        <f t="shared" si="33"/>
        <v>4504</v>
      </c>
      <c r="BK22" s="147">
        <v>294</v>
      </c>
      <c r="BL22" s="147">
        <v>470</v>
      </c>
      <c r="BM22" s="147">
        <v>40</v>
      </c>
      <c r="BN22" s="147">
        <f t="shared" si="34"/>
        <v>804</v>
      </c>
      <c r="BO22" s="147">
        <v>598</v>
      </c>
      <c r="BP22" s="147">
        <v>151</v>
      </c>
      <c r="BQ22" s="147">
        <v>0</v>
      </c>
      <c r="BR22" s="147">
        <f t="shared" si="35"/>
        <v>749</v>
      </c>
      <c r="BS22" s="150">
        <f t="shared" si="36"/>
        <v>1553</v>
      </c>
      <c r="BT22" s="147">
        <v>1</v>
      </c>
      <c r="BU22" s="150">
        <f t="shared" si="37"/>
        <v>5396</v>
      </c>
    </row>
    <row r="23" spans="1:73" ht="15.75" customHeight="1">
      <c r="A23" s="206">
        <v>46009</v>
      </c>
      <c r="B23" s="186" t="s">
        <v>32</v>
      </c>
      <c r="C23" s="150">
        <v>4</v>
      </c>
      <c r="D23" s="150">
        <v>5</v>
      </c>
      <c r="E23" s="187">
        <f t="shared" si="0"/>
        <v>9</v>
      </c>
      <c r="F23" s="150">
        <v>3</v>
      </c>
      <c r="G23" s="150">
        <v>4</v>
      </c>
      <c r="H23" s="150">
        <v>0</v>
      </c>
      <c r="I23" s="150">
        <f t="shared" si="1"/>
        <v>7</v>
      </c>
      <c r="J23" s="150">
        <v>5</v>
      </c>
      <c r="K23" s="150">
        <v>4</v>
      </c>
      <c r="L23" s="150">
        <v>0</v>
      </c>
      <c r="M23" s="150">
        <f t="shared" si="2"/>
        <v>9</v>
      </c>
      <c r="N23" s="188">
        <f t="shared" ref="N23:P23" si="55">F23+J23</f>
        <v>8</v>
      </c>
      <c r="O23" s="189">
        <f t="shared" si="55"/>
        <v>8</v>
      </c>
      <c r="P23" s="150">
        <f t="shared" si="55"/>
        <v>0</v>
      </c>
      <c r="Q23" s="190">
        <f t="shared" si="4"/>
        <v>16</v>
      </c>
      <c r="R23" s="150">
        <f t="shared" si="5"/>
        <v>11</v>
      </c>
      <c r="S23" s="150">
        <f t="shared" si="6"/>
        <v>14</v>
      </c>
      <c r="T23" s="191">
        <f t="shared" si="7"/>
        <v>25</v>
      </c>
      <c r="U23" s="192"/>
      <c r="V23" s="150">
        <v>0</v>
      </c>
      <c r="W23" s="150">
        <f t="shared" si="8"/>
        <v>4</v>
      </c>
      <c r="X23" s="150">
        <f t="shared" si="9"/>
        <v>32</v>
      </c>
      <c r="Y23" s="150">
        <v>0</v>
      </c>
      <c r="Z23" s="150">
        <f t="shared" si="52"/>
        <v>5</v>
      </c>
      <c r="AA23" s="150">
        <f t="shared" si="11"/>
        <v>40</v>
      </c>
      <c r="AB23" s="150">
        <f t="shared" si="12"/>
        <v>72</v>
      </c>
      <c r="AC23" s="150">
        <v>0</v>
      </c>
      <c r="AD23" s="150">
        <f t="shared" si="13"/>
        <v>7</v>
      </c>
      <c r="AE23" s="150">
        <f t="shared" si="14"/>
        <v>56</v>
      </c>
      <c r="AF23" s="150">
        <v>0</v>
      </c>
      <c r="AG23" s="150">
        <f t="shared" si="15"/>
        <v>9</v>
      </c>
      <c r="AH23" s="150">
        <f t="shared" si="16"/>
        <v>72</v>
      </c>
      <c r="AI23" s="150">
        <f t="shared" si="17"/>
        <v>128</v>
      </c>
      <c r="AJ23" s="150">
        <f t="shared" si="18"/>
        <v>88</v>
      </c>
      <c r="AK23" s="150">
        <f t="shared" si="19"/>
        <v>112</v>
      </c>
      <c r="AL23" s="191">
        <f t="shared" si="20"/>
        <v>200</v>
      </c>
      <c r="AM23" s="150">
        <v>0</v>
      </c>
      <c r="AN23" s="193">
        <v>0</v>
      </c>
      <c r="AO23" s="193">
        <f t="shared" si="21"/>
        <v>0</v>
      </c>
      <c r="AP23" s="150">
        <v>1</v>
      </c>
      <c r="AQ23" s="193">
        <v>1.5</v>
      </c>
      <c r="AR23" s="193">
        <f t="shared" si="22"/>
        <v>1.5</v>
      </c>
      <c r="AS23" s="193">
        <f t="shared" si="23"/>
        <v>1.5</v>
      </c>
      <c r="AT23" s="150">
        <v>0</v>
      </c>
      <c r="AU23" s="193">
        <v>0</v>
      </c>
      <c r="AV23" s="193">
        <f t="shared" si="24"/>
        <v>0</v>
      </c>
      <c r="AW23" s="150">
        <v>0</v>
      </c>
      <c r="AX23" s="193">
        <v>0</v>
      </c>
      <c r="AY23" s="193">
        <f t="shared" si="25"/>
        <v>0</v>
      </c>
      <c r="AZ23" s="193">
        <f t="shared" si="26"/>
        <v>0</v>
      </c>
      <c r="BA23" s="193">
        <f t="shared" si="27"/>
        <v>0</v>
      </c>
      <c r="BB23" s="193">
        <f t="shared" si="28"/>
        <v>1.5</v>
      </c>
      <c r="BC23" s="194">
        <f t="shared" si="29"/>
        <v>1.5</v>
      </c>
      <c r="BD23" s="195">
        <f t="shared" si="30"/>
        <v>88</v>
      </c>
      <c r="BE23" s="195">
        <f t="shared" si="31"/>
        <v>113.5</v>
      </c>
      <c r="BF23" s="196">
        <f t="shared" si="32"/>
        <v>201.5</v>
      </c>
      <c r="BG23" s="147">
        <v>0</v>
      </c>
      <c r="BH23" s="147">
        <v>3827</v>
      </c>
      <c r="BI23" s="147">
        <v>39</v>
      </c>
      <c r="BJ23" s="150">
        <f t="shared" si="33"/>
        <v>3866</v>
      </c>
      <c r="BK23" s="147">
        <v>126</v>
      </c>
      <c r="BL23" s="147">
        <v>633</v>
      </c>
      <c r="BM23" s="147">
        <v>21</v>
      </c>
      <c r="BN23" s="147">
        <f t="shared" si="34"/>
        <v>780</v>
      </c>
      <c r="BO23" s="147">
        <v>556</v>
      </c>
      <c r="BP23" s="147">
        <v>107</v>
      </c>
      <c r="BQ23" s="147">
        <v>0</v>
      </c>
      <c r="BR23" s="147">
        <f t="shared" si="35"/>
        <v>663</v>
      </c>
      <c r="BS23" s="150">
        <f t="shared" si="36"/>
        <v>1443</v>
      </c>
      <c r="BT23" s="147">
        <v>4</v>
      </c>
      <c r="BU23" s="150">
        <f t="shared" si="37"/>
        <v>4548</v>
      </c>
    </row>
    <row r="24" spans="1:73" ht="15.75" customHeight="1">
      <c r="A24" s="206">
        <v>46010</v>
      </c>
      <c r="B24" s="186" t="s">
        <v>42</v>
      </c>
      <c r="C24" s="150">
        <v>6</v>
      </c>
      <c r="D24" s="150">
        <v>5</v>
      </c>
      <c r="E24" s="187">
        <f t="shared" si="0"/>
        <v>11</v>
      </c>
      <c r="F24" s="150">
        <v>3</v>
      </c>
      <c r="G24" s="150">
        <v>2</v>
      </c>
      <c r="H24" s="150">
        <v>0</v>
      </c>
      <c r="I24" s="150">
        <f t="shared" si="1"/>
        <v>5</v>
      </c>
      <c r="J24" s="150">
        <v>4</v>
      </c>
      <c r="K24" s="150">
        <v>3</v>
      </c>
      <c r="L24" s="150">
        <v>0</v>
      </c>
      <c r="M24" s="150">
        <f t="shared" si="2"/>
        <v>7</v>
      </c>
      <c r="N24" s="188">
        <f t="shared" ref="N24:P24" si="56">F24+J24</f>
        <v>7</v>
      </c>
      <c r="O24" s="189">
        <f t="shared" si="56"/>
        <v>5</v>
      </c>
      <c r="P24" s="150">
        <f t="shared" si="56"/>
        <v>0</v>
      </c>
      <c r="Q24" s="190">
        <f t="shared" si="4"/>
        <v>12</v>
      </c>
      <c r="R24" s="150">
        <f t="shared" si="5"/>
        <v>11</v>
      </c>
      <c r="S24" s="150">
        <f t="shared" si="6"/>
        <v>12</v>
      </c>
      <c r="T24" s="191">
        <f t="shared" si="7"/>
        <v>23</v>
      </c>
      <c r="U24" s="192"/>
      <c r="V24" s="150">
        <v>0</v>
      </c>
      <c r="W24" s="150">
        <f t="shared" si="8"/>
        <v>6</v>
      </c>
      <c r="X24" s="150">
        <f t="shared" si="9"/>
        <v>48</v>
      </c>
      <c r="Y24" s="150">
        <v>1</v>
      </c>
      <c r="Z24" s="150">
        <f>D24-Y24</f>
        <v>4</v>
      </c>
      <c r="AA24" s="150">
        <f t="shared" si="11"/>
        <v>36</v>
      </c>
      <c r="AB24" s="150">
        <f t="shared" si="12"/>
        <v>84</v>
      </c>
      <c r="AC24" s="150">
        <v>0</v>
      </c>
      <c r="AD24" s="150">
        <f t="shared" si="13"/>
        <v>5</v>
      </c>
      <c r="AE24" s="150">
        <f t="shared" si="14"/>
        <v>40</v>
      </c>
      <c r="AF24" s="150">
        <v>0</v>
      </c>
      <c r="AG24" s="150">
        <f t="shared" si="15"/>
        <v>7</v>
      </c>
      <c r="AH24" s="150">
        <f t="shared" si="16"/>
        <v>56</v>
      </c>
      <c r="AI24" s="150">
        <f t="shared" si="17"/>
        <v>96</v>
      </c>
      <c r="AJ24" s="150">
        <f t="shared" si="18"/>
        <v>88</v>
      </c>
      <c r="AK24" s="150">
        <f t="shared" si="19"/>
        <v>92</v>
      </c>
      <c r="AL24" s="191">
        <f t="shared" si="20"/>
        <v>180</v>
      </c>
      <c r="AM24" s="150">
        <v>0</v>
      </c>
      <c r="AN24" s="193">
        <v>0</v>
      </c>
      <c r="AO24" s="193">
        <f t="shared" si="21"/>
        <v>0</v>
      </c>
      <c r="AP24" s="150">
        <v>0</v>
      </c>
      <c r="AQ24" s="193">
        <v>0</v>
      </c>
      <c r="AR24" s="193">
        <f t="shared" si="22"/>
        <v>0</v>
      </c>
      <c r="AS24" s="193">
        <f t="shared" si="23"/>
        <v>0</v>
      </c>
      <c r="AT24" s="150">
        <v>0</v>
      </c>
      <c r="AU24" s="193">
        <v>0</v>
      </c>
      <c r="AV24" s="193">
        <f t="shared" si="24"/>
        <v>0</v>
      </c>
      <c r="AW24" s="150">
        <v>0</v>
      </c>
      <c r="AX24" s="193">
        <v>0</v>
      </c>
      <c r="AY24" s="193">
        <f t="shared" si="25"/>
        <v>0</v>
      </c>
      <c r="AZ24" s="193">
        <f t="shared" si="26"/>
        <v>0</v>
      </c>
      <c r="BA24" s="193">
        <f t="shared" si="27"/>
        <v>0</v>
      </c>
      <c r="BB24" s="193">
        <f t="shared" si="28"/>
        <v>0</v>
      </c>
      <c r="BC24" s="194">
        <f t="shared" si="29"/>
        <v>0</v>
      </c>
      <c r="BD24" s="195">
        <f t="shared" si="30"/>
        <v>88</v>
      </c>
      <c r="BE24" s="195">
        <f t="shared" si="31"/>
        <v>92</v>
      </c>
      <c r="BF24" s="196">
        <f t="shared" si="32"/>
        <v>180</v>
      </c>
      <c r="BG24" s="147">
        <v>0</v>
      </c>
      <c r="BH24" s="147">
        <v>3993</v>
      </c>
      <c r="BI24" s="147">
        <v>23</v>
      </c>
      <c r="BJ24" s="150">
        <f t="shared" si="33"/>
        <v>4016</v>
      </c>
      <c r="BK24" s="147">
        <v>215</v>
      </c>
      <c r="BL24" s="147">
        <v>1284</v>
      </c>
      <c r="BM24" s="147">
        <v>30</v>
      </c>
      <c r="BN24" s="147">
        <f t="shared" si="34"/>
        <v>1529</v>
      </c>
      <c r="BO24" s="147">
        <v>547</v>
      </c>
      <c r="BP24" s="147">
        <v>95</v>
      </c>
      <c r="BQ24" s="147">
        <v>0</v>
      </c>
      <c r="BR24" s="147">
        <f t="shared" si="35"/>
        <v>642</v>
      </c>
      <c r="BS24" s="150">
        <f t="shared" si="36"/>
        <v>2171</v>
      </c>
      <c r="BT24" s="147">
        <v>4</v>
      </c>
      <c r="BU24" s="150">
        <f t="shared" si="37"/>
        <v>4778</v>
      </c>
    </row>
    <row r="25" spans="1:73" ht="15.75" customHeight="1">
      <c r="A25" s="207">
        <v>46011</v>
      </c>
      <c r="B25" s="204" t="s">
        <v>39</v>
      </c>
      <c r="C25" s="150">
        <v>0</v>
      </c>
      <c r="D25" s="150">
        <v>1</v>
      </c>
      <c r="E25" s="187">
        <f t="shared" si="0"/>
        <v>1</v>
      </c>
      <c r="F25" s="150">
        <v>0</v>
      </c>
      <c r="G25" s="150">
        <v>0</v>
      </c>
      <c r="H25" s="150">
        <v>0</v>
      </c>
      <c r="I25" s="150">
        <f t="shared" si="1"/>
        <v>0</v>
      </c>
      <c r="J25" s="150">
        <v>0</v>
      </c>
      <c r="K25" s="150">
        <v>0</v>
      </c>
      <c r="L25" s="150">
        <v>0</v>
      </c>
      <c r="M25" s="150">
        <f t="shared" si="2"/>
        <v>0</v>
      </c>
      <c r="N25" s="188">
        <f t="shared" ref="N25:P25" si="57">F25+J25</f>
        <v>0</v>
      </c>
      <c r="O25" s="189">
        <f t="shared" si="57"/>
        <v>0</v>
      </c>
      <c r="P25" s="150">
        <f t="shared" si="57"/>
        <v>0</v>
      </c>
      <c r="Q25" s="190">
        <f t="shared" si="4"/>
        <v>0</v>
      </c>
      <c r="R25" s="150">
        <f t="shared" si="5"/>
        <v>0</v>
      </c>
      <c r="S25" s="150">
        <f t="shared" si="6"/>
        <v>1</v>
      </c>
      <c r="T25" s="191">
        <f t="shared" si="7"/>
        <v>1</v>
      </c>
      <c r="U25" s="192"/>
      <c r="V25" s="150">
        <v>0</v>
      </c>
      <c r="W25" s="150">
        <f t="shared" si="8"/>
        <v>0</v>
      </c>
      <c r="X25" s="150">
        <f t="shared" si="9"/>
        <v>0</v>
      </c>
      <c r="Y25" s="150">
        <v>1</v>
      </c>
      <c r="Z25" s="150">
        <v>0</v>
      </c>
      <c r="AA25" s="150">
        <f t="shared" si="11"/>
        <v>4</v>
      </c>
      <c r="AB25" s="150">
        <f t="shared" si="12"/>
        <v>4</v>
      </c>
      <c r="AC25" s="150">
        <v>0</v>
      </c>
      <c r="AD25" s="150">
        <f t="shared" si="13"/>
        <v>0</v>
      </c>
      <c r="AE25" s="150">
        <f t="shared" si="14"/>
        <v>0</v>
      </c>
      <c r="AF25" s="150">
        <v>0</v>
      </c>
      <c r="AG25" s="150">
        <f t="shared" si="15"/>
        <v>0</v>
      </c>
      <c r="AH25" s="150">
        <f t="shared" si="16"/>
        <v>0</v>
      </c>
      <c r="AI25" s="150">
        <f t="shared" si="17"/>
        <v>0</v>
      </c>
      <c r="AJ25" s="150">
        <f t="shared" si="18"/>
        <v>0</v>
      </c>
      <c r="AK25" s="150">
        <f t="shared" si="19"/>
        <v>4</v>
      </c>
      <c r="AL25" s="191">
        <f t="shared" si="20"/>
        <v>4</v>
      </c>
      <c r="AM25" s="150">
        <v>0</v>
      </c>
      <c r="AN25" s="193">
        <v>0</v>
      </c>
      <c r="AO25" s="193">
        <f t="shared" si="21"/>
        <v>0</v>
      </c>
      <c r="AP25" s="150">
        <v>0</v>
      </c>
      <c r="AQ25" s="193">
        <v>0</v>
      </c>
      <c r="AR25" s="193">
        <f t="shared" si="22"/>
        <v>0</v>
      </c>
      <c r="AS25" s="193">
        <f t="shared" si="23"/>
        <v>0</v>
      </c>
      <c r="AT25" s="150">
        <v>0</v>
      </c>
      <c r="AU25" s="193">
        <v>0</v>
      </c>
      <c r="AV25" s="193">
        <f t="shared" si="24"/>
        <v>0</v>
      </c>
      <c r="AW25" s="150">
        <v>0</v>
      </c>
      <c r="AX25" s="193">
        <v>0</v>
      </c>
      <c r="AY25" s="193">
        <f t="shared" si="25"/>
        <v>0</v>
      </c>
      <c r="AZ25" s="193">
        <f t="shared" si="26"/>
        <v>0</v>
      </c>
      <c r="BA25" s="193">
        <f t="shared" si="27"/>
        <v>0</v>
      </c>
      <c r="BB25" s="193">
        <f t="shared" si="28"/>
        <v>0</v>
      </c>
      <c r="BC25" s="194">
        <f t="shared" si="29"/>
        <v>0</v>
      </c>
      <c r="BD25" s="195">
        <f t="shared" si="30"/>
        <v>0</v>
      </c>
      <c r="BE25" s="195">
        <f t="shared" si="31"/>
        <v>4</v>
      </c>
      <c r="BF25" s="196">
        <f t="shared" si="32"/>
        <v>4</v>
      </c>
      <c r="BG25" s="147">
        <v>0</v>
      </c>
      <c r="BH25" s="147">
        <v>42</v>
      </c>
      <c r="BI25" s="147">
        <v>0</v>
      </c>
      <c r="BJ25" s="150">
        <f t="shared" si="33"/>
        <v>42</v>
      </c>
      <c r="BK25" s="147">
        <v>0</v>
      </c>
      <c r="BL25" s="147">
        <v>42</v>
      </c>
      <c r="BM25" s="147">
        <v>0</v>
      </c>
      <c r="BN25" s="147">
        <f t="shared" si="34"/>
        <v>42</v>
      </c>
      <c r="BO25" s="147">
        <v>0</v>
      </c>
      <c r="BP25" s="147">
        <v>0</v>
      </c>
      <c r="BQ25" s="147">
        <v>0</v>
      </c>
      <c r="BR25" s="147">
        <f t="shared" si="35"/>
        <v>0</v>
      </c>
      <c r="BS25" s="150">
        <f t="shared" si="36"/>
        <v>42</v>
      </c>
      <c r="BT25" s="147">
        <v>0</v>
      </c>
      <c r="BU25" s="150">
        <f t="shared" si="37"/>
        <v>42</v>
      </c>
    </row>
    <row r="26" spans="1:73" ht="15.75" customHeight="1">
      <c r="A26" s="207">
        <v>46012</v>
      </c>
      <c r="B26" s="204" t="s">
        <v>37</v>
      </c>
      <c r="C26" s="150">
        <v>1</v>
      </c>
      <c r="D26" s="150">
        <v>0</v>
      </c>
      <c r="E26" s="187">
        <f t="shared" si="0"/>
        <v>1</v>
      </c>
      <c r="F26" s="150">
        <v>0</v>
      </c>
      <c r="G26" s="150">
        <v>0</v>
      </c>
      <c r="H26" s="150">
        <v>0</v>
      </c>
      <c r="I26" s="150">
        <f t="shared" si="1"/>
        <v>0</v>
      </c>
      <c r="J26" s="150">
        <v>0</v>
      </c>
      <c r="K26" s="150">
        <v>0</v>
      </c>
      <c r="L26" s="150">
        <v>0</v>
      </c>
      <c r="M26" s="150">
        <f t="shared" si="2"/>
        <v>0</v>
      </c>
      <c r="N26" s="188">
        <f t="shared" ref="N26:P26" si="58">F26+J26</f>
        <v>0</v>
      </c>
      <c r="O26" s="189">
        <f t="shared" si="58"/>
        <v>0</v>
      </c>
      <c r="P26" s="150">
        <f t="shared" si="58"/>
        <v>0</v>
      </c>
      <c r="Q26" s="190">
        <f t="shared" si="4"/>
        <v>0</v>
      </c>
      <c r="R26" s="150">
        <f t="shared" si="5"/>
        <v>1</v>
      </c>
      <c r="S26" s="150">
        <f t="shared" si="6"/>
        <v>0</v>
      </c>
      <c r="T26" s="191">
        <f t="shared" si="7"/>
        <v>1</v>
      </c>
      <c r="U26" s="192"/>
      <c r="V26" s="150">
        <v>1</v>
      </c>
      <c r="W26" s="150">
        <v>0</v>
      </c>
      <c r="X26" s="150">
        <f t="shared" si="9"/>
        <v>4</v>
      </c>
      <c r="Y26" s="150">
        <v>0</v>
      </c>
      <c r="Z26" s="150">
        <f t="shared" ref="Z26:Z35" si="59">D26</f>
        <v>0</v>
      </c>
      <c r="AA26" s="150">
        <f t="shared" si="11"/>
        <v>0</v>
      </c>
      <c r="AB26" s="150">
        <f t="shared" si="12"/>
        <v>4</v>
      </c>
      <c r="AC26" s="150">
        <v>0</v>
      </c>
      <c r="AD26" s="150">
        <f t="shared" si="13"/>
        <v>0</v>
      </c>
      <c r="AE26" s="150">
        <f t="shared" si="14"/>
        <v>0</v>
      </c>
      <c r="AF26" s="150">
        <v>0</v>
      </c>
      <c r="AG26" s="150">
        <f t="shared" si="15"/>
        <v>0</v>
      </c>
      <c r="AH26" s="150">
        <f t="shared" si="16"/>
        <v>0</v>
      </c>
      <c r="AI26" s="150">
        <f t="shared" si="17"/>
        <v>0</v>
      </c>
      <c r="AJ26" s="150">
        <f t="shared" si="18"/>
        <v>4</v>
      </c>
      <c r="AK26" s="150">
        <f t="shared" si="19"/>
        <v>0</v>
      </c>
      <c r="AL26" s="191">
        <f t="shared" si="20"/>
        <v>4</v>
      </c>
      <c r="AM26" s="150">
        <v>0</v>
      </c>
      <c r="AN26" s="193">
        <v>0</v>
      </c>
      <c r="AO26" s="193">
        <f t="shared" si="21"/>
        <v>0</v>
      </c>
      <c r="AP26" s="150">
        <v>0</v>
      </c>
      <c r="AQ26" s="193">
        <v>0</v>
      </c>
      <c r="AR26" s="193">
        <f t="shared" si="22"/>
        <v>0</v>
      </c>
      <c r="AS26" s="193">
        <f t="shared" si="23"/>
        <v>0</v>
      </c>
      <c r="AT26" s="150">
        <v>0</v>
      </c>
      <c r="AU26" s="193">
        <v>0</v>
      </c>
      <c r="AV26" s="193">
        <f t="shared" si="24"/>
        <v>0</v>
      </c>
      <c r="AW26" s="150">
        <v>0</v>
      </c>
      <c r="AX26" s="193">
        <v>0</v>
      </c>
      <c r="AY26" s="193">
        <f t="shared" si="25"/>
        <v>0</v>
      </c>
      <c r="AZ26" s="193">
        <f t="shared" si="26"/>
        <v>0</v>
      </c>
      <c r="BA26" s="193">
        <f t="shared" si="27"/>
        <v>0</v>
      </c>
      <c r="BB26" s="193">
        <f t="shared" si="28"/>
        <v>0</v>
      </c>
      <c r="BC26" s="194">
        <f t="shared" si="29"/>
        <v>0</v>
      </c>
      <c r="BD26" s="195">
        <f t="shared" si="30"/>
        <v>4</v>
      </c>
      <c r="BE26" s="195">
        <f t="shared" si="31"/>
        <v>0</v>
      </c>
      <c r="BF26" s="196">
        <f t="shared" si="32"/>
        <v>4</v>
      </c>
      <c r="BG26" s="147">
        <v>0</v>
      </c>
      <c r="BH26" s="147">
        <v>37</v>
      </c>
      <c r="BI26" s="147">
        <v>44</v>
      </c>
      <c r="BJ26" s="150">
        <f t="shared" si="33"/>
        <v>81</v>
      </c>
      <c r="BK26" s="147">
        <v>0</v>
      </c>
      <c r="BL26" s="147">
        <v>37</v>
      </c>
      <c r="BM26" s="147">
        <v>0</v>
      </c>
      <c r="BN26" s="147">
        <f t="shared" si="34"/>
        <v>37</v>
      </c>
      <c r="BO26" s="147">
        <v>0</v>
      </c>
      <c r="BP26" s="147">
        <v>0</v>
      </c>
      <c r="BQ26" s="147">
        <v>0</v>
      </c>
      <c r="BR26" s="147">
        <f t="shared" si="35"/>
        <v>0</v>
      </c>
      <c r="BS26" s="150">
        <f t="shared" si="36"/>
        <v>37</v>
      </c>
      <c r="BT26" s="147">
        <v>0</v>
      </c>
      <c r="BU26" s="150">
        <f t="shared" si="37"/>
        <v>81</v>
      </c>
    </row>
    <row r="27" spans="1:73" ht="15.75" customHeight="1">
      <c r="A27" s="206">
        <v>46013</v>
      </c>
      <c r="B27" s="186" t="s">
        <v>44</v>
      </c>
      <c r="C27" s="150">
        <v>5</v>
      </c>
      <c r="D27" s="150">
        <v>5</v>
      </c>
      <c r="E27" s="187">
        <f t="shared" si="0"/>
        <v>10</v>
      </c>
      <c r="F27" s="150">
        <v>3</v>
      </c>
      <c r="G27" s="150">
        <v>3</v>
      </c>
      <c r="H27" s="150">
        <v>0</v>
      </c>
      <c r="I27" s="150">
        <f t="shared" si="1"/>
        <v>6</v>
      </c>
      <c r="J27" s="150">
        <v>5</v>
      </c>
      <c r="K27" s="150">
        <v>10</v>
      </c>
      <c r="L27" s="150">
        <v>0</v>
      </c>
      <c r="M27" s="150">
        <f t="shared" si="2"/>
        <v>15</v>
      </c>
      <c r="N27" s="188">
        <f t="shared" ref="N27:P27" si="60">F27+J27</f>
        <v>8</v>
      </c>
      <c r="O27" s="189">
        <f t="shared" si="60"/>
        <v>13</v>
      </c>
      <c r="P27" s="150">
        <f t="shared" si="60"/>
        <v>0</v>
      </c>
      <c r="Q27" s="190">
        <f t="shared" si="4"/>
        <v>21</v>
      </c>
      <c r="R27" s="150">
        <f t="shared" si="5"/>
        <v>11</v>
      </c>
      <c r="S27" s="150">
        <f t="shared" si="6"/>
        <v>20</v>
      </c>
      <c r="T27" s="191">
        <f t="shared" si="7"/>
        <v>31</v>
      </c>
      <c r="U27" s="192"/>
      <c r="V27" s="150">
        <v>0</v>
      </c>
      <c r="W27" s="150">
        <f>C27</f>
        <v>5</v>
      </c>
      <c r="X27" s="150">
        <f t="shared" si="9"/>
        <v>40</v>
      </c>
      <c r="Y27" s="150">
        <v>0</v>
      </c>
      <c r="Z27" s="150">
        <f t="shared" si="59"/>
        <v>5</v>
      </c>
      <c r="AA27" s="150">
        <f t="shared" si="11"/>
        <v>40</v>
      </c>
      <c r="AB27" s="150">
        <f t="shared" si="12"/>
        <v>80</v>
      </c>
      <c r="AC27" s="150">
        <v>0</v>
      </c>
      <c r="AD27" s="150">
        <f t="shared" si="13"/>
        <v>6</v>
      </c>
      <c r="AE27" s="150">
        <f t="shared" si="14"/>
        <v>48</v>
      </c>
      <c r="AF27" s="150">
        <v>0</v>
      </c>
      <c r="AG27" s="150">
        <f t="shared" si="15"/>
        <v>15</v>
      </c>
      <c r="AH27" s="150">
        <f t="shared" si="16"/>
        <v>120</v>
      </c>
      <c r="AI27" s="150">
        <f t="shared" si="17"/>
        <v>168</v>
      </c>
      <c r="AJ27" s="150">
        <f t="shared" si="18"/>
        <v>88</v>
      </c>
      <c r="AK27" s="150">
        <f t="shared" si="19"/>
        <v>160</v>
      </c>
      <c r="AL27" s="191">
        <f t="shared" si="20"/>
        <v>248</v>
      </c>
      <c r="AM27" s="150">
        <v>0</v>
      </c>
      <c r="AN27" s="193">
        <v>0</v>
      </c>
      <c r="AO27" s="193">
        <f t="shared" si="21"/>
        <v>0</v>
      </c>
      <c r="AP27" s="150">
        <v>0</v>
      </c>
      <c r="AQ27" s="193">
        <v>0</v>
      </c>
      <c r="AR27" s="193">
        <f t="shared" si="22"/>
        <v>0</v>
      </c>
      <c r="AS27" s="193">
        <f t="shared" si="23"/>
        <v>0</v>
      </c>
      <c r="AT27" s="150">
        <v>0</v>
      </c>
      <c r="AU27" s="193">
        <v>0</v>
      </c>
      <c r="AV27" s="193">
        <f t="shared" si="24"/>
        <v>0</v>
      </c>
      <c r="AW27" s="150">
        <v>0</v>
      </c>
      <c r="AX27" s="193">
        <v>0</v>
      </c>
      <c r="AY27" s="193">
        <f t="shared" si="25"/>
        <v>0</v>
      </c>
      <c r="AZ27" s="193">
        <f t="shared" si="26"/>
        <v>0</v>
      </c>
      <c r="BA27" s="193">
        <f t="shared" si="27"/>
        <v>0</v>
      </c>
      <c r="BB27" s="193">
        <f t="shared" si="28"/>
        <v>0</v>
      </c>
      <c r="BC27" s="194">
        <f t="shared" si="29"/>
        <v>0</v>
      </c>
      <c r="BD27" s="195">
        <f t="shared" si="30"/>
        <v>88</v>
      </c>
      <c r="BE27" s="195">
        <f t="shared" si="31"/>
        <v>160</v>
      </c>
      <c r="BF27" s="196">
        <f t="shared" si="32"/>
        <v>248</v>
      </c>
      <c r="BG27" s="147">
        <v>0</v>
      </c>
      <c r="BH27" s="147">
        <v>5340</v>
      </c>
      <c r="BI27" s="147">
        <v>13</v>
      </c>
      <c r="BJ27" s="150">
        <f t="shared" si="33"/>
        <v>5353</v>
      </c>
      <c r="BK27" s="147">
        <v>441</v>
      </c>
      <c r="BL27" s="147">
        <v>1876</v>
      </c>
      <c r="BM27" s="147">
        <v>30</v>
      </c>
      <c r="BN27" s="147">
        <f t="shared" si="34"/>
        <v>2347</v>
      </c>
      <c r="BO27" s="147">
        <v>1589</v>
      </c>
      <c r="BP27" s="147">
        <v>298</v>
      </c>
      <c r="BQ27" s="147">
        <v>0</v>
      </c>
      <c r="BR27" s="147">
        <f t="shared" si="35"/>
        <v>1887</v>
      </c>
      <c r="BS27" s="150">
        <f t="shared" si="36"/>
        <v>4234</v>
      </c>
      <c r="BT27" s="147">
        <v>2</v>
      </c>
      <c r="BU27" s="150">
        <f t="shared" si="37"/>
        <v>7383</v>
      </c>
    </row>
    <row r="28" spans="1:73" ht="15.75" customHeight="1">
      <c r="A28" s="206">
        <v>46014</v>
      </c>
      <c r="B28" s="186" t="s">
        <v>38</v>
      </c>
      <c r="C28" s="193">
        <v>5.5</v>
      </c>
      <c r="D28" s="150">
        <v>6</v>
      </c>
      <c r="E28" s="187">
        <f t="shared" si="0"/>
        <v>11.5</v>
      </c>
      <c r="F28" s="150">
        <v>2</v>
      </c>
      <c r="G28" s="150">
        <v>2</v>
      </c>
      <c r="H28" s="150">
        <v>0</v>
      </c>
      <c r="I28" s="150">
        <f t="shared" si="1"/>
        <v>4</v>
      </c>
      <c r="J28" s="150">
        <v>5</v>
      </c>
      <c r="K28" s="150">
        <v>5</v>
      </c>
      <c r="L28" s="150">
        <v>0</v>
      </c>
      <c r="M28" s="150">
        <f t="shared" si="2"/>
        <v>10</v>
      </c>
      <c r="N28" s="188">
        <f t="shared" ref="N28:P28" si="61">F28+J28</f>
        <v>7</v>
      </c>
      <c r="O28" s="189">
        <f t="shared" si="61"/>
        <v>7</v>
      </c>
      <c r="P28" s="150">
        <f t="shared" si="61"/>
        <v>0</v>
      </c>
      <c r="Q28" s="190">
        <f t="shared" si="4"/>
        <v>14</v>
      </c>
      <c r="R28" s="150">
        <f t="shared" si="5"/>
        <v>9.5</v>
      </c>
      <c r="S28" s="150">
        <f t="shared" si="6"/>
        <v>16</v>
      </c>
      <c r="T28" s="191">
        <f t="shared" si="7"/>
        <v>25.5</v>
      </c>
      <c r="U28" s="192"/>
      <c r="V28" s="150">
        <v>1</v>
      </c>
      <c r="W28" s="150">
        <v>5</v>
      </c>
      <c r="X28" s="150">
        <f t="shared" si="9"/>
        <v>44</v>
      </c>
      <c r="Y28" s="150">
        <v>0</v>
      </c>
      <c r="Z28" s="150">
        <f t="shared" si="59"/>
        <v>6</v>
      </c>
      <c r="AA28" s="150">
        <f t="shared" si="11"/>
        <v>48</v>
      </c>
      <c r="AB28" s="150">
        <f t="shared" si="12"/>
        <v>92</v>
      </c>
      <c r="AC28" s="150">
        <v>0</v>
      </c>
      <c r="AD28" s="150">
        <f t="shared" si="13"/>
        <v>4</v>
      </c>
      <c r="AE28" s="150">
        <f t="shared" si="14"/>
        <v>32</v>
      </c>
      <c r="AF28" s="150">
        <v>0</v>
      </c>
      <c r="AG28" s="150">
        <f t="shared" si="15"/>
        <v>10</v>
      </c>
      <c r="AH28" s="150">
        <f t="shared" si="16"/>
        <v>80</v>
      </c>
      <c r="AI28" s="150">
        <f t="shared" si="17"/>
        <v>112</v>
      </c>
      <c r="AJ28" s="150">
        <f t="shared" si="18"/>
        <v>76</v>
      </c>
      <c r="AK28" s="150">
        <f t="shared" si="19"/>
        <v>128</v>
      </c>
      <c r="AL28" s="191">
        <f t="shared" si="20"/>
        <v>204</v>
      </c>
      <c r="AM28" s="150">
        <v>0</v>
      </c>
      <c r="AN28" s="193">
        <v>0</v>
      </c>
      <c r="AO28" s="193">
        <f t="shared" si="21"/>
        <v>0</v>
      </c>
      <c r="AP28" s="150">
        <v>2</v>
      </c>
      <c r="AQ28" s="193">
        <v>2.5</v>
      </c>
      <c r="AR28" s="193">
        <f t="shared" si="22"/>
        <v>5</v>
      </c>
      <c r="AS28" s="193">
        <f t="shared" si="23"/>
        <v>5</v>
      </c>
      <c r="AT28" s="150">
        <v>0</v>
      </c>
      <c r="AU28" s="193">
        <v>0</v>
      </c>
      <c r="AV28" s="193">
        <f t="shared" si="24"/>
        <v>0</v>
      </c>
      <c r="AW28" s="150">
        <v>0</v>
      </c>
      <c r="AX28" s="193">
        <v>0</v>
      </c>
      <c r="AY28" s="193">
        <f t="shared" si="25"/>
        <v>0</v>
      </c>
      <c r="AZ28" s="193">
        <f t="shared" si="26"/>
        <v>0</v>
      </c>
      <c r="BA28" s="193">
        <f t="shared" si="27"/>
        <v>0</v>
      </c>
      <c r="BB28" s="193">
        <f t="shared" si="28"/>
        <v>5</v>
      </c>
      <c r="BC28" s="194">
        <f t="shared" si="29"/>
        <v>5</v>
      </c>
      <c r="BD28" s="195">
        <f t="shared" si="30"/>
        <v>76</v>
      </c>
      <c r="BE28" s="195">
        <f t="shared" si="31"/>
        <v>133</v>
      </c>
      <c r="BF28" s="196">
        <f t="shared" si="32"/>
        <v>209</v>
      </c>
      <c r="BG28" s="147">
        <v>0</v>
      </c>
      <c r="BH28" s="147">
        <v>5293</v>
      </c>
      <c r="BI28" s="147">
        <v>7</v>
      </c>
      <c r="BJ28" s="150">
        <f t="shared" si="33"/>
        <v>5300</v>
      </c>
      <c r="BK28" s="147">
        <v>160</v>
      </c>
      <c r="BL28" s="147">
        <v>1086</v>
      </c>
      <c r="BM28" s="147">
        <v>34</v>
      </c>
      <c r="BN28" s="147">
        <f t="shared" si="34"/>
        <v>1280</v>
      </c>
      <c r="BO28" s="147">
        <v>509</v>
      </c>
      <c r="BP28" s="147">
        <v>84</v>
      </c>
      <c r="BQ28" s="147">
        <v>0</v>
      </c>
      <c r="BR28" s="147">
        <f t="shared" si="35"/>
        <v>593</v>
      </c>
      <c r="BS28" s="150">
        <f t="shared" si="36"/>
        <v>1873</v>
      </c>
      <c r="BT28" s="147">
        <v>1</v>
      </c>
      <c r="BU28" s="150">
        <f t="shared" si="37"/>
        <v>5969</v>
      </c>
    </row>
    <row r="29" spans="1:73" ht="15.75" customHeight="1">
      <c r="A29" s="206">
        <v>46015</v>
      </c>
      <c r="B29" s="186" t="s">
        <v>45</v>
      </c>
      <c r="C29" s="150">
        <v>6</v>
      </c>
      <c r="D29" s="150">
        <v>5</v>
      </c>
      <c r="E29" s="187">
        <f t="shared" si="0"/>
        <v>11</v>
      </c>
      <c r="F29" s="150">
        <v>2</v>
      </c>
      <c r="G29" s="150">
        <v>3</v>
      </c>
      <c r="H29" s="150">
        <v>0</v>
      </c>
      <c r="I29" s="150">
        <f t="shared" si="1"/>
        <v>5</v>
      </c>
      <c r="J29" s="150">
        <v>5</v>
      </c>
      <c r="K29" s="150">
        <v>7</v>
      </c>
      <c r="L29" s="150">
        <v>0</v>
      </c>
      <c r="M29" s="150">
        <f t="shared" si="2"/>
        <v>12</v>
      </c>
      <c r="N29" s="188">
        <f t="shared" ref="N29:P29" si="62">F29+J29</f>
        <v>7</v>
      </c>
      <c r="O29" s="189">
        <f t="shared" si="62"/>
        <v>10</v>
      </c>
      <c r="P29" s="150">
        <f t="shared" si="62"/>
        <v>0</v>
      </c>
      <c r="Q29" s="190">
        <f t="shared" si="4"/>
        <v>17</v>
      </c>
      <c r="R29" s="150">
        <f t="shared" si="5"/>
        <v>11</v>
      </c>
      <c r="S29" s="150">
        <f t="shared" si="6"/>
        <v>17</v>
      </c>
      <c r="T29" s="191">
        <f t="shared" si="7"/>
        <v>28</v>
      </c>
      <c r="U29" s="192"/>
      <c r="V29" s="150">
        <v>0</v>
      </c>
      <c r="W29" s="150">
        <f>C29</f>
        <v>6</v>
      </c>
      <c r="X29" s="150">
        <f t="shared" si="9"/>
        <v>48</v>
      </c>
      <c r="Y29" s="150">
        <v>0</v>
      </c>
      <c r="Z29" s="150">
        <f t="shared" si="59"/>
        <v>5</v>
      </c>
      <c r="AA29" s="150">
        <f t="shared" si="11"/>
        <v>40</v>
      </c>
      <c r="AB29" s="150">
        <f t="shared" si="12"/>
        <v>88</v>
      </c>
      <c r="AC29" s="150">
        <v>0</v>
      </c>
      <c r="AD29" s="150">
        <f t="shared" si="13"/>
        <v>5</v>
      </c>
      <c r="AE29" s="150">
        <f t="shared" si="14"/>
        <v>40</v>
      </c>
      <c r="AF29" s="150">
        <v>0</v>
      </c>
      <c r="AG29" s="150">
        <f t="shared" si="15"/>
        <v>12</v>
      </c>
      <c r="AH29" s="150">
        <f t="shared" si="16"/>
        <v>96</v>
      </c>
      <c r="AI29" s="150">
        <f t="shared" si="17"/>
        <v>136</v>
      </c>
      <c r="AJ29" s="150">
        <f t="shared" si="18"/>
        <v>88</v>
      </c>
      <c r="AK29" s="150">
        <f t="shared" si="19"/>
        <v>136</v>
      </c>
      <c r="AL29" s="191">
        <f t="shared" si="20"/>
        <v>224</v>
      </c>
      <c r="AM29" s="150">
        <v>0</v>
      </c>
      <c r="AN29" s="193">
        <v>0</v>
      </c>
      <c r="AO29" s="193">
        <f t="shared" si="21"/>
        <v>0</v>
      </c>
      <c r="AP29" s="150">
        <v>0</v>
      </c>
      <c r="AQ29" s="193">
        <v>0</v>
      </c>
      <c r="AR29" s="193">
        <f t="shared" si="22"/>
        <v>0</v>
      </c>
      <c r="AS29" s="193">
        <f t="shared" si="23"/>
        <v>0</v>
      </c>
      <c r="AT29" s="150">
        <v>0</v>
      </c>
      <c r="AU29" s="193">
        <v>0</v>
      </c>
      <c r="AV29" s="193">
        <f t="shared" si="24"/>
        <v>0</v>
      </c>
      <c r="AW29" s="150">
        <v>0</v>
      </c>
      <c r="AX29" s="193">
        <v>0</v>
      </c>
      <c r="AY29" s="193">
        <f t="shared" si="25"/>
        <v>0</v>
      </c>
      <c r="AZ29" s="193">
        <f t="shared" si="26"/>
        <v>0</v>
      </c>
      <c r="BA29" s="193">
        <f t="shared" si="27"/>
        <v>0</v>
      </c>
      <c r="BB29" s="193">
        <f t="shared" si="28"/>
        <v>0</v>
      </c>
      <c r="BC29" s="194">
        <f t="shared" si="29"/>
        <v>0</v>
      </c>
      <c r="BD29" s="195">
        <f t="shared" si="30"/>
        <v>88</v>
      </c>
      <c r="BE29" s="195">
        <f t="shared" si="31"/>
        <v>136</v>
      </c>
      <c r="BF29" s="196">
        <f t="shared" si="32"/>
        <v>224</v>
      </c>
      <c r="BG29" s="147">
        <v>0</v>
      </c>
      <c r="BH29" s="147">
        <v>4793</v>
      </c>
      <c r="BI29" s="147">
        <v>65</v>
      </c>
      <c r="BJ29" s="150">
        <f t="shared" si="33"/>
        <v>4858</v>
      </c>
      <c r="BK29" s="147">
        <v>118</v>
      </c>
      <c r="BL29" s="147">
        <v>806</v>
      </c>
      <c r="BM29" s="147">
        <v>10</v>
      </c>
      <c r="BN29" s="147">
        <f t="shared" si="34"/>
        <v>934</v>
      </c>
      <c r="BO29" s="147">
        <v>545</v>
      </c>
      <c r="BP29" s="147">
        <v>51</v>
      </c>
      <c r="BQ29" s="147">
        <v>0</v>
      </c>
      <c r="BR29" s="147">
        <f t="shared" si="35"/>
        <v>596</v>
      </c>
      <c r="BS29" s="150">
        <f t="shared" si="36"/>
        <v>1530</v>
      </c>
      <c r="BT29" s="147">
        <v>6</v>
      </c>
      <c r="BU29" s="150">
        <f t="shared" si="37"/>
        <v>5521</v>
      </c>
    </row>
    <row r="30" spans="1:73" ht="15.75" customHeight="1">
      <c r="A30" s="207">
        <v>46016</v>
      </c>
      <c r="B30" s="204" t="s">
        <v>32</v>
      </c>
      <c r="C30" s="150">
        <v>1</v>
      </c>
      <c r="D30" s="150">
        <v>0</v>
      </c>
      <c r="E30" s="187">
        <f t="shared" si="0"/>
        <v>1</v>
      </c>
      <c r="F30" s="150">
        <v>0</v>
      </c>
      <c r="G30" s="150">
        <v>0</v>
      </c>
      <c r="H30" s="150">
        <v>0</v>
      </c>
      <c r="I30" s="150">
        <f t="shared" si="1"/>
        <v>0</v>
      </c>
      <c r="J30" s="150">
        <v>0</v>
      </c>
      <c r="K30" s="150">
        <v>0</v>
      </c>
      <c r="L30" s="150">
        <v>0</v>
      </c>
      <c r="M30" s="150">
        <f t="shared" si="2"/>
        <v>0</v>
      </c>
      <c r="N30" s="188">
        <f t="shared" ref="N30:P30" si="63">F30+J30</f>
        <v>0</v>
      </c>
      <c r="O30" s="189">
        <f t="shared" si="63"/>
        <v>0</v>
      </c>
      <c r="P30" s="150">
        <f t="shared" si="63"/>
        <v>0</v>
      </c>
      <c r="Q30" s="190">
        <f t="shared" si="4"/>
        <v>0</v>
      </c>
      <c r="R30" s="150">
        <f t="shared" si="5"/>
        <v>1</v>
      </c>
      <c r="S30" s="150">
        <f t="shared" si="6"/>
        <v>0</v>
      </c>
      <c r="T30" s="191">
        <f t="shared" si="7"/>
        <v>1</v>
      </c>
      <c r="U30" s="192"/>
      <c r="V30" s="150">
        <v>1</v>
      </c>
      <c r="W30" s="150">
        <v>0</v>
      </c>
      <c r="X30" s="150">
        <f t="shared" si="9"/>
        <v>4</v>
      </c>
      <c r="Y30" s="150">
        <v>0</v>
      </c>
      <c r="Z30" s="150">
        <f t="shared" si="59"/>
        <v>0</v>
      </c>
      <c r="AA30" s="150">
        <f t="shared" si="11"/>
        <v>0</v>
      </c>
      <c r="AB30" s="150">
        <f t="shared" si="12"/>
        <v>4</v>
      </c>
      <c r="AC30" s="150">
        <v>0</v>
      </c>
      <c r="AD30" s="150">
        <f t="shared" si="13"/>
        <v>0</v>
      </c>
      <c r="AE30" s="150">
        <f t="shared" si="14"/>
        <v>0</v>
      </c>
      <c r="AF30" s="150">
        <v>0</v>
      </c>
      <c r="AG30" s="150">
        <v>0</v>
      </c>
      <c r="AH30" s="150">
        <f t="shared" si="16"/>
        <v>0</v>
      </c>
      <c r="AI30" s="150">
        <f t="shared" si="17"/>
        <v>0</v>
      </c>
      <c r="AJ30" s="150">
        <f t="shared" si="18"/>
        <v>4</v>
      </c>
      <c r="AK30" s="150">
        <f t="shared" si="19"/>
        <v>0</v>
      </c>
      <c r="AL30" s="191">
        <f t="shared" si="20"/>
        <v>4</v>
      </c>
      <c r="AM30" s="150">
        <v>0</v>
      </c>
      <c r="AN30" s="193">
        <v>0</v>
      </c>
      <c r="AO30" s="193">
        <f t="shared" si="21"/>
        <v>0</v>
      </c>
      <c r="AP30" s="150">
        <v>0</v>
      </c>
      <c r="AQ30" s="193">
        <v>0</v>
      </c>
      <c r="AR30" s="193">
        <f t="shared" si="22"/>
        <v>0</v>
      </c>
      <c r="AS30" s="193">
        <f t="shared" si="23"/>
        <v>0</v>
      </c>
      <c r="AT30" s="150">
        <v>0</v>
      </c>
      <c r="AU30" s="193">
        <v>0</v>
      </c>
      <c r="AV30" s="193">
        <f t="shared" si="24"/>
        <v>0</v>
      </c>
      <c r="AW30" s="150">
        <v>0</v>
      </c>
      <c r="AX30" s="193">
        <v>0</v>
      </c>
      <c r="AY30" s="193">
        <f t="shared" si="25"/>
        <v>0</v>
      </c>
      <c r="AZ30" s="193">
        <f t="shared" si="26"/>
        <v>0</v>
      </c>
      <c r="BA30" s="193">
        <f t="shared" si="27"/>
        <v>0</v>
      </c>
      <c r="BB30" s="193">
        <f t="shared" si="28"/>
        <v>0</v>
      </c>
      <c r="BC30" s="194">
        <f t="shared" si="29"/>
        <v>0</v>
      </c>
      <c r="BD30" s="195">
        <f t="shared" si="30"/>
        <v>4</v>
      </c>
      <c r="BE30" s="195">
        <f t="shared" si="31"/>
        <v>0</v>
      </c>
      <c r="BF30" s="196">
        <f t="shared" si="32"/>
        <v>4</v>
      </c>
      <c r="BG30" s="147">
        <v>0</v>
      </c>
      <c r="BH30" s="147">
        <v>43</v>
      </c>
      <c r="BI30" s="147">
        <v>0</v>
      </c>
      <c r="BJ30" s="150">
        <f t="shared" si="33"/>
        <v>43</v>
      </c>
      <c r="BK30" s="147">
        <v>0</v>
      </c>
      <c r="BL30" s="147">
        <v>32</v>
      </c>
      <c r="BM30" s="147">
        <v>0</v>
      </c>
      <c r="BN30" s="147">
        <f t="shared" si="34"/>
        <v>32</v>
      </c>
      <c r="BO30" s="147">
        <v>0</v>
      </c>
      <c r="BP30" s="147">
        <v>0</v>
      </c>
      <c r="BQ30" s="147">
        <v>0</v>
      </c>
      <c r="BR30" s="147">
        <f t="shared" si="35"/>
        <v>0</v>
      </c>
      <c r="BS30" s="150">
        <f t="shared" si="36"/>
        <v>32</v>
      </c>
      <c r="BT30" s="147">
        <v>0</v>
      </c>
      <c r="BU30" s="150">
        <f t="shared" si="37"/>
        <v>43</v>
      </c>
    </row>
    <row r="31" spans="1:73" ht="15.75" customHeight="1">
      <c r="A31" s="206">
        <v>46017</v>
      </c>
      <c r="B31" s="186" t="s">
        <v>42</v>
      </c>
      <c r="C31" s="150">
        <v>5</v>
      </c>
      <c r="D31" s="150">
        <v>5</v>
      </c>
      <c r="E31" s="187">
        <f t="shared" si="0"/>
        <v>10</v>
      </c>
      <c r="F31" s="150">
        <v>3</v>
      </c>
      <c r="G31" s="150">
        <v>3</v>
      </c>
      <c r="H31" s="150">
        <v>0</v>
      </c>
      <c r="I31" s="150">
        <f t="shared" si="1"/>
        <v>6</v>
      </c>
      <c r="J31" s="150">
        <v>2</v>
      </c>
      <c r="K31" s="150">
        <v>12</v>
      </c>
      <c r="L31" s="150">
        <v>0</v>
      </c>
      <c r="M31" s="150">
        <f t="shared" si="2"/>
        <v>14</v>
      </c>
      <c r="N31" s="188">
        <f t="shared" ref="N31:P31" si="64">F31+J31</f>
        <v>5</v>
      </c>
      <c r="O31" s="189">
        <f t="shared" si="64"/>
        <v>15</v>
      </c>
      <c r="P31" s="150">
        <f t="shared" si="64"/>
        <v>0</v>
      </c>
      <c r="Q31" s="190">
        <f t="shared" si="4"/>
        <v>20</v>
      </c>
      <c r="R31" s="150">
        <f t="shared" si="5"/>
        <v>11</v>
      </c>
      <c r="S31" s="150">
        <f t="shared" si="6"/>
        <v>19</v>
      </c>
      <c r="T31" s="191">
        <f t="shared" si="7"/>
        <v>30</v>
      </c>
      <c r="U31" s="192"/>
      <c r="V31" s="150">
        <v>0</v>
      </c>
      <c r="W31" s="150">
        <f t="shared" ref="W31:W36" si="65">C31</f>
        <v>5</v>
      </c>
      <c r="X31" s="150">
        <f t="shared" si="9"/>
        <v>40</v>
      </c>
      <c r="Y31" s="150">
        <v>0</v>
      </c>
      <c r="Z31" s="150">
        <f t="shared" si="59"/>
        <v>5</v>
      </c>
      <c r="AA31" s="150">
        <f t="shared" si="11"/>
        <v>40</v>
      </c>
      <c r="AB31" s="150">
        <f t="shared" si="12"/>
        <v>80</v>
      </c>
      <c r="AC31" s="150">
        <v>0</v>
      </c>
      <c r="AD31" s="150">
        <f t="shared" si="13"/>
        <v>6</v>
      </c>
      <c r="AE31" s="150">
        <f t="shared" si="14"/>
        <v>48</v>
      </c>
      <c r="AF31" s="150">
        <v>0</v>
      </c>
      <c r="AG31" s="150">
        <f t="shared" ref="AG31:AG36" si="66">M31</f>
        <v>14</v>
      </c>
      <c r="AH31" s="150">
        <f t="shared" si="16"/>
        <v>112</v>
      </c>
      <c r="AI31" s="150">
        <f t="shared" si="17"/>
        <v>160</v>
      </c>
      <c r="AJ31" s="150">
        <f t="shared" si="18"/>
        <v>88</v>
      </c>
      <c r="AK31" s="150">
        <f t="shared" si="19"/>
        <v>152</v>
      </c>
      <c r="AL31" s="191">
        <f t="shared" si="20"/>
        <v>240</v>
      </c>
      <c r="AM31" s="150">
        <v>1</v>
      </c>
      <c r="AN31" s="193">
        <v>2</v>
      </c>
      <c r="AO31" s="193">
        <f t="shared" si="21"/>
        <v>2</v>
      </c>
      <c r="AP31" s="150">
        <v>4</v>
      </c>
      <c r="AQ31" s="193">
        <v>2.5</v>
      </c>
      <c r="AR31" s="193">
        <f t="shared" si="22"/>
        <v>10</v>
      </c>
      <c r="AS31" s="193">
        <f t="shared" si="23"/>
        <v>12</v>
      </c>
      <c r="AT31" s="150">
        <v>2</v>
      </c>
      <c r="AU31" s="193">
        <v>2</v>
      </c>
      <c r="AV31" s="193">
        <f t="shared" si="24"/>
        <v>4</v>
      </c>
      <c r="AW31" s="150">
        <v>10</v>
      </c>
      <c r="AX31" s="193">
        <v>2</v>
      </c>
      <c r="AY31" s="193">
        <f t="shared" si="25"/>
        <v>20</v>
      </c>
      <c r="AZ31" s="193">
        <f t="shared" si="26"/>
        <v>24</v>
      </c>
      <c r="BA31" s="193">
        <f t="shared" si="27"/>
        <v>6</v>
      </c>
      <c r="BB31" s="193">
        <f t="shared" si="28"/>
        <v>30</v>
      </c>
      <c r="BC31" s="194">
        <f t="shared" si="29"/>
        <v>36</v>
      </c>
      <c r="BD31" s="195">
        <f t="shared" si="30"/>
        <v>94</v>
      </c>
      <c r="BE31" s="195">
        <f t="shared" si="31"/>
        <v>182</v>
      </c>
      <c r="BF31" s="196">
        <f t="shared" si="32"/>
        <v>276</v>
      </c>
      <c r="BG31" s="147">
        <v>0</v>
      </c>
      <c r="BH31" s="147">
        <v>4456</v>
      </c>
      <c r="BI31" s="147">
        <v>5</v>
      </c>
      <c r="BJ31" s="150">
        <f t="shared" si="33"/>
        <v>4461</v>
      </c>
      <c r="BK31" s="147">
        <v>1440</v>
      </c>
      <c r="BL31" s="147">
        <v>1905</v>
      </c>
      <c r="BM31" s="147">
        <v>18</v>
      </c>
      <c r="BN31" s="147">
        <f t="shared" si="34"/>
        <v>3363</v>
      </c>
      <c r="BO31" s="147">
        <v>1</v>
      </c>
      <c r="BP31" s="147">
        <v>106</v>
      </c>
      <c r="BQ31" s="147">
        <v>0</v>
      </c>
      <c r="BR31" s="147">
        <f t="shared" si="35"/>
        <v>107</v>
      </c>
      <c r="BS31" s="150">
        <f t="shared" si="36"/>
        <v>3470</v>
      </c>
      <c r="BT31" s="147">
        <v>2</v>
      </c>
      <c r="BU31" s="150">
        <f t="shared" si="37"/>
        <v>5902</v>
      </c>
    </row>
    <row r="32" spans="1:73" ht="15.75" customHeight="1">
      <c r="A32" s="207">
        <v>46018</v>
      </c>
      <c r="B32" s="204" t="s">
        <v>39</v>
      </c>
      <c r="C32" s="150">
        <v>0</v>
      </c>
      <c r="D32" s="150">
        <v>2</v>
      </c>
      <c r="E32" s="187">
        <f t="shared" si="0"/>
        <v>2</v>
      </c>
      <c r="F32" s="150">
        <v>0</v>
      </c>
      <c r="G32" s="150">
        <v>0</v>
      </c>
      <c r="H32" s="150">
        <v>0</v>
      </c>
      <c r="I32" s="150">
        <f t="shared" si="1"/>
        <v>0</v>
      </c>
      <c r="J32" s="150">
        <v>0</v>
      </c>
      <c r="K32" s="150">
        <v>0</v>
      </c>
      <c r="L32" s="150">
        <v>0</v>
      </c>
      <c r="M32" s="150">
        <f t="shared" si="2"/>
        <v>0</v>
      </c>
      <c r="N32" s="188">
        <f t="shared" ref="N32:P32" si="67">F32+J32</f>
        <v>0</v>
      </c>
      <c r="O32" s="189">
        <f t="shared" si="67"/>
        <v>0</v>
      </c>
      <c r="P32" s="150">
        <f t="shared" si="67"/>
        <v>0</v>
      </c>
      <c r="Q32" s="190">
        <f t="shared" si="4"/>
        <v>0</v>
      </c>
      <c r="R32" s="150">
        <f t="shared" si="5"/>
        <v>0</v>
      </c>
      <c r="S32" s="150">
        <f t="shared" si="6"/>
        <v>2</v>
      </c>
      <c r="T32" s="191">
        <f t="shared" si="7"/>
        <v>2</v>
      </c>
      <c r="U32" s="192"/>
      <c r="V32" s="150">
        <v>0</v>
      </c>
      <c r="W32" s="150">
        <f t="shared" si="65"/>
        <v>0</v>
      </c>
      <c r="X32" s="150">
        <f t="shared" si="9"/>
        <v>0</v>
      </c>
      <c r="Y32" s="150">
        <v>0</v>
      </c>
      <c r="Z32" s="150">
        <f t="shared" si="59"/>
        <v>2</v>
      </c>
      <c r="AA32" s="150">
        <f t="shared" si="11"/>
        <v>16</v>
      </c>
      <c r="AB32" s="150">
        <f t="shared" si="12"/>
        <v>16</v>
      </c>
      <c r="AC32" s="150">
        <v>0</v>
      </c>
      <c r="AD32" s="150">
        <f t="shared" si="13"/>
        <v>0</v>
      </c>
      <c r="AE32" s="150">
        <f t="shared" si="14"/>
        <v>0</v>
      </c>
      <c r="AF32" s="150">
        <v>0</v>
      </c>
      <c r="AG32" s="150">
        <f t="shared" si="66"/>
        <v>0</v>
      </c>
      <c r="AH32" s="150">
        <f t="shared" si="16"/>
        <v>0</v>
      </c>
      <c r="AI32" s="150">
        <f t="shared" si="17"/>
        <v>0</v>
      </c>
      <c r="AJ32" s="150">
        <f t="shared" si="18"/>
        <v>0</v>
      </c>
      <c r="AK32" s="150">
        <f t="shared" si="19"/>
        <v>16</v>
      </c>
      <c r="AL32" s="191">
        <f t="shared" si="20"/>
        <v>16</v>
      </c>
      <c r="AM32" s="150">
        <v>0</v>
      </c>
      <c r="AN32" s="193">
        <v>0</v>
      </c>
      <c r="AO32" s="193">
        <f t="shared" si="21"/>
        <v>0</v>
      </c>
      <c r="AP32" s="150">
        <v>2</v>
      </c>
      <c r="AQ32" s="193">
        <v>7</v>
      </c>
      <c r="AR32" s="193">
        <f t="shared" si="22"/>
        <v>14</v>
      </c>
      <c r="AS32" s="193">
        <f t="shared" si="23"/>
        <v>14</v>
      </c>
      <c r="AT32" s="150">
        <v>0</v>
      </c>
      <c r="AU32" s="193">
        <v>0</v>
      </c>
      <c r="AV32" s="193">
        <f t="shared" si="24"/>
        <v>0</v>
      </c>
      <c r="AW32" s="150">
        <v>0</v>
      </c>
      <c r="AX32" s="193">
        <v>0</v>
      </c>
      <c r="AY32" s="193">
        <f t="shared" si="25"/>
        <v>0</v>
      </c>
      <c r="AZ32" s="193">
        <f t="shared" si="26"/>
        <v>0</v>
      </c>
      <c r="BA32" s="193">
        <f t="shared" si="27"/>
        <v>0</v>
      </c>
      <c r="BB32" s="193">
        <f t="shared" si="28"/>
        <v>14</v>
      </c>
      <c r="BC32" s="194">
        <f t="shared" si="29"/>
        <v>14</v>
      </c>
      <c r="BD32" s="195">
        <f t="shared" si="30"/>
        <v>0</v>
      </c>
      <c r="BE32" s="195">
        <f t="shared" si="31"/>
        <v>30</v>
      </c>
      <c r="BF32" s="196">
        <f t="shared" si="32"/>
        <v>30</v>
      </c>
      <c r="BG32" s="147">
        <v>0</v>
      </c>
      <c r="BH32" s="147">
        <v>26</v>
      </c>
      <c r="BI32" s="147">
        <v>0</v>
      </c>
      <c r="BJ32" s="150">
        <f t="shared" si="33"/>
        <v>26</v>
      </c>
      <c r="BK32" s="147">
        <v>0</v>
      </c>
      <c r="BL32" s="147">
        <v>25</v>
      </c>
      <c r="BM32" s="147">
        <v>0</v>
      </c>
      <c r="BN32" s="147">
        <f t="shared" si="34"/>
        <v>25</v>
      </c>
      <c r="BO32" s="147">
        <v>0</v>
      </c>
      <c r="BP32" s="147">
        <v>0</v>
      </c>
      <c r="BQ32" s="147">
        <v>0</v>
      </c>
      <c r="BR32" s="147">
        <f t="shared" si="35"/>
        <v>0</v>
      </c>
      <c r="BS32" s="150">
        <f t="shared" si="36"/>
        <v>25</v>
      </c>
      <c r="BT32" s="147">
        <v>0</v>
      </c>
      <c r="BU32" s="150">
        <f t="shared" si="37"/>
        <v>26</v>
      </c>
    </row>
    <row r="33" spans="1:73" ht="15.75" customHeight="1">
      <c r="A33" s="207">
        <v>46019</v>
      </c>
      <c r="B33" s="204" t="s">
        <v>37</v>
      </c>
      <c r="C33" s="150">
        <v>1</v>
      </c>
      <c r="D33" s="150">
        <v>0</v>
      </c>
      <c r="E33" s="187">
        <f t="shared" si="0"/>
        <v>1</v>
      </c>
      <c r="F33" s="150">
        <v>0</v>
      </c>
      <c r="G33" s="150">
        <v>0</v>
      </c>
      <c r="H33" s="150">
        <v>0</v>
      </c>
      <c r="I33" s="150">
        <f t="shared" si="1"/>
        <v>0</v>
      </c>
      <c r="J33" s="150">
        <v>0</v>
      </c>
      <c r="K33" s="150">
        <v>0</v>
      </c>
      <c r="L33" s="150">
        <v>0</v>
      </c>
      <c r="M33" s="150">
        <f t="shared" si="2"/>
        <v>0</v>
      </c>
      <c r="N33" s="188">
        <f t="shared" ref="N33:P33" si="68">F33+J33</f>
        <v>0</v>
      </c>
      <c r="O33" s="189">
        <f t="shared" si="68"/>
        <v>0</v>
      </c>
      <c r="P33" s="150">
        <f t="shared" si="68"/>
        <v>0</v>
      </c>
      <c r="Q33" s="190">
        <f t="shared" si="4"/>
        <v>0</v>
      </c>
      <c r="R33" s="150">
        <f t="shared" si="5"/>
        <v>1</v>
      </c>
      <c r="S33" s="150">
        <f t="shared" si="6"/>
        <v>0</v>
      </c>
      <c r="T33" s="191">
        <f t="shared" si="7"/>
        <v>1</v>
      </c>
      <c r="U33" s="192"/>
      <c r="V33" s="150">
        <v>0</v>
      </c>
      <c r="W33" s="150">
        <f t="shared" si="65"/>
        <v>1</v>
      </c>
      <c r="X33" s="150">
        <f t="shared" si="9"/>
        <v>8</v>
      </c>
      <c r="Y33" s="150">
        <v>0</v>
      </c>
      <c r="Z33" s="150">
        <f t="shared" si="59"/>
        <v>0</v>
      </c>
      <c r="AA33" s="150">
        <f t="shared" si="11"/>
        <v>0</v>
      </c>
      <c r="AB33" s="150">
        <f t="shared" si="12"/>
        <v>8</v>
      </c>
      <c r="AC33" s="150">
        <v>0</v>
      </c>
      <c r="AD33" s="150">
        <f t="shared" si="13"/>
        <v>0</v>
      </c>
      <c r="AE33" s="150">
        <f t="shared" si="14"/>
        <v>0</v>
      </c>
      <c r="AF33" s="150">
        <v>0</v>
      </c>
      <c r="AG33" s="150">
        <f t="shared" si="66"/>
        <v>0</v>
      </c>
      <c r="AH33" s="150">
        <f t="shared" si="16"/>
        <v>0</v>
      </c>
      <c r="AI33" s="150">
        <f t="shared" si="17"/>
        <v>0</v>
      </c>
      <c r="AJ33" s="150">
        <f t="shared" si="18"/>
        <v>8</v>
      </c>
      <c r="AK33" s="150">
        <f t="shared" si="19"/>
        <v>0</v>
      </c>
      <c r="AL33" s="191">
        <f t="shared" si="20"/>
        <v>8</v>
      </c>
      <c r="AM33" s="150">
        <v>0</v>
      </c>
      <c r="AN33" s="193">
        <v>0</v>
      </c>
      <c r="AO33" s="193">
        <f t="shared" si="21"/>
        <v>0</v>
      </c>
      <c r="AP33" s="150">
        <v>0</v>
      </c>
      <c r="AQ33" s="193">
        <v>0</v>
      </c>
      <c r="AR33" s="193">
        <f t="shared" si="22"/>
        <v>0</v>
      </c>
      <c r="AS33" s="193">
        <f t="shared" si="23"/>
        <v>0</v>
      </c>
      <c r="AT33" s="150">
        <v>0</v>
      </c>
      <c r="AU33" s="193">
        <v>0</v>
      </c>
      <c r="AV33" s="193">
        <f t="shared" si="24"/>
        <v>0</v>
      </c>
      <c r="AW33" s="150">
        <v>0</v>
      </c>
      <c r="AX33" s="193">
        <v>0</v>
      </c>
      <c r="AY33" s="193">
        <f t="shared" si="25"/>
        <v>0</v>
      </c>
      <c r="AZ33" s="193">
        <f t="shared" si="26"/>
        <v>0</v>
      </c>
      <c r="BA33" s="193">
        <f t="shared" si="27"/>
        <v>0</v>
      </c>
      <c r="BB33" s="193">
        <f t="shared" si="28"/>
        <v>0</v>
      </c>
      <c r="BC33" s="194">
        <f t="shared" si="29"/>
        <v>0</v>
      </c>
      <c r="BD33" s="195">
        <f t="shared" si="30"/>
        <v>8</v>
      </c>
      <c r="BE33" s="195">
        <f t="shared" si="31"/>
        <v>0</v>
      </c>
      <c r="BF33" s="196">
        <f t="shared" si="32"/>
        <v>8</v>
      </c>
      <c r="BG33" s="147">
        <v>0</v>
      </c>
      <c r="BH33" s="147">
        <v>37</v>
      </c>
      <c r="BI33" s="147">
        <v>0</v>
      </c>
      <c r="BJ33" s="150">
        <f t="shared" si="33"/>
        <v>37</v>
      </c>
      <c r="BK33" s="147">
        <v>0</v>
      </c>
      <c r="BL33" s="147">
        <v>37</v>
      </c>
      <c r="BM33" s="147">
        <v>0</v>
      </c>
      <c r="BN33" s="147">
        <f t="shared" si="34"/>
        <v>37</v>
      </c>
      <c r="BO33" s="147">
        <v>0</v>
      </c>
      <c r="BP33" s="147">
        <v>0</v>
      </c>
      <c r="BQ33" s="147">
        <v>0</v>
      </c>
      <c r="BR33" s="147">
        <f t="shared" si="35"/>
        <v>0</v>
      </c>
      <c r="BS33" s="150">
        <f t="shared" si="36"/>
        <v>37</v>
      </c>
      <c r="BT33" s="147">
        <v>0</v>
      </c>
      <c r="BU33" s="150">
        <f t="shared" si="37"/>
        <v>37</v>
      </c>
    </row>
    <row r="34" spans="1:73" ht="15.75" customHeight="1">
      <c r="A34" s="206">
        <v>46020</v>
      </c>
      <c r="B34" s="186" t="s">
        <v>44</v>
      </c>
      <c r="C34" s="150">
        <v>6</v>
      </c>
      <c r="D34" s="150">
        <v>6</v>
      </c>
      <c r="E34" s="187">
        <f t="shared" si="0"/>
        <v>12</v>
      </c>
      <c r="F34" s="150">
        <v>1</v>
      </c>
      <c r="G34" s="150">
        <v>5</v>
      </c>
      <c r="H34" s="150">
        <v>0</v>
      </c>
      <c r="I34" s="150">
        <f t="shared" si="1"/>
        <v>6</v>
      </c>
      <c r="J34" s="150">
        <v>5</v>
      </c>
      <c r="K34" s="150">
        <v>14</v>
      </c>
      <c r="L34" s="150">
        <v>0</v>
      </c>
      <c r="M34" s="150">
        <f t="shared" si="2"/>
        <v>19</v>
      </c>
      <c r="N34" s="188">
        <f t="shared" ref="N34:P34" si="69">F34+J34</f>
        <v>6</v>
      </c>
      <c r="O34" s="189">
        <f t="shared" si="69"/>
        <v>19</v>
      </c>
      <c r="P34" s="150">
        <f t="shared" si="69"/>
        <v>0</v>
      </c>
      <c r="Q34" s="190">
        <f t="shared" si="4"/>
        <v>25</v>
      </c>
      <c r="R34" s="150">
        <f t="shared" si="5"/>
        <v>12</v>
      </c>
      <c r="S34" s="150">
        <f t="shared" si="6"/>
        <v>25</v>
      </c>
      <c r="T34" s="191">
        <f t="shared" si="7"/>
        <v>37</v>
      </c>
      <c r="U34" s="192"/>
      <c r="V34" s="150">
        <v>0</v>
      </c>
      <c r="W34" s="150">
        <f t="shared" si="65"/>
        <v>6</v>
      </c>
      <c r="X34" s="150">
        <f t="shared" si="9"/>
        <v>48</v>
      </c>
      <c r="Y34" s="150">
        <v>0</v>
      </c>
      <c r="Z34" s="150">
        <f t="shared" si="59"/>
        <v>6</v>
      </c>
      <c r="AA34" s="150">
        <f t="shared" si="11"/>
        <v>48</v>
      </c>
      <c r="AB34" s="150">
        <f t="shared" si="12"/>
        <v>96</v>
      </c>
      <c r="AC34" s="150">
        <v>0</v>
      </c>
      <c r="AD34" s="150">
        <f t="shared" si="13"/>
        <v>6</v>
      </c>
      <c r="AE34" s="150">
        <f t="shared" si="14"/>
        <v>48</v>
      </c>
      <c r="AF34" s="150">
        <v>0</v>
      </c>
      <c r="AG34" s="150">
        <f t="shared" si="66"/>
        <v>19</v>
      </c>
      <c r="AH34" s="150">
        <f t="shared" si="16"/>
        <v>152</v>
      </c>
      <c r="AI34" s="150">
        <f t="shared" si="17"/>
        <v>200</v>
      </c>
      <c r="AJ34" s="150">
        <f t="shared" si="18"/>
        <v>96</v>
      </c>
      <c r="AK34" s="150">
        <f t="shared" si="19"/>
        <v>200</v>
      </c>
      <c r="AL34" s="191">
        <f t="shared" si="20"/>
        <v>296</v>
      </c>
      <c r="AM34" s="150">
        <v>5</v>
      </c>
      <c r="AN34" s="193">
        <v>2</v>
      </c>
      <c r="AO34" s="193">
        <f t="shared" si="21"/>
        <v>10</v>
      </c>
      <c r="AP34" s="150">
        <v>4</v>
      </c>
      <c r="AQ34" s="193">
        <v>2</v>
      </c>
      <c r="AR34" s="193">
        <f t="shared" si="22"/>
        <v>8</v>
      </c>
      <c r="AS34" s="193">
        <f t="shared" si="23"/>
        <v>18</v>
      </c>
      <c r="AT34" s="150">
        <v>3</v>
      </c>
      <c r="AU34" s="193">
        <v>1.5</v>
      </c>
      <c r="AV34" s="193">
        <f t="shared" si="24"/>
        <v>4.5</v>
      </c>
      <c r="AW34" s="150">
        <v>14</v>
      </c>
      <c r="AX34" s="193">
        <v>1.5</v>
      </c>
      <c r="AY34" s="193">
        <f t="shared" si="25"/>
        <v>21</v>
      </c>
      <c r="AZ34" s="193">
        <f t="shared" si="26"/>
        <v>25.5</v>
      </c>
      <c r="BA34" s="193">
        <f t="shared" si="27"/>
        <v>14.5</v>
      </c>
      <c r="BB34" s="193">
        <f t="shared" si="28"/>
        <v>29</v>
      </c>
      <c r="BC34" s="194">
        <f t="shared" si="29"/>
        <v>43.5</v>
      </c>
      <c r="BD34" s="195">
        <f t="shared" si="30"/>
        <v>110.5</v>
      </c>
      <c r="BE34" s="195">
        <f t="shared" si="31"/>
        <v>229</v>
      </c>
      <c r="BF34" s="196">
        <f t="shared" si="32"/>
        <v>339.5</v>
      </c>
      <c r="BG34" s="147">
        <v>0</v>
      </c>
      <c r="BH34" s="147">
        <v>5001</v>
      </c>
      <c r="BI34" s="147">
        <v>6</v>
      </c>
      <c r="BJ34" s="150">
        <f t="shared" si="33"/>
        <v>5007</v>
      </c>
      <c r="BK34" s="147">
        <v>2364</v>
      </c>
      <c r="BL34" s="147">
        <v>1720</v>
      </c>
      <c r="BM34" s="147">
        <v>69</v>
      </c>
      <c r="BN34" s="147">
        <f t="shared" si="34"/>
        <v>4153</v>
      </c>
      <c r="BO34" s="147">
        <v>3</v>
      </c>
      <c r="BP34" s="147">
        <v>0</v>
      </c>
      <c r="BQ34" s="147">
        <v>0</v>
      </c>
      <c r="BR34" s="147">
        <f t="shared" si="35"/>
        <v>3</v>
      </c>
      <c r="BS34" s="150">
        <f t="shared" si="36"/>
        <v>4156</v>
      </c>
      <c r="BT34" s="147">
        <v>3</v>
      </c>
      <c r="BU34" s="150">
        <f t="shared" si="37"/>
        <v>7374</v>
      </c>
    </row>
    <row r="35" spans="1:73" ht="15.75" customHeight="1">
      <c r="A35" s="206">
        <v>46021</v>
      </c>
      <c r="B35" s="186" t="s">
        <v>38</v>
      </c>
      <c r="C35" s="150">
        <v>5</v>
      </c>
      <c r="D35" s="150">
        <v>6</v>
      </c>
      <c r="E35" s="187">
        <f t="shared" si="0"/>
        <v>11</v>
      </c>
      <c r="F35" s="150">
        <v>3</v>
      </c>
      <c r="G35" s="150">
        <v>5</v>
      </c>
      <c r="H35" s="150">
        <v>0</v>
      </c>
      <c r="I35" s="150">
        <f t="shared" si="1"/>
        <v>8</v>
      </c>
      <c r="J35" s="150">
        <v>5</v>
      </c>
      <c r="K35" s="150">
        <v>10</v>
      </c>
      <c r="L35" s="150">
        <v>0</v>
      </c>
      <c r="M35" s="150">
        <f t="shared" si="2"/>
        <v>15</v>
      </c>
      <c r="N35" s="188">
        <f t="shared" ref="N35:P35" si="70">F35+J35</f>
        <v>8</v>
      </c>
      <c r="O35" s="189">
        <f t="shared" si="70"/>
        <v>15</v>
      </c>
      <c r="P35" s="150">
        <f t="shared" si="70"/>
        <v>0</v>
      </c>
      <c r="Q35" s="190">
        <f t="shared" si="4"/>
        <v>23</v>
      </c>
      <c r="R35" s="150">
        <f t="shared" si="5"/>
        <v>13</v>
      </c>
      <c r="S35" s="150">
        <f t="shared" si="6"/>
        <v>21</v>
      </c>
      <c r="T35" s="191">
        <f t="shared" si="7"/>
        <v>34</v>
      </c>
      <c r="U35" s="192"/>
      <c r="V35" s="150">
        <v>0</v>
      </c>
      <c r="W35" s="150">
        <f t="shared" si="65"/>
        <v>5</v>
      </c>
      <c r="X35" s="150">
        <f t="shared" si="9"/>
        <v>40</v>
      </c>
      <c r="Y35" s="150">
        <v>0</v>
      </c>
      <c r="Z35" s="150">
        <f t="shared" si="59"/>
        <v>6</v>
      </c>
      <c r="AA35" s="150">
        <f t="shared" si="11"/>
        <v>48</v>
      </c>
      <c r="AB35" s="150">
        <f t="shared" si="12"/>
        <v>88</v>
      </c>
      <c r="AC35" s="150">
        <v>0</v>
      </c>
      <c r="AD35" s="150">
        <f t="shared" si="13"/>
        <v>8</v>
      </c>
      <c r="AE35" s="150">
        <f t="shared" si="14"/>
        <v>64</v>
      </c>
      <c r="AF35" s="150">
        <v>0</v>
      </c>
      <c r="AG35" s="150">
        <f t="shared" si="66"/>
        <v>15</v>
      </c>
      <c r="AH35" s="150">
        <f t="shared" si="16"/>
        <v>120</v>
      </c>
      <c r="AI35" s="150">
        <f t="shared" si="17"/>
        <v>184</v>
      </c>
      <c r="AJ35" s="150">
        <f t="shared" si="18"/>
        <v>104</v>
      </c>
      <c r="AK35" s="150">
        <f t="shared" si="19"/>
        <v>168</v>
      </c>
      <c r="AL35" s="191">
        <f t="shared" si="20"/>
        <v>272</v>
      </c>
      <c r="AM35" s="150"/>
      <c r="AN35" s="193"/>
      <c r="AO35" s="193">
        <f t="shared" si="21"/>
        <v>0</v>
      </c>
      <c r="AP35" s="150"/>
      <c r="AQ35" s="193"/>
      <c r="AR35" s="193">
        <f t="shared" si="22"/>
        <v>0</v>
      </c>
      <c r="AS35" s="193">
        <f t="shared" si="23"/>
        <v>0</v>
      </c>
      <c r="AT35" s="150"/>
      <c r="AU35" s="193"/>
      <c r="AV35" s="193">
        <f t="shared" si="24"/>
        <v>0</v>
      </c>
      <c r="AW35" s="150"/>
      <c r="AX35" s="193"/>
      <c r="AY35" s="193">
        <f t="shared" si="25"/>
        <v>0</v>
      </c>
      <c r="AZ35" s="193">
        <f t="shared" si="26"/>
        <v>0</v>
      </c>
      <c r="BA35" s="193">
        <f t="shared" si="27"/>
        <v>0</v>
      </c>
      <c r="BB35" s="193">
        <f t="shared" si="28"/>
        <v>0</v>
      </c>
      <c r="BC35" s="194">
        <f t="shared" si="29"/>
        <v>0</v>
      </c>
      <c r="BD35" s="195">
        <f t="shared" si="30"/>
        <v>104</v>
      </c>
      <c r="BE35" s="195">
        <f t="shared" si="31"/>
        <v>168</v>
      </c>
      <c r="BF35" s="196">
        <f t="shared" si="32"/>
        <v>272</v>
      </c>
      <c r="BG35" s="147">
        <v>0</v>
      </c>
      <c r="BH35" s="147">
        <v>5215</v>
      </c>
      <c r="BI35" s="147">
        <v>21</v>
      </c>
      <c r="BJ35" s="150">
        <f t="shared" si="33"/>
        <v>5236</v>
      </c>
      <c r="BK35" s="147">
        <v>1052</v>
      </c>
      <c r="BL35" s="147">
        <v>864</v>
      </c>
      <c r="BM35" s="147">
        <v>54</v>
      </c>
      <c r="BN35" s="147">
        <f t="shared" si="34"/>
        <v>1970</v>
      </c>
      <c r="BO35" s="147">
        <v>14</v>
      </c>
      <c r="BP35" s="147">
        <v>174</v>
      </c>
      <c r="BQ35" s="147">
        <v>0</v>
      </c>
      <c r="BR35" s="147">
        <f t="shared" si="35"/>
        <v>188</v>
      </c>
      <c r="BS35" s="150">
        <f t="shared" si="36"/>
        <v>2158</v>
      </c>
      <c r="BT35" s="147">
        <v>5</v>
      </c>
      <c r="BU35" s="150">
        <f t="shared" si="37"/>
        <v>6302</v>
      </c>
    </row>
    <row r="36" spans="1:73" ht="15.75" customHeight="1">
      <c r="A36" s="206">
        <v>46022</v>
      </c>
      <c r="B36" s="186" t="s">
        <v>45</v>
      </c>
      <c r="C36" s="150">
        <v>6</v>
      </c>
      <c r="D36" s="193">
        <v>5.5</v>
      </c>
      <c r="E36" s="187">
        <f t="shared" si="0"/>
        <v>11.5</v>
      </c>
      <c r="F36" s="150">
        <v>3</v>
      </c>
      <c r="G36" s="150">
        <v>2</v>
      </c>
      <c r="H36" s="150">
        <v>0</v>
      </c>
      <c r="I36" s="150">
        <f t="shared" si="1"/>
        <v>5</v>
      </c>
      <c r="J36" s="150">
        <v>3</v>
      </c>
      <c r="K36" s="150">
        <v>7</v>
      </c>
      <c r="L36" s="150">
        <v>0</v>
      </c>
      <c r="M36" s="150">
        <f t="shared" si="2"/>
        <v>10</v>
      </c>
      <c r="N36" s="188">
        <f t="shared" ref="N36:P36" si="71">F36+J36</f>
        <v>6</v>
      </c>
      <c r="O36" s="189">
        <f t="shared" si="71"/>
        <v>9</v>
      </c>
      <c r="P36" s="150">
        <f t="shared" si="71"/>
        <v>0</v>
      </c>
      <c r="Q36" s="190">
        <f t="shared" si="4"/>
        <v>15</v>
      </c>
      <c r="R36" s="150">
        <f t="shared" si="5"/>
        <v>11</v>
      </c>
      <c r="S36" s="150">
        <f t="shared" si="6"/>
        <v>15.5</v>
      </c>
      <c r="T36" s="191">
        <f t="shared" si="7"/>
        <v>26.5</v>
      </c>
      <c r="U36" s="192"/>
      <c r="V36" s="150">
        <v>0</v>
      </c>
      <c r="W36" s="150">
        <f t="shared" si="65"/>
        <v>6</v>
      </c>
      <c r="X36" s="150">
        <f t="shared" si="9"/>
        <v>48</v>
      </c>
      <c r="Y36" s="150">
        <v>1</v>
      </c>
      <c r="Z36" s="150">
        <v>5</v>
      </c>
      <c r="AA36" s="150">
        <f t="shared" si="11"/>
        <v>44</v>
      </c>
      <c r="AB36" s="150">
        <f t="shared" si="12"/>
        <v>92</v>
      </c>
      <c r="AC36" s="150">
        <v>0</v>
      </c>
      <c r="AD36" s="150">
        <f t="shared" si="13"/>
        <v>5</v>
      </c>
      <c r="AE36" s="150">
        <f t="shared" si="14"/>
        <v>40</v>
      </c>
      <c r="AF36" s="150">
        <v>0</v>
      </c>
      <c r="AG36" s="150">
        <f t="shared" si="66"/>
        <v>10</v>
      </c>
      <c r="AH36" s="150">
        <f t="shared" si="16"/>
        <v>80</v>
      </c>
      <c r="AI36" s="150">
        <f t="shared" si="17"/>
        <v>120</v>
      </c>
      <c r="AJ36" s="150">
        <f t="shared" si="18"/>
        <v>88</v>
      </c>
      <c r="AK36" s="150">
        <f t="shared" si="19"/>
        <v>124</v>
      </c>
      <c r="AL36" s="191">
        <f t="shared" si="20"/>
        <v>212</v>
      </c>
      <c r="AM36" s="150"/>
      <c r="AN36" s="193"/>
      <c r="AO36" s="193">
        <f t="shared" si="21"/>
        <v>0</v>
      </c>
      <c r="AP36" s="150"/>
      <c r="AQ36" s="193"/>
      <c r="AR36" s="193">
        <f t="shared" si="22"/>
        <v>0</v>
      </c>
      <c r="AS36" s="193">
        <f t="shared" si="23"/>
        <v>0</v>
      </c>
      <c r="AT36" s="150"/>
      <c r="AU36" s="193"/>
      <c r="AV36" s="193">
        <f t="shared" si="24"/>
        <v>0</v>
      </c>
      <c r="AW36" s="150"/>
      <c r="AX36" s="193"/>
      <c r="AY36" s="193">
        <f t="shared" si="25"/>
        <v>0</v>
      </c>
      <c r="AZ36" s="193">
        <f t="shared" si="26"/>
        <v>0</v>
      </c>
      <c r="BA36" s="193">
        <f t="shared" si="27"/>
        <v>0</v>
      </c>
      <c r="BB36" s="193">
        <f t="shared" si="28"/>
        <v>0</v>
      </c>
      <c r="BC36" s="194">
        <f t="shared" si="29"/>
        <v>0</v>
      </c>
      <c r="BD36" s="195">
        <f t="shared" si="30"/>
        <v>88</v>
      </c>
      <c r="BE36" s="195">
        <f t="shared" si="31"/>
        <v>124</v>
      </c>
      <c r="BF36" s="196">
        <f t="shared" si="32"/>
        <v>212</v>
      </c>
      <c r="BG36" s="147">
        <v>0</v>
      </c>
      <c r="BH36" s="147">
        <v>3258</v>
      </c>
      <c r="BI36" s="147">
        <v>164</v>
      </c>
      <c r="BJ36" s="150">
        <f t="shared" si="33"/>
        <v>3422</v>
      </c>
      <c r="BK36" s="147">
        <v>950</v>
      </c>
      <c r="BL36" s="147">
        <v>774</v>
      </c>
      <c r="BM36" s="147">
        <v>27</v>
      </c>
      <c r="BN36" s="147">
        <f t="shared" si="34"/>
        <v>1751</v>
      </c>
      <c r="BO36" s="147">
        <v>7</v>
      </c>
      <c r="BP36" s="147">
        <v>0</v>
      </c>
      <c r="BQ36" s="147">
        <v>0</v>
      </c>
      <c r="BR36" s="147">
        <f t="shared" si="35"/>
        <v>7</v>
      </c>
      <c r="BS36" s="150">
        <f t="shared" si="36"/>
        <v>1758</v>
      </c>
      <c r="BT36" s="147">
        <v>4</v>
      </c>
      <c r="BU36" s="150">
        <f t="shared" si="37"/>
        <v>4379</v>
      </c>
    </row>
    <row r="37" spans="1:73" ht="12.75">
      <c r="BF37" s="208" t="s">
        <v>181</v>
      </c>
      <c r="BG37" s="209">
        <f t="shared" ref="BG37:BU37" si="72">SUM(BG6:BG36)</f>
        <v>0</v>
      </c>
      <c r="BH37" s="209">
        <f t="shared" si="72"/>
        <v>276009</v>
      </c>
      <c r="BI37" s="209">
        <f t="shared" si="72"/>
        <v>1259</v>
      </c>
      <c r="BJ37" s="144">
        <f t="shared" si="72"/>
        <v>277268</v>
      </c>
      <c r="BK37" s="209">
        <f t="shared" si="72"/>
        <v>10663</v>
      </c>
      <c r="BL37" s="209">
        <f t="shared" si="72"/>
        <v>57047</v>
      </c>
      <c r="BM37" s="209">
        <f t="shared" si="72"/>
        <v>525</v>
      </c>
      <c r="BN37" s="144">
        <f t="shared" si="72"/>
        <v>68235</v>
      </c>
      <c r="BO37" s="209">
        <f t="shared" si="72"/>
        <v>14044</v>
      </c>
      <c r="BP37" s="209">
        <f t="shared" si="72"/>
        <v>9646</v>
      </c>
      <c r="BQ37" s="209">
        <f t="shared" si="72"/>
        <v>156</v>
      </c>
      <c r="BR37" s="209">
        <f t="shared" si="72"/>
        <v>23846</v>
      </c>
      <c r="BS37" s="209">
        <f t="shared" si="72"/>
        <v>92081</v>
      </c>
      <c r="BT37" s="209">
        <f t="shared" si="72"/>
        <v>83</v>
      </c>
      <c r="BU37" s="209">
        <f t="shared" si="72"/>
        <v>302131</v>
      </c>
    </row>
    <row r="39" spans="1:73" ht="15">
      <c r="A39" s="210" t="s">
        <v>206</v>
      </c>
      <c r="B39" s="210" t="s">
        <v>185</v>
      </c>
    </row>
    <row r="40" spans="1:73" ht="12.75">
      <c r="A40" s="211" t="s">
        <v>186</v>
      </c>
      <c r="B40" s="212" t="s">
        <v>187</v>
      </c>
    </row>
    <row r="41" spans="1:73" ht="12.75">
      <c r="A41" s="213" t="s">
        <v>191</v>
      </c>
      <c r="B41" s="214" t="s">
        <v>192</v>
      </c>
    </row>
    <row r="42" spans="1:73" ht="12.75">
      <c r="A42" s="213" t="s">
        <v>193</v>
      </c>
      <c r="B42" s="214" t="s">
        <v>194</v>
      </c>
    </row>
    <row r="43" spans="1:73" ht="12.75">
      <c r="A43" s="213" t="s">
        <v>195</v>
      </c>
      <c r="B43" s="214" t="s">
        <v>196</v>
      </c>
    </row>
    <row r="44" spans="1:73" ht="12.75">
      <c r="A44" s="213" t="s">
        <v>197</v>
      </c>
    </row>
    <row r="45" spans="1:73" ht="12.75">
      <c r="A45" s="213" t="s">
        <v>199</v>
      </c>
    </row>
    <row r="46" spans="1:73" ht="12.75">
      <c r="A46" s="213" t="s">
        <v>202</v>
      </c>
    </row>
    <row r="47" spans="1:73" ht="12.75">
      <c r="A47" s="213" t="s">
        <v>205</v>
      </c>
    </row>
    <row r="48" spans="1:73" ht="12.75">
      <c r="A48" s="213" t="s">
        <v>222</v>
      </c>
    </row>
    <row r="49" spans="1:2" ht="15">
      <c r="A49" s="210" t="s">
        <v>183</v>
      </c>
      <c r="B49" s="210" t="s">
        <v>207</v>
      </c>
    </row>
    <row r="50" spans="1:2" ht="12.75">
      <c r="A50" s="211" t="s">
        <v>15</v>
      </c>
      <c r="B50" s="212" t="s">
        <v>187</v>
      </c>
    </row>
    <row r="51" spans="1:2" ht="12.75">
      <c r="A51" s="213" t="s">
        <v>208</v>
      </c>
      <c r="B51" s="214" t="s">
        <v>209</v>
      </c>
    </row>
    <row r="52" spans="1:2" ht="12.75">
      <c r="A52" s="213" t="s">
        <v>210</v>
      </c>
      <c r="B52" s="214" t="s">
        <v>211</v>
      </c>
    </row>
    <row r="53" spans="1:2" ht="12.75">
      <c r="A53" s="213" t="s">
        <v>212</v>
      </c>
      <c r="B53" s="214" t="s">
        <v>213</v>
      </c>
    </row>
    <row r="54" spans="1:2" ht="12.75">
      <c r="A54" s="213" t="s">
        <v>214</v>
      </c>
      <c r="B54" s="214" t="s">
        <v>215</v>
      </c>
    </row>
    <row r="55" spans="1:2" ht="12.75">
      <c r="A55" s="213" t="s">
        <v>216</v>
      </c>
      <c r="B55" s="214" t="s">
        <v>217</v>
      </c>
    </row>
    <row r="56" spans="1:2" ht="12.75">
      <c r="A56" s="213" t="s">
        <v>218</v>
      </c>
    </row>
    <row r="57" spans="1:2" ht="12.75">
      <c r="A57" s="213" t="s">
        <v>219</v>
      </c>
    </row>
    <row r="59" spans="1:2" ht="12.75">
      <c r="A59" s="215"/>
    </row>
  </sheetData>
  <mergeCells count="39">
    <mergeCell ref="V1:AL2"/>
    <mergeCell ref="V3:AB3"/>
    <mergeCell ref="AC3:AI3"/>
    <mergeCell ref="A1:B2"/>
    <mergeCell ref="C1:U2"/>
    <mergeCell ref="A3:A5"/>
    <mergeCell ref="U3:U5"/>
    <mergeCell ref="F4:I4"/>
    <mergeCell ref="J4:M4"/>
    <mergeCell ref="N4:Q4"/>
    <mergeCell ref="V4:X4"/>
    <mergeCell ref="Y4:AA4"/>
    <mergeCell ref="AB4:AB5"/>
    <mergeCell ref="AC4:AE4"/>
    <mergeCell ref="AF4:AH4"/>
    <mergeCell ref="AI4:AI5"/>
    <mergeCell ref="BK3:BN4"/>
    <mergeCell ref="BO3:BR4"/>
    <mergeCell ref="BS3:BS5"/>
    <mergeCell ref="BT3:BT5"/>
    <mergeCell ref="BU3:BU5"/>
    <mergeCell ref="AM3:AS3"/>
    <mergeCell ref="BD1:BF4"/>
    <mergeCell ref="BA3:BC4"/>
    <mergeCell ref="AZ4:AZ5"/>
    <mergeCell ref="BG3:BJ4"/>
    <mergeCell ref="AM1:BC2"/>
    <mergeCell ref="BG1:BU2"/>
    <mergeCell ref="AT3:AZ3"/>
    <mergeCell ref="AM4:AO4"/>
    <mergeCell ref="AP4:AR4"/>
    <mergeCell ref="AS4:AS5"/>
    <mergeCell ref="AT4:AV4"/>
    <mergeCell ref="AW4:AY4"/>
    <mergeCell ref="B3:B5"/>
    <mergeCell ref="C3:E4"/>
    <mergeCell ref="F3:Q3"/>
    <mergeCell ref="R3:T4"/>
    <mergeCell ref="AJ3:AL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2025년</vt:lpstr>
      <vt:lpstr>6월</vt:lpstr>
      <vt:lpstr>7월</vt:lpstr>
      <vt:lpstr>8월</vt:lpstr>
      <vt:lpstr>9월</vt:lpstr>
      <vt:lpstr>10월</vt:lpstr>
      <vt:lpstr>11월</vt:lpstr>
      <vt:lpstr>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Woo Hyeok(서우혁)</dc:creator>
  <cp:lastModifiedBy>Seo Woo Hyeok(서우혁)</cp:lastModifiedBy>
  <dcterms:created xsi:type="dcterms:W3CDTF">2026-10-13T05:00:58Z</dcterms:created>
  <dcterms:modified xsi:type="dcterms:W3CDTF">2026-10-13T05:01:56Z</dcterms:modified>
</cp:coreProperties>
</file>