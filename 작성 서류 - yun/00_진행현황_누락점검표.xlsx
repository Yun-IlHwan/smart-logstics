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mm&quot;월&quot;\ dd&quot;일&quot;"/>
  </numFmts>
  <fonts count="22">
    <font>
      <name val="Calibri"/>
      <charset val="1"/>
      <family val="2"/>
      <color theme="1"/>
      <sz val="11"/>
    </font>
    <font>
      <name val="Arial"/>
      <family val="2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29"/>
      <family val="3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29"/>
      <family val="3"/>
      <b val="1"/>
      <sz val="11"/>
    </font>
    <font>
      <name val="Calibri"/>
      <family val="2"/>
      <b val="1"/>
      <sz val="11"/>
    </font>
    <font>
      <name val="돋움"/>
      <charset val="129"/>
      <family val="3"/>
      <sz val="8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3"/>
      <color rgb="FFFF0000"/>
      <sz val="10"/>
    </font>
    <font>
      <name val="Noto Sans CJK SC"/>
      <charset val="1"/>
      <family val="2"/>
      <color rgb="FFFF0000"/>
      <sz val="10"/>
    </font>
    <font>
      <name val="Calibri"/>
      <charset val="1"/>
      <family val="2"/>
      <color rgb="FFFF0000"/>
      <sz val="11"/>
    </font>
    <font>
      <name val="Noto Sans CJK SC"/>
      <charset val="129"/>
      <family val="2"/>
      <sz val="10"/>
    </font>
    <font>
      <name val="Arial"/>
      <family val="2"/>
      <color rgb="FFFF0000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10" fillId="0" borderId="0" pivotButton="0" quotePrefix="0" xfId="0"/>
    <xf numFmtId="0" fontId="7" fillId="5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164" fontId="11" fillId="0" borderId="0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6" fillId="10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7" fillId="12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vertical="top" wrapText="1"/>
    </xf>
    <xf numFmtId="0" fontId="16" fillId="0" borderId="0" pivotButton="0" quotePrefix="0" xfId="0"/>
    <xf numFmtId="165" fontId="0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18" fillId="5" borderId="1" applyAlignment="1" pivotButton="0" quotePrefix="0" xfId="0">
      <alignment horizontal="center" vertical="top" wrapText="1"/>
    </xf>
    <xf numFmtId="0" fontId="19" fillId="0" borderId="0" pivotButton="0" quotePrefix="0" xfId="0"/>
    <xf numFmtId="0" fontId="6" fillId="0" borderId="2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165" fontId="0" fillId="0" borderId="0" pivotButton="0" quotePrefix="0" xfId="0"/>
    <xf numFmtId="164" fontId="6" fillId="0" borderId="1" applyAlignment="1" pivotButton="0" quotePrefix="0" xfId="0">
      <alignment horizontal="center" vertical="top"/>
    </xf>
    <xf numFmtId="164" fontId="11" fillId="0" borderId="0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33"/>
  <sheetViews>
    <sheetView tabSelected="1" zoomScaleNormal="100" workbookViewId="0">
      <pane ySplit="3" topLeftCell="A4" activePane="bottomLeft" state="frozen"/>
      <selection pane="bottomLeft" activeCell="F24" sqref="F24"/>
    </sheetView>
  </sheetViews>
  <sheetFormatPr baseColWidth="8" defaultColWidth="8.7109375" defaultRowHeight="15"/>
  <cols>
    <col width="7" customWidth="1" min="1" max="1"/>
    <col width="30" customWidth="1" min="2" max="2"/>
    <col width="16" customWidth="1" min="3" max="3"/>
    <col width="53.42578125" customWidth="1" min="4" max="4"/>
    <col width="16" bestFit="1" customWidth="1" min="5" max="5"/>
    <col width="82.140625" customWidth="1" min="6" max="6"/>
    <col width="34" customWidth="1" min="7" max="7"/>
    <col width="62" customWidth="1" min="8" max="8"/>
    <col width="10.42578125" bestFit="1" customWidth="1" min="9" max="9"/>
  </cols>
  <sheetData>
    <row r="1" ht="21" customHeight="1">
      <c r="A1" s="1" t="inlineStr">
        <is>
          <t>스마트물류센터 인증 제출서류 진행현황 (영종센터, 기준 2026.10.15 · 「작성 서류 - yun」 폴더 기준)</t>
        </is>
      </c>
    </row>
    <row r="2" ht="15" customHeight="1">
      <c r="A2" s="2" t="inlineStr">
        <is>
          <t>상태: 완료 / 초안 완료(이번에 작성, 검토·사진 삽입 필요) / 보완 필요 / 발급·수집 필요 / 결정 필요 / 해당 없음</t>
        </is>
      </c>
    </row>
    <row r="3" ht="15" customHeight="1">
      <c r="A3" s="3" t="inlineStr">
        <is>
          <t>No</t>
        </is>
      </c>
      <c r="B3" s="4" t="inlineStr">
        <is>
          <t>제출서류</t>
        </is>
      </c>
      <c r="C3" s="4" t="inlineStr">
        <is>
          <t>담당</t>
        </is>
      </c>
      <c r="D3" s="4" t="inlineStr">
        <is>
          <t>현재 파일</t>
        </is>
      </c>
      <c r="E3" s="4" t="inlineStr">
        <is>
          <t>상태</t>
        </is>
      </c>
      <c r="F3" s="4" t="inlineStr">
        <is>
          <t>남은 작업</t>
        </is>
      </c>
      <c r="G3" s="4" t="inlineStr">
        <is>
          <t>이번 작성본</t>
        </is>
      </c>
      <c r="H3" s="4" t="inlineStr">
        <is>
          <t>10.14 점검 결과 (작성 서류 - yun)</t>
        </is>
      </c>
      <c r="I3" s="28" t="inlineStr">
        <is>
          <t xml:space="preserve">일정 </t>
        </is>
      </c>
    </row>
    <row r="4" ht="29.25" customHeight="1">
      <c r="A4" s="5" t="inlineStr">
        <is>
          <t>①</t>
        </is>
      </c>
      <c r="B4" s="6" t="inlineStr">
        <is>
          <t>인증 신청서 (별지 제8호의6서식)</t>
        </is>
      </c>
      <c r="C4" s="6" t="inlineStr">
        <is>
          <t>유재완·장윤진</t>
        </is>
      </c>
      <c r="D4" s="5" t="inlineStr">
        <is>
          <t>2.+[별지…]신청서.hwp</t>
        </is>
      </c>
      <c r="E4" s="7" t="inlineStr">
        <is>
          <t>보완 필요</t>
        </is>
      </c>
      <c r="F4" s="5" t="inlineStr">
        <is>
          <t>기재안 완성. HWP 서식에 옮겨 입력, 대표자 승인·날인. 실무담당자 부서·직위·전화·팩스·이메일 기재</t>
        </is>
      </c>
      <c r="G4" s="27" t="inlineStr">
        <is>
          <t>신청서_기재안.docx</t>
        </is>
      </c>
      <c r="H4" s="6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 / 10.16: 실무담당자 성명 장윤진, 인증 대상 면적을 운영면적 2,845평(약 9,405㎡) 기준으로 기재(임차면적은 참고 표기) / 10.16: 기재안 4. 첨부서류 대응표 현행화(실제 파일명·현재 상태 반영, 01 사진 61/105칸)</t>
        </is>
      </c>
      <c r="I4" s="36" t="n">
        <v>46318</v>
      </c>
    </row>
    <row r="5" ht="29.25" customHeight="1">
      <c r="A5" s="5" t="inlineStr">
        <is>
          <t>②-1</t>
        </is>
      </c>
      <c r="B5" s="6" t="inlineStr">
        <is>
          <t>자체평가서 및 증명자료</t>
        </is>
      </c>
      <c r="C5" s="6" t="inlineStr">
        <is>
          <t>박상혁</t>
        </is>
      </c>
      <c r="D5" s="5" t="inlineStr">
        <is>
          <t>01_자체평가서 및 증명자료.docx (빈 양식)</t>
        </is>
      </c>
      <c r="E5" s="8" t="inlineStr">
        <is>
          <t>초안 완료</t>
        </is>
      </c>
      <c r="F5" s="5" t="inlineStr">
        <is>
          <t>44개 세부항목 서술 완료(772.0점·3등급). 남은 사진·증빙 44칸(현장사진 29·자료 15) 확보 후 삽입, 1.1.5 [사진 2] 이미지 교체. Ⅲ장 종업원 수·매출액·인증업무 담당자 입력(물동량은 2025.6~12·2026.1~9 입력 완료), 작성 메모 13곳 삭제</t>
        </is>
      </c>
      <c r="G5" s="5" t="inlineStr">
        <is>
          <t>01_자체평가서 및 증명자료(완성본).docx</t>
        </is>
      </c>
      <c r="H5" s="5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 / 10.15: 2.2.2 UPH 실적(③④·판단근거) 기재, [사진 2] 월별 UPH 실적표 삽입 → 105칸 중 60칸, UPH 작성 메모 삭제, 총 75쪽 / 10.15: QR 작업자 추적을 "도입·시범 운영 중"으로 통일(1.1.2·2.1.5·2.2.1·2.2.2·2.3.1-4), 1.1.2 2→3등급(−2.0점) → 총점 787.0(3등급) / 10.15: 휠소터 시간당 3,500개·슈트 18개 반영(1.6/2.3 설비 칸), 2.2.4 ③ "LED 조명 미적용" 확정·[사진 3] 캡션 변경·작성 메모 삭제 / 10.16: 사용자 평가요소 확인 반영 — 2.1.1 2등급(바닥 ⑧⑨ V), 2.1.3 1등급(확인 3개 V), 2.1.4 미적용(①~④ 미적용 → 미적용 6개, 0점), 2.1.5 4등급(랙 내진 미적용). 도크레벨러 1개소, 인증업무 담당자 장윤진, 휠소터 3,500개 재반영 → 총점 772.0(3등급, 750 기준 여유 22점) / 10.16: 2.3.2 [사진 2] 휠소터 실도면 삽입(105칸 중 61칸), 총 75쪽 유지 / 10.16: DAS 운영 중단 반영(1.4 피킹 설비·지시, 2.3.2 설비 칸에서 DAS 삭제) / 10.16: 2.2.2 UPH 실적표를 2026.09 마감 기준으로 조정(10월 1~14일 제외), 2.3.2 사진 크기 조정으로 총 75쪽 유지 / 10.16: 1.4 피킹 영역 500㎡→478.1㎡(02 Lay-out 기준 통일)</t>
        </is>
      </c>
      <c r="I5" s="36" t="n">
        <v>46318</v>
      </c>
    </row>
    <row r="6" ht="29.25" customHeight="1">
      <c r="A6" s="5" t="inlineStr">
        <is>
          <t>②-2</t>
        </is>
      </c>
      <c r="B6" s="6" t="inlineStr">
        <is>
          <t>설계도면 및 분야별 설계설명서</t>
        </is>
      </c>
      <c r="C6" s="6" t="inlineStr">
        <is>
          <t>유재완·장윤진</t>
        </is>
      </c>
      <c r="D6" s="5" t="inlineStr">
        <is>
          <t>02_…(1차작성)_서우혁회신.docx</t>
        </is>
      </c>
      <c r="E6" s="8" t="inlineStr">
        <is>
          <t>초안 완료</t>
        </is>
      </c>
      <c r="F6" s="5" t="inlineStr">
        <is>
          <t>XXXX 값 채움, 도면 목록을 실제 보유 도면으로 정리. 단면도 확보, 면적 수치 확정</t>
        </is>
      </c>
      <c r="G6" s="5" t="inlineStr">
        <is>
          <t>02_설계도면 및 분야별 설계설명서(완성본).docx</t>
        </is>
      </c>
      <c r="H6" s="5" t="inlineStr">
        <is>
          <t>변동 없음. 작성 메모 2곳(검수+맵핑 877.5㎡ 분야 배정, 출고 처리능력 30,000 vs 35,000), 단면도 "확보 필요", 상호 일부 "트랙스로지스" 표기 / 10.15: 처리능력 휠소터 시간당 약 4,000개 → 3,500개(슈트 18개)로 수정 / 10.16: 입고 주요 설비에서 휴대용 DWS 삭제(휴대용 DWS 없음 확인), 도크레벨러 1개소 표기 / 10.16: 면적 운영면적 기준(2,845평≈9,405㎡) 확인, 피킹 478.1㎡ 메모 삭제(01도 478.1㎡로 통일). 작성 메모 1곳(검수+맵핑 877.5㎡ 분야 배정) 남음</t>
        </is>
      </c>
    </row>
    <row r="7" hidden="1" ht="58.5" customFormat="1" customHeight="1" s="33">
      <c r="A7" s="30" t="inlineStr">
        <is>
          <t>②-3</t>
        </is>
      </c>
      <c r="B7" s="31" t="inlineStr">
        <is>
          <t>설계변경 확인서</t>
        </is>
      </c>
      <c r="C7" s="31" t="inlineStr">
        <is>
          <t>박상혁</t>
        </is>
      </c>
      <c r="D7" s="30" t="inlineStr">
        <is>
          <t>03_설계변경 확인서.docx (빈 양식)</t>
        </is>
      </c>
      <c r="E7" s="32" t="inlineStr">
        <is>
          <t>해당 없음</t>
        </is>
      </c>
      <c r="F7" s="30" t="inlineStr">
        <is>
          <t>"해당 없음"으로 확정(10.15). 「해당 없음」 확인서를 첨부할지 제출 제외할지 결정(공고: 변경된 경우에만 첨부), 첨부 시 작성일·직인</t>
        </is>
      </c>
      <c r="G7" s="30" t="inlineStr">
        <is>
          <t>03_설계변경 확인서(완성본).docx</t>
        </is>
      </c>
      <c r="H7" s="30" t="inlineStr">
        <is>
          <t>10.15: 사용승인일 2021.01.22 기재, 작성 메모에 건축물대장 변동 이력 추가</t>
        </is>
      </c>
    </row>
    <row r="8" ht="29.25" customHeight="1">
      <c r="A8" s="5" t="inlineStr">
        <is>
          <t>②-4</t>
        </is>
      </c>
      <c r="B8" s="6" t="inlineStr">
        <is>
          <t>도입설비 및 장비 명세서</t>
        </is>
      </c>
      <c r="C8" s="6" t="inlineStr">
        <is>
          <t>박상혁</t>
        </is>
      </c>
      <c r="D8" s="5" t="inlineStr">
        <is>
          <t>04_도입설비 및 장비 명세서.docx</t>
        </is>
      </c>
      <c r="E8" s="7" t="inlineStr">
        <is>
          <t>초안 완료</t>
        </is>
      </c>
      <c r="F8" s="5" t="inlineStr">
        <is>
          <t>수량·도입경로 [ ] 남음(PTL 칸 수, 3D 소터·오토라벨러·싱귤레이터·지게차 대수 — 99 확인필요 No.30), 설비 사진 11칸 삽입</t>
        </is>
      </c>
      <c r="G8" s="5" t="inlineStr">
        <is>
          <t>04_도입설비 및 장비 명세서.docx</t>
        </is>
      </c>
      <c r="H8" s="5" t="inlineStr">
        <is>
          <t>10.16: 초안 yun 폴더 반입·정비 — 센터명 기재, 휴대용 DWS 삭제, 크로스도킹 소팅장비→휠소터 라인(9모듈) 정리, 도크레벨러·지게차·카트피킹·포장대 추가, PDA 35대·DWS 투입구 6개·포장대 6식·봉함기 6대·DWS 2대 기재, 과장 표현(오분류율 0%·99%+·24시간·완전 대응) 수정 / 10.16: DWS 명칭 통일 — DWS 6대(휠소터 투입구)로 기재, 01·02 "컨베이어·수동 DWS" 표기도 DWS로 정리 / 10.16: 포장대 DWS 2대 = 투입구 DWS와 같은 장비 확인 → 포장대 행에서 DWS 2대 삭제</t>
        </is>
      </c>
      <c r="I8" s="36" t="n">
        <v>46311</v>
      </c>
    </row>
    <row r="9" ht="29.25" customHeight="1">
      <c r="A9" s="5" t="inlineStr">
        <is>
          <t>②-5</t>
        </is>
      </c>
      <c r="B9" s="6" t="inlineStr">
        <is>
          <t>물류센터 운영 매뉴얼</t>
        </is>
      </c>
      <c r="C9" s="6" t="inlineStr">
        <is>
          <t>유재완·장윤진</t>
        </is>
      </c>
      <c r="D9" s="5" t="inlineStr">
        <is>
          <t>05_물류센터 운영 매뉴얼.docx</t>
        </is>
      </c>
      <c r="E9" s="7" t="inlineStr">
        <is>
          <t>보완 필요</t>
        </is>
      </c>
      <c r="F9" s="5" t="inlineStr">
        <is>
          <t>3.2절 최근 3년 실적·물동량·RTO/RPO가 "예시" 수치 → 실제 값 교체, [작성 양식] 표 삭제 (UPH 실적은 확보 — 01 2.2.2 실적표 참조)</t>
        </is>
      </c>
      <c r="G9" s="5" t="inlineStr">
        <is>
          <t>-</t>
        </is>
      </c>
      <c r="H9" s="5" t="inlineStr">
        <is>
          <t>10.15 yun 「3_운영매뉴얼」: 상호→트랙스로지스코리아(주)·작성일 2026-09-30·KPI "목표(예시)"→"목표" 수정 완료. 실제 실적 수치는 여전히 필요 / 10.15: 13장 KPI UPH 산식(출고 박스÷투입 인시)·목표(OPS 815·풀필먼트 205박스/인·일)·2026.1~9 실적(OPS 86.5·풀필 24.8) 기재 / 10.16: DAS 운영 중단 반영(피킹 방식·설비 유의사항·점검 주기표에서 DAS 제거)</t>
        </is>
      </c>
      <c r="I9" s="36" t="n">
        <v>46318</v>
      </c>
    </row>
    <row r="10" ht="65.25" customHeight="1">
      <c r="A10" s="5" t="inlineStr">
        <is>
          <t>②-6</t>
        </is>
      </c>
      <c r="B10" s="6" t="inlineStr">
        <is>
          <t>품질·안전·환경관리 매뉴얼</t>
        </is>
      </c>
      <c r="C10" s="6" t="inlineStr">
        <is>
          <t>유재완·장윤진</t>
        </is>
      </c>
      <c r="D10" s="5" t="inlineStr">
        <is>
          <t>06_품질안전환경관리 매뉴얼.docx (목차만)</t>
        </is>
      </c>
      <c r="E10" s="8" t="inlineStr">
        <is>
          <t>초안 완료</t>
        </is>
      </c>
      <c r="F10" s="27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5" t="inlineStr">
        <is>
          <t>06_품질안전환경관리 매뉴얼(완성본).docx</t>
        </is>
      </c>
      <c r="H10" s="5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 / 10.15: 비상 시 인원 확인을 일별 근무 현황(출근 명부) 기준으로 수정, 작업자 추적(QR)은 시범 운영 중으로 표기 / 10.15: 조명 "LED 조명 미적용(일반 조명) / 비작업 구역 소등 관리"로 정리(사용자 입력 반영)</t>
        </is>
      </c>
      <c r="I10" s="36" t="n">
        <v>46318</v>
      </c>
    </row>
    <row r="11" ht="29.25" customHeight="1">
      <c r="A11" s="5" t="inlineStr">
        <is>
          <t>②-7</t>
        </is>
      </c>
      <c r="B11" s="6" t="inlineStr">
        <is>
          <t>물류정보시스템 기술서</t>
        </is>
      </c>
      <c r="C11" s="6" t="inlineStr">
        <is>
          <t>윤일환</t>
        </is>
      </c>
      <c r="D11" s="5" t="inlineStr">
        <is>
          <t>07_물류정보시스템 기술서.docx</t>
        </is>
      </c>
      <c r="E11" s="7" t="inlineStr">
        <is>
          <t>보완 필요</t>
        </is>
      </c>
      <c r="F11" s="6" t="inlineStr">
        <is>
          <t>[확인 필요] 2곳 입력: 일평균 주문 건수(출고 완료 주문·출고일 기준, 어드민 추출), 국내:해외 비중(2026.1~9 출고 기준 6.3:93.7 산출 완료)</t>
        </is>
      </c>
      <c r="G11" s="5" t="inlineStr">
        <is>
          <t>-</t>
        </is>
      </c>
      <c r="H11" s="5" t="inlineStr">
        <is>
          <t>10.15 yun 「1_물류정보시스템_기술서」 보완: 센터 정보·물동량(일평균 약 13,600박스, 재고형:셀러 발송분 36:64)·기술 스택·설비 수량(PDA 35대, DWS 투입구 6개)·자동화율(평균 52%) 입력, 채널 목록 기재, 구성도 [그림 3-1] 새로 작성(기존 "Tracx Logis" 표기 그림 교체), 시스템 화면 4장 추가. [확인 필요] 8곳 남음: 일평균 주문 건수, 국내:해외 비중, 서버 프레임워크·DB, DAS 스테이션·3D 소터 처리량·PTL 구역·슈트 수 / 10.15: 설비 표에 3D 소터 시간당 약 1,500 SKU, PTL 1개 구역, 휠소터 시간당 약 3,500개(기존 4,000개)·슈트 18개 반영 → [확인 필요] 5곳 남음 / 10.16: 서버 .NET·Node.js, DB MS SQL Server 입력(사용자 기재 반영). 10.15 설비 값(3D 소터·PTL·휠소터 3,500·슈트 18) 재반영 / 10.16: DAS 운영 중단 확인 → 설비 표 DAS 행 삭제, 본문·[그림 3-1] 구성도에서 DAS 제거(총량 피킹분은 3D Sorter·PTL로 주문별 분류)</t>
        </is>
      </c>
      <c r="I11" s="34" t="inlineStr">
        <is>
          <t xml:space="preserve">10월 19일 </t>
        </is>
      </c>
    </row>
    <row r="12" ht="15" customHeight="1">
      <c r="A12" s="5" t="inlineStr">
        <is>
          <t>②-8</t>
        </is>
      </c>
      <c r="B12" s="6" t="inlineStr">
        <is>
          <t>업무-시스템 연계기술서</t>
        </is>
      </c>
      <c r="C12" s="6" t="inlineStr">
        <is>
          <t>윤일환</t>
        </is>
      </c>
      <c r="D12" s="5" t="inlineStr">
        <is>
          <t>08_업무-시스템 연계기술서.docx</t>
        </is>
      </c>
      <c r="E12" s="35" t="inlineStr">
        <is>
          <t>초안 완료</t>
        </is>
      </c>
      <c r="F12" s="6" t="inlineStr">
        <is>
          <t>내용 검토 후 제출본 확정(남은 공란 없음)</t>
        </is>
      </c>
      <c r="G12" s="5" t="inlineStr">
        <is>
          <t>-</t>
        </is>
      </c>
      <c r="H12" s="5" t="inlineStr">
        <is>
          <t>10.15 yun 「2_업무-시스템_연계기술서」: 연계 흐름도 [그림 2-1] 새로 작성(재고 입고·WMS 출고·셀러 발송분·공통 후단 4개 흐름). 상호·작성일·SLA 표기 수정 완료 / 10.16: DAS 운영 중단 반영 — 설비·흐름·오류 코드 표와 [그림 2-1]에서 DAS 제거</t>
        </is>
      </c>
    </row>
    <row r="13" hidden="1" ht="15" customHeight="1">
      <c r="A13" s="5" t="inlineStr">
        <is>
          <t>②-9</t>
        </is>
      </c>
      <c r="B13" s="6" t="inlineStr">
        <is>
          <t>예비인증서 사본</t>
        </is>
      </c>
      <c r="C13" s="5" t="inlineStr">
        <is>
          <t>-</t>
        </is>
      </c>
      <c r="D13" s="5" t="inlineStr">
        <is>
          <t>09_예비인증서 사본(안내·표지).docx</t>
        </is>
      </c>
      <c r="E13" s="10" t="inlineStr">
        <is>
          <t>해당 없음</t>
        </is>
      </c>
      <c r="F13" s="6" t="inlineStr">
        <is>
          <t>예비인증 이력 없음 → 제출 제외</t>
        </is>
      </c>
      <c r="G13" s="5" t="inlineStr">
        <is>
          <t>-</t>
        </is>
      </c>
      <c r="H13" s="5" t="inlineStr">
        <is>
          <t>-</t>
        </is>
      </c>
    </row>
    <row r="14" ht="29.25" customHeight="1">
      <c r="A14" s="5" t="inlineStr">
        <is>
          <t>②-10</t>
        </is>
      </c>
      <c r="B14" s="6" t="inlineStr">
        <is>
          <t>법인등기부등본(말소사항 포함)</t>
        </is>
      </c>
      <c r="C14" s="6" t="inlineStr">
        <is>
          <t>유재완(GA)</t>
        </is>
      </c>
      <c r="D14" s="6" t="inlineStr">
        <is>
          <t>작성 서류 - yun/4 법인등기사항증명서.pdf (말소사항 포함, 발행 2026.06.10, 28쪽)</t>
        </is>
      </c>
      <c r="E14" s="9" t="inlineStr">
        <is>
          <t>발급·수집 필요</t>
        </is>
      </c>
      <c r="F14" s="6" t="inlineStr">
        <is>
          <t>신청일 기준 최근본으로 재발급(말소사항 포함). 현 파일 36MB — 제출용 압축본 준비</t>
        </is>
      </c>
      <c r="G14" s="5" t="inlineStr">
        <is>
          <t>-</t>
        </is>
      </c>
      <c r="H14" s="5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idden="1" ht="15" customHeight="1">
      <c r="A15" s="5" t="inlineStr">
        <is>
          <t>②-11</t>
        </is>
      </c>
      <c r="B15" s="6" t="inlineStr">
        <is>
          <t>사업자등록증</t>
        </is>
      </c>
      <c r="C15" s="6" t="inlineStr">
        <is>
          <t>유재완(GA)</t>
        </is>
      </c>
      <c r="D15" s="6" t="inlineStr">
        <is>
          <t>작성 서류 - yun/트랙스로지스코리아 사업자등록증_20260611.pdf</t>
        </is>
      </c>
      <c r="E15" s="26" t="inlineStr">
        <is>
          <t>완료</t>
        </is>
      </c>
      <c r="F15" s="6" t="inlineStr">
        <is>
          <t>확보 완료(2026.06.11 발급). 등록번호 109-86-19926, 각자대표 김양훈·노현석, 사업장 마곡 아이파크 디어반</t>
        </is>
      </c>
      <c r="G15" s="5" t="inlineStr">
        <is>
          <t>-</t>
        </is>
      </c>
      <c r="H15" s="5" t="inlineStr">
        <is>
          <t>10.15: yun 폴더에서 확인. 신청서 기재안 주소·대표 표기를 사업자등록증 기준으로 맞춤</t>
        </is>
      </c>
    </row>
    <row r="16" hidden="1" ht="29.25" customHeight="1">
      <c r="A16" s="5" t="inlineStr">
        <is>
          <t>③</t>
        </is>
      </c>
      <c r="B16" s="6" t="inlineStr">
        <is>
          <t>물류사업 허가증·등록증 사본</t>
        </is>
      </c>
      <c r="C16" s="6" t="inlineStr">
        <is>
          <t>유재완(GA)</t>
        </is>
      </c>
      <c r="D16" s="5" t="inlineStr">
        <is>
          <t>작성 서류 - yun/5-1~5-4 (창고업·국제물류주선·화물운송주선·상업서류송달)</t>
        </is>
      </c>
      <c r="E16" s="11" t="inlineStr">
        <is>
          <t>완료</t>
        </is>
      </c>
      <c r="F16" s="6" t="inlineStr">
        <is>
          <t>수령 완료(2026.07.10). 창고업 등록증 상호 오기(트렉스) 확인</t>
        </is>
      </c>
      <c r="G16" s="5" t="inlineStr">
        <is>
          <t>-</t>
        </is>
      </c>
      <c r="H16" s="5" t="inlineStr">
        <is>
          <t>yun 폴더에 사본 확보. 창고업 등록 보관면적 19,412.63㎡는 2026.07.15 일부 해지 전 면적 → 변경등록 필요 여부 확인</t>
        </is>
      </c>
    </row>
    <row r="17" ht="15" customHeight="1">
      <c r="A17" s="5" t="inlineStr">
        <is>
          <t>④</t>
        </is>
      </c>
      <c r="B17" s="6" t="inlineStr">
        <is>
          <t>사본=원본 확인서</t>
        </is>
      </c>
      <c r="C17" s="6" t="inlineStr">
        <is>
          <t>박상혁</t>
        </is>
      </c>
      <c r="D17" s="5" t="inlineStr">
        <is>
          <t>④_사본=원본 확인서.docx</t>
        </is>
      </c>
      <c r="E17" s="7" t="inlineStr">
        <is>
          <t>보완 필요</t>
        </is>
      </c>
      <c r="F17" s="6" t="inlineStr">
        <is>
          <t>작성일 공란, 공동대표 병기 여부 결정, 대표이사 직인</t>
        </is>
      </c>
      <c r="G17" s="5" t="inlineStr">
        <is>
          <t>-</t>
        </is>
      </c>
      <c r="H17" s="5" t="inlineStr">
        <is>
          <t>yun 폴더에 해당 파일 없음</t>
        </is>
      </c>
    </row>
    <row r="18" ht="15" customHeight="1">
      <c r="A18" s="5" t="inlineStr">
        <is>
          <t>⑤</t>
        </is>
      </c>
      <c r="B18" s="6" t="inlineStr">
        <is>
          <t>자체평가점수표(일반)</t>
        </is>
      </c>
      <c r="C18" s="6" t="inlineStr">
        <is>
          <t>박상혁</t>
        </is>
      </c>
      <c r="D18" s="6" t="inlineStr">
        <is>
          <t>자체평가점수표(일반).xlsx (855.5점)</t>
        </is>
      </c>
      <c r="E18" s="8" t="inlineStr">
        <is>
          <t>초안 완료</t>
        </is>
      </c>
      <c r="F18" s="6" t="inlineStr">
        <is>
          <t>근거 기준 조정본 772.0점(3등급). ②-1과 동일 등급으로 제출</t>
        </is>
      </c>
      <c r="G18" s="6" t="inlineStr">
        <is>
          <t>자체평가점수표(일반)_근거기준.xlsx</t>
        </is>
      </c>
      <c r="H18" s="6" t="inlineStr">
        <is>
          <t>근거기준 점수표 772.0점(3등급) — 01·⑥·3번 시트와 44개 항목 등급 일치 확인 / 10.15: 1.1.2 2→3등급(QR 작업자 추적 시범 운영 중) 반영 → 772.0점 / 10.16: 2.1.1·2.1.3·2.1.4·2.1.5 등급 변경 반영 → 772.0점</t>
        </is>
      </c>
    </row>
    <row r="19" ht="15" customHeight="1">
      <c r="A19" s="5" t="inlineStr">
        <is>
          <t>⑥</t>
        </is>
      </c>
      <c r="B19" s="6" t="inlineStr">
        <is>
          <t>조견표</t>
        </is>
      </c>
      <c r="C19" s="6" t="inlineStr">
        <is>
          <t>박상혁</t>
        </is>
      </c>
      <c r="D19" s="6" t="inlineStr">
        <is>
          <t>없음</t>
        </is>
      </c>
      <c r="E19" s="25" t="inlineStr">
        <is>
          <t>초안 완료</t>
        </is>
      </c>
      <c r="F19" s="5" t="inlineStr">
        <is>
          <t>44개 항목 × 수록 쪽·증명자료 매핑 완료, 작성 메모 삭제. 남은 사진 삽입 후 쪽번호만 다시 확인</t>
        </is>
      </c>
      <c r="G19" s="5" t="inlineStr">
        <is>
          <t>⑥_조견표.docx</t>
        </is>
      </c>
      <c r="H19" s="5" t="inlineStr">
        <is>
          <t>10.15: 01 사진 추가에 맞춰 수록 쪽 재산정(총 74쪽), 캡션 103칸 01과 일치 / 10.15: 2.2.2 사진 추가로 2.2.2~2.3.2 수록 쪽 재산정(총 75쪽), 2.2.2 [사진 2] 캡션 01과 일치 / 10.15: 1.1.2 3등급, QR 관련 캡션 3칸 01과 일치 / 10.15: 2.2.4 [사진 3] 캡션 01과 일치 / 10.16: 2.1.1·2.1.3·2.1.4·2.1.5 등급 01과 일치</t>
        </is>
      </c>
    </row>
    <row r="20" ht="29.25" customHeight="1">
      <c r="A20" s="5" t="inlineStr">
        <is>
          <t>⑦</t>
        </is>
      </c>
      <c r="B20" s="6" t="inlineStr">
        <is>
          <t>신청기업 소개자료</t>
        </is>
      </c>
      <c r="C20" s="6" t="inlineStr">
        <is>
          <t>유재완·장윤진(마케팅)</t>
        </is>
      </c>
      <c r="D20" s="5" t="inlineStr">
        <is>
          <t>⑦_신청기업 소개자료.docx / 참고: yun/KOR 2026 TracX Logis Korea 회사소개서 v2.pdf</t>
        </is>
      </c>
      <c r="E20" s="7" t="inlineStr">
        <is>
          <t>보완 필요</t>
        </is>
      </c>
      <c r="F20" s="6" t="inlineStr">
        <is>
          <t>작성일 공란, 설립일 확인, 상호 통일, 오출고율 0.0001% 기준 확인(05와 상충)</t>
        </is>
      </c>
      <c r="G20" s="5" t="inlineStr">
        <is>
          <t>-</t>
        </is>
      </c>
      <c r="H20" s="5" t="inlineStr">
        <is>
          <t>회사소개서 v2(2026.07.23, 20쪽) 확보. 오출고율 "0.0001%" 그대로 표기 → 05·01 기준과 통일 필요. 설립 2009(등기 회사성립 2009.09.04와 일치)</t>
        </is>
      </c>
      <c r="I20" s="34" t="inlineStr">
        <is>
          <t xml:space="preserve">10월 19일 </t>
        </is>
      </c>
    </row>
    <row r="21" ht="29.25" customHeight="1">
      <c r="A21" s="5" t="inlineStr">
        <is>
          <t>⑧</t>
        </is>
      </c>
      <c r="B21" s="6" t="inlineStr">
        <is>
          <t>신청대상 물류센터 소개자료</t>
        </is>
      </c>
      <c r="C21" s="6" t="inlineStr">
        <is>
          <t>유재완·장윤진(마케팅)</t>
        </is>
      </c>
      <c r="D21" s="5" t="inlineStr">
        <is>
          <t>⑧_신청대상 물류센터 소개자료.docx / 참고: yun/글로벌 물류센터 네트워크 소개서 v2·compressed.pdf</t>
        </is>
      </c>
      <c r="E21" s="7" t="inlineStr">
        <is>
          <t>보완 필요</t>
        </is>
      </c>
      <c r="F21" s="27" t="inlineStr">
        <is>
          <t>사용승인일, 인력 규모, 출고 처리능력(소터장비가 시간당 3500개 처리, 인원은 투입인원별 상이), 확정</t>
        </is>
      </c>
      <c r="G21" s="5" t="inlineStr">
        <is>
          <t>-</t>
        </is>
      </c>
      <c r="H21" s="5" t="inlineStr">
        <is>
          <t>네트워크 소개서 v2 확보(참고자료). 사용승인일은 건축물대장 2021.01.22로 확정 → ⑧ "2021년 1월 준공(확인 필요)" 수정 가능 / 10.15: 휠소터 시간당 3,500개는 01·02·07에 반영. ⑧ 파일(yun 폴더 없음)의 출고 처리능력 35,000(예시)도 같은 기준으로 확정 필요</t>
        </is>
      </c>
      <c r="I21" s="34" t="inlineStr">
        <is>
          <t xml:space="preserve">10월 19일 </t>
        </is>
      </c>
    </row>
    <row r="22" ht="29.25" customHeight="1">
      <c r="A22" s="5" t="inlineStr">
        <is>
          <t>⑨</t>
        </is>
      </c>
      <c r="B22" s="6" t="inlineStr">
        <is>
          <t>건축물대장 및 임대차계약서</t>
        </is>
      </c>
      <c r="C22" s="6" t="inlineStr">
        <is>
          <t>유재완·장윤진</t>
        </is>
      </c>
      <c r="D22" s="6" t="inlineStr">
        <is>
          <t>작성 서류 - yun/16-1 건축물대장, 16-2 임대차 승계동의서, 16-3 일부 해지 통지</t>
        </is>
      </c>
      <c r="E22" s="23" t="inlineStr">
        <is>
          <t>보완 필요</t>
        </is>
      </c>
      <c r="F22" s="6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5" t="inlineStr">
        <is>
          <t>-</t>
        </is>
      </c>
      <c r="H22" s="5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idden="1" ht="15" customHeight="1">
      <c r="A23" s="5" t="inlineStr">
        <is>
          <t>⑩</t>
        </is>
      </c>
      <c r="B23" s="6" t="inlineStr">
        <is>
          <t>중소기업 확인서</t>
        </is>
      </c>
      <c r="C23" s="6" t="inlineStr">
        <is>
          <t>유재완(GA)</t>
        </is>
      </c>
      <c r="D23" s="6" t="inlineStr">
        <is>
          <t>작성 서류 - yun/17 중소기업 확인서.pdf</t>
        </is>
      </c>
      <c r="E23" s="11" t="inlineStr">
        <is>
          <t>완료</t>
        </is>
      </c>
      <c r="F23" s="6" t="inlineStr">
        <is>
          <t>중기업, 유효기간 2026.04.01~2027.03.31 — 수수료 면제 근거</t>
        </is>
      </c>
      <c r="G23" s="5" t="inlineStr">
        <is>
          <t>-</t>
        </is>
      </c>
      <c r="H23" s="5" t="inlineStr">
        <is>
          <t>yun 폴더에 사본 확보</t>
        </is>
      </c>
    </row>
    <row r="24" ht="29.25" customHeight="1">
      <c r="A24" s="5" t="inlineStr">
        <is>
          <t>⑪</t>
        </is>
      </c>
      <c r="B24" s="6" t="inlineStr">
        <is>
          <t>심사수수료 납부영수증</t>
        </is>
      </c>
      <c r="C24" s="6" t="inlineStr">
        <is>
          <t>유재완·장윤진</t>
        </is>
      </c>
      <c r="D24" s="6" t="inlineStr">
        <is>
          <t>없음</t>
        </is>
      </c>
      <c r="E24" s="9" t="inlineStr">
        <is>
          <t>결정 필요</t>
        </is>
      </c>
      <c r="F24" s="6" t="inlineStr">
        <is>
          <t>중소기업 면제 대상. 면제 시 영수증 대체 서류를 인증센터(044-211-3256)에 확인</t>
        </is>
      </c>
      <c r="G24" s="5" t="inlineStr">
        <is>
          <t>-</t>
        </is>
      </c>
      <c r="H24" s="5" t="inlineStr">
        <is>
          <t>변동 없음</t>
        </is>
      </c>
    </row>
    <row r="25" ht="15" customHeight="1">
      <c r="A25" s="6" t="inlineStr">
        <is>
          <t>기타</t>
        </is>
      </c>
      <c r="B25" s="5" t="inlineStr">
        <is>
          <t>USB 저장매체 / 바인더 1부</t>
        </is>
      </c>
      <c r="C25" s="6" t="inlineStr">
        <is>
          <t>유재완·장윤진</t>
        </is>
      </c>
      <c r="D25" s="5" t="inlineStr">
        <is>
          <t>-</t>
        </is>
      </c>
      <c r="E25" s="9" t="inlineStr">
        <is>
          <t>발급·수집 필요</t>
        </is>
      </c>
      <c r="F25" s="6" t="inlineStr">
        <is>
          <t>전 서류 원본 파일 USB 저장, 바인더(책자) 1부 제본</t>
        </is>
      </c>
      <c r="G25" s="5" t="inlineStr">
        <is>
          <t>-</t>
        </is>
      </c>
      <c r="H25" s="5" t="inlineStr">
        <is>
          <t>-</t>
        </is>
      </c>
    </row>
    <row r="26"/>
    <row r="27" ht="15" customHeight="1">
      <c r="B27" s="12" t="inlineStr">
        <is>
          <t>상태별 건수</t>
        </is>
      </c>
    </row>
    <row r="28" ht="15" customHeight="1">
      <c r="B28" s="13" t="inlineStr">
        <is>
          <t>보완 필요</t>
        </is>
      </c>
      <c r="C28" s="13">
        <f>COUNTIF(E4:E25,"보완 필요")</f>
        <v/>
      </c>
    </row>
    <row r="29" ht="15" customHeight="1">
      <c r="B29" s="13" t="inlineStr">
        <is>
          <t>초안 완료</t>
        </is>
      </c>
      <c r="C29" s="13">
        <f>COUNTIF(E4:E25,"초안 완료")</f>
        <v/>
      </c>
    </row>
    <row r="30" ht="15" customHeight="1">
      <c r="B30" s="13" t="inlineStr">
        <is>
          <t>결정 필요</t>
        </is>
      </c>
      <c r="C30" s="13">
        <f>COUNTIF(E4:E25,"결정 필요")</f>
        <v/>
      </c>
    </row>
    <row r="31" ht="15" customHeight="1">
      <c r="B31" s="13" t="inlineStr">
        <is>
          <t>해당 없음</t>
        </is>
      </c>
      <c r="C31" s="13">
        <f>COUNTIF(E4:E25,"해당 없음")</f>
        <v/>
      </c>
    </row>
    <row r="32" ht="16.5" customHeight="1">
      <c r="B32" s="13" t="inlineStr">
        <is>
          <t>발급·수집 필요</t>
        </is>
      </c>
      <c r="C32" s="13">
        <f>COUNTIF(E4:E25,"발급·수집 필요")</f>
        <v/>
      </c>
    </row>
    <row r="33" ht="15" customHeight="1">
      <c r="B33" s="13" t="inlineStr">
        <is>
          <t>완료</t>
        </is>
      </c>
      <c r="C33" s="13">
        <f>COUNTIF(E4:E25,"완료")</f>
        <v/>
      </c>
    </row>
  </sheetData>
  <autoFilter ref="A3:H25">
    <filterColumn colId="4" hiddenButton="0" showButton="1">
      <filters>
        <filter val="결정 필요"/>
        <filter val="발급·수집 필요"/>
        <filter val="보완 필요"/>
        <filter val="초안 완료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16" customWidth="1" min="2" max="2"/>
    <col width="42" customWidth="1" min="3" max="3"/>
    <col width="48" customWidth="1" min="4" max="5"/>
    <col width="9" customWidth="1" min="6" max="6"/>
  </cols>
  <sheetData>
    <row r="1" ht="17.25" customHeight="1">
      <c r="A1" s="1" t="inlineStr">
        <is>
          <t>문서 간 불일치 및 확인 필요 사항</t>
        </is>
      </c>
    </row>
    <row r="3" ht="15" customHeight="1">
      <c r="A3" s="3" t="inlineStr">
        <is>
          <t>#</t>
        </is>
      </c>
      <c r="B3" s="4" t="inlineStr">
        <is>
          <t>항목</t>
        </is>
      </c>
      <c r="C3" s="4" t="inlineStr">
        <is>
          <t>문서 A</t>
        </is>
      </c>
      <c r="D3" s="4" t="inlineStr">
        <is>
          <t>문서 B / 근거</t>
        </is>
      </c>
      <c r="E3" s="4" t="inlineStr">
        <is>
          <t>조치</t>
        </is>
      </c>
      <c r="F3" s="4" t="inlineStr">
        <is>
          <t>중요도</t>
        </is>
      </c>
    </row>
    <row r="4" ht="29.25" customHeight="1">
      <c r="A4" s="5" t="n">
        <v>1</v>
      </c>
      <c r="B4" s="6" t="inlineStr">
        <is>
          <t>상호</t>
        </is>
      </c>
      <c r="C4" s="6" t="inlineStr">
        <is>
          <t>기존 초안 전체: (주)트랙스로지스 / yun 폴더 1~4 영종센터 문서(v2.0): "Tracx Logis"</t>
        </is>
      </c>
      <c r="D4" s="6" t="inlineStr">
        <is>
          <t>법인등기·중소기업 확인서: 트랙스로지스코리아(주) / 창고업 등록증: 트렉스로지스코리아(주)</t>
        </is>
      </c>
      <c r="E4" s="6" t="inlineStr">
        <is>
          <t>전 문서 "트랙스로지스코리아(주)"로 통일. 창고업 등록증 오기는 중구청 정정 검토</t>
        </is>
      </c>
      <c r="F4" s="14" t="inlineStr">
        <is>
          <t>높음</t>
        </is>
      </c>
    </row>
    <row r="5" ht="15" customHeight="1">
      <c r="A5" s="5" t="n">
        <v>2</v>
      </c>
      <c r="B5" s="6" t="inlineStr">
        <is>
          <t>대표자</t>
        </is>
      </c>
      <c r="C5" s="5" t="inlineStr">
        <is>
          <t>④·⑦: 김양훈 단독 또는 공동대표 병기 미정</t>
        </is>
      </c>
      <c r="D5" s="6" t="inlineStr">
        <is>
          <t>창고업 등록증: 김양훈 외 1명 / 법인등기: 대표이사 김양훈·노현석(2024.10.31 취임) 각각 등기 / 승계동의서: 대표자 2인 날인</t>
        </is>
      </c>
      <c r="E5" s="6" t="inlineStr">
        <is>
          <t>사업자등록증(2026.06.11): 김양훈·노현석 "각자대표" 확인 → 신청서·④ 확인서에 2인 병기(각자대표)로 통일</t>
        </is>
      </c>
      <c r="F5" s="14" t="inlineStr">
        <is>
          <t>중간</t>
        </is>
      </c>
    </row>
    <row r="6" ht="29.25" customHeight="1">
      <c r="A6" s="5" t="n">
        <v>3</v>
      </c>
      <c r="B6" s="6" t="inlineStr">
        <is>
          <t>면적</t>
        </is>
      </c>
      <c r="C6" s="5" t="inlineStr">
        <is>
          <t>05·⑧: 6개 기능구역 합계 7,358.4㎡</t>
        </is>
      </c>
      <c r="D6" s="5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6" t="inlineStr">
        <is>
          <t>임차면적 3,474.25평(≈11,485㎡)과 운영면적 2,845평을 구분 표기해 전 문서 통일 / 10.16: 인증 대상 면적 = 운영면적 2,845평(약 9,405㎡)으로 결정. 01·①·02 반영, 05·⑧은 파일 없음</t>
        </is>
      </c>
      <c r="F6" s="14" t="inlineStr">
        <is>
          <t>높음</t>
        </is>
      </c>
    </row>
    <row r="7" ht="15" customHeight="1">
      <c r="A7" s="5" t="n">
        <v>4</v>
      </c>
      <c r="B7" s="6" t="inlineStr">
        <is>
          <t>면적(검수+맵핑)</t>
        </is>
      </c>
      <c r="C7" s="5" t="inlineStr">
        <is>
          <t>05·02: 해당 구역 없음</t>
        </is>
      </c>
      <c r="D7" s="5" t="inlineStr">
        <is>
          <t>Lay-out 3p: 검수+맵핑 877.5㎡</t>
        </is>
      </c>
      <c r="E7" s="6" t="inlineStr">
        <is>
          <t>분야 배정 결정(검품·포장 또는 상차·출고)</t>
        </is>
      </c>
      <c r="F7" s="15" t="inlineStr">
        <is>
          <t>중간</t>
        </is>
      </c>
    </row>
    <row r="8" ht="15" customHeight="1">
      <c r="A8" s="5" t="n">
        <v>5</v>
      </c>
      <c r="B8" s="6" t="inlineStr">
        <is>
          <t>피킹 면적</t>
        </is>
      </c>
      <c r="C8" s="5" t="inlineStr">
        <is>
          <t>02·05: 500㎡</t>
        </is>
      </c>
      <c r="D8" s="5" t="inlineStr">
        <is>
          <t>Lay-out: 292.5 + 185.625 = 478.1㎡</t>
        </is>
      </c>
      <c r="E8" s="5" t="inlineStr">
        <is>
          <t>Lay-out 값으로 통일(02 완성본은 478.1㎡ 적용)</t>
        </is>
      </c>
      <c r="F8" s="16" t="inlineStr">
        <is>
          <t>낮음</t>
        </is>
      </c>
    </row>
    <row r="9" ht="15" customHeight="1">
      <c r="A9" s="5" t="n">
        <v>6</v>
      </c>
      <c r="B9" s="5" t="inlineStr">
        <is>
          <t>DWS 수량</t>
        </is>
      </c>
      <c r="C9" s="5" t="inlineStr">
        <is>
          <t>04: 휴대용 DWS 6대</t>
        </is>
      </c>
      <c r="D9" s="5" t="inlineStr">
        <is>
          <t>02·05: DWS 2대 / 07: 입고용 2대 + 수동 DWS</t>
        </is>
      </c>
      <c r="E9" s="6" t="inlineStr">
        <is>
          <t>설비 대장 기준 종류별(휴대용·컨베이어·수동) 수량 확정 (10.07 확인: 재고 입고 시 휴대용 DWS 미사용 → 01 1.1.3 반영. 공정별 수량 통일은 미완) / 10.16: 휴대용 DWS 없음·DWS 6대(투입구 DWS1~6) 확인 → 02 입고 설비에서 휴대용 DWS 삭제. 04 명세서(파일 없음)도 정정 필요 / 10.16: 명칭 "DWS"로 통일, 04 명세서 정정 완료(DWS 6대·투입구). 포장대 DWS 2대도 투입구 DWS와 같은 장비로 확인 → DWS 6대로 통일, 01·02·04 반영 완료</t>
        </is>
      </c>
      <c r="F9" s="14" t="inlineStr">
        <is>
          <t>높음</t>
        </is>
      </c>
    </row>
    <row r="10" ht="15" customHeight="1">
      <c r="A10" s="5" t="n">
        <v>7</v>
      </c>
      <c r="B10" s="5" t="inlineStr">
        <is>
          <t>PDA 수량</t>
        </is>
      </c>
      <c r="C10" s="5" t="inlineStr">
        <is>
          <t>04 개요표: [ ]대</t>
        </is>
      </c>
      <c r="D10" s="5" t="inlineStr">
        <is>
          <t>04 상세·02·05: 35대</t>
        </is>
      </c>
      <c r="E10" s="5" t="inlineStr">
        <is>
          <t>35대로 기재(확인)</t>
        </is>
      </c>
      <c r="F10" s="15" t="inlineStr">
        <is>
          <t>중간</t>
        </is>
      </c>
    </row>
    <row r="11" ht="15" customHeight="1">
      <c r="A11" s="5" t="n">
        <v>8</v>
      </c>
      <c r="B11" s="6" t="inlineStr">
        <is>
          <t>도크·도크레벨러</t>
        </is>
      </c>
      <c r="C11" s="5" t="inlineStr">
        <is>
          <t>02·05: 도크레벨러 1개소</t>
        </is>
      </c>
      <c r="D11" s="5" t="inlineStr">
        <is>
          <t>Lay-out: 도크레벨러 2곳 / ⑧: 입고 2 + 상차 2 도크</t>
        </is>
      </c>
      <c r="E11" s="6" t="inlineStr">
        <is>
          <t>현장 확인 후 통일 / 10.16: 도크레벨러 1개소로 확정 → 01 1.1.2 반영·작성 메모 삭제</t>
        </is>
      </c>
      <c r="F11" s="15" t="inlineStr">
        <is>
          <t>중간</t>
        </is>
      </c>
    </row>
    <row r="12" ht="15" customHeight="1">
      <c r="A12" s="5" t="n">
        <v>9</v>
      </c>
      <c r="B12" s="6" t="inlineStr">
        <is>
          <t>출고 처리능력</t>
        </is>
      </c>
      <c r="C12" s="5" t="inlineStr">
        <is>
          <t>05·02: 일 최대 30,000박스</t>
        </is>
      </c>
      <c r="D12" s="5" t="inlineStr">
        <is>
          <t>⑧: 일 최대 35,000박스(예시)</t>
        </is>
      </c>
      <c r="E12" s="6" t="inlineStr">
        <is>
          <t>확정값으로 통일</t>
        </is>
      </c>
      <c r="F12" s="15" t="inlineStr">
        <is>
          <t>중간</t>
        </is>
      </c>
    </row>
    <row r="13" ht="29.25" customHeight="1">
      <c r="A13" s="5" t="n">
        <v>10</v>
      </c>
      <c r="B13" s="6" t="inlineStr">
        <is>
          <t>성과 실적</t>
        </is>
      </c>
      <c r="C13" s="5" t="inlineStr">
        <is>
          <t>05 3.2: 2023~2025 오출고율·UPH·절감률·친환경 포장률 "예시"</t>
        </is>
      </c>
      <c r="D13" s="6" t="inlineStr">
        <is>
          <t>실제 결산 자료 없음</t>
        </is>
      </c>
      <c r="E13" s="6" t="inlineStr">
        <is>
          <t>실적 확보 필수 — 없으면 2.2 성과관리 등급 하락(허위기재 시 인증 취소 사유) / 10.15: UPH는 2025.11~2026.09 실측 확보해 01 2.2.2 반영</t>
        </is>
      </c>
      <c r="F13" s="14" t="inlineStr">
        <is>
          <t>높음</t>
        </is>
      </c>
    </row>
    <row r="14" ht="15" customHeight="1">
      <c r="A14" s="5" t="n">
        <v>11</v>
      </c>
      <c r="B14" s="6" t="inlineStr">
        <is>
          <t>오출고율</t>
        </is>
      </c>
      <c r="C14" s="5" t="inlineStr">
        <is>
          <t>05(예시): 0.15%(2025)</t>
        </is>
      </c>
      <c r="D14" s="6" t="inlineStr">
        <is>
          <t>⑦ 회사소개서: 0.0001%</t>
        </is>
      </c>
      <c r="E14" s="6" t="inlineStr">
        <is>
          <t>산식·범위(전사/영종센터) 정의 후 한 값으로 통일</t>
        </is>
      </c>
      <c r="F14" s="14" t="inlineStr">
        <is>
          <t>높음</t>
        </is>
      </c>
    </row>
    <row r="15" ht="15" customHeight="1">
      <c r="A15" s="5" t="n">
        <v>12</v>
      </c>
      <c r="B15" s="6" t="inlineStr">
        <is>
          <t>시스템 목표치</t>
        </is>
      </c>
      <c r="C15" s="5" t="inlineStr">
        <is>
          <t>05 4.3: 가동률 99.9%, RTO 30분, RPO 5분 "예시"</t>
        </is>
      </c>
      <c r="D15" s="6" t="inlineStr">
        <is>
          <t>운영 실적 없음</t>
        </is>
      </c>
      <c r="E15" s="6" t="inlineStr">
        <is>
          <t>실측값 또는 "목표"로 명시</t>
        </is>
      </c>
      <c r="F15" s="15" t="inlineStr">
        <is>
          <t>중간</t>
        </is>
      </c>
    </row>
    <row r="16" ht="15" customHeight="1">
      <c r="A16" s="5" t="n">
        <v>13</v>
      </c>
      <c r="B16" s="5" t="inlineStr">
        <is>
          <t>PTL 용어</t>
        </is>
      </c>
      <c r="C16" s="5" t="inlineStr">
        <is>
          <t>04: Put-to-Light</t>
        </is>
      </c>
      <c r="D16" s="5" t="inlineStr">
        <is>
          <t>07: Pick to Light</t>
        </is>
      </c>
      <c r="E16" s="6" t="inlineStr">
        <is>
          <t>운영 방식에 맞게 통일(합포장 분류 = Put-to-Light)</t>
        </is>
      </c>
      <c r="F16" s="16" t="inlineStr">
        <is>
          <t>낮음</t>
        </is>
      </c>
    </row>
    <row r="17" ht="15" customHeight="1">
      <c r="A17" s="5" t="n">
        <v>14</v>
      </c>
      <c r="B17" s="5" t="inlineStr">
        <is>
          <t>3D 소터 효과</t>
        </is>
      </c>
      <c r="C17" s="5" t="inlineStr">
        <is>
          <t>04: "오분류율 0% 달성"</t>
        </is>
      </c>
      <c r="D17" s="6" t="inlineStr">
        <is>
          <t>근거 데이터 없음</t>
        </is>
      </c>
      <c r="E17" s="6" t="inlineStr">
        <is>
          <t>데이터 첨부 또는 표현 완화</t>
        </is>
      </c>
      <c r="F17" s="15" t="inlineStr">
        <is>
          <t>중간</t>
        </is>
      </c>
    </row>
    <row r="18" ht="15" customHeight="1">
      <c r="A18" s="5" t="n">
        <v>15</v>
      </c>
      <c r="B18" s="6" t="inlineStr">
        <is>
          <t>작성일</t>
        </is>
      </c>
      <c r="C18" s="5" t="inlineStr">
        <is>
          <t>④·⑦·⑧: 파일 없음(작성 시 2026.10.31로 기재)</t>
        </is>
      </c>
      <c r="D18" s="5" t="inlineStr">
        <is>
          <t>10.15: 기준일자·작성일 2026.10.31로 통일 — yun 01·02·03(작성일)·06(기준일·제정일)·⑥·1~4, 제출서류_10종 01~08 표지 작성일 반영 완료</t>
        </is>
      </c>
      <c r="E18" s="6" t="inlineStr">
        <is>
          <t>④·⑦·⑧ 작성 시 2026.10.31 기재</t>
        </is>
      </c>
      <c r="F18" s="14" t="inlineStr">
        <is>
          <t>낮음</t>
        </is>
      </c>
    </row>
    <row r="19" ht="29.25" customHeight="1">
      <c r="A19" s="5" t="n">
        <v>16</v>
      </c>
      <c r="B19" s="6" t="inlineStr">
        <is>
          <t>인증기관 명칭</t>
        </is>
      </c>
      <c r="C19" s="6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6" t="inlineStr">
        <is>
          <t>인증기관: 한국교통연구원 스마트물류시설인증센터</t>
        </is>
      </c>
      <c r="E19" s="6" t="inlineStr">
        <is>
          <t>제출본에 사용하는 원고 모두 "한국교통연구원 스마트물류시설인증센터"로 수정</t>
        </is>
      </c>
      <c r="F19" s="16" t="inlineStr">
        <is>
          <t>낮음</t>
        </is>
      </c>
    </row>
    <row r="20" ht="15" customHeight="1">
      <c r="A20" s="5" t="n">
        <v>17</v>
      </c>
      <c r="B20" s="6" t="inlineStr">
        <is>
          <t>사용승인일</t>
        </is>
      </c>
      <c r="C20" s="5" t="inlineStr">
        <is>
          <t>⑧: 2021년 1월 준공(확인 필요)</t>
        </is>
      </c>
      <c r="D20" s="6" t="inlineStr">
        <is>
          <t>건축물대장(16-1): 사용승인 2021.01.22, 착공 2019.07.08</t>
        </is>
      </c>
      <c r="E20" s="6" t="inlineStr">
        <is>
          <t>① 신청서·⑧·03에 2021.01.22 반영(자료 확보 완료)</t>
        </is>
      </c>
      <c r="F20" s="14" t="inlineStr">
        <is>
          <t>중간</t>
        </is>
      </c>
    </row>
    <row r="21" ht="29.25" customHeight="1">
      <c r="A21" s="5" t="n">
        <v>18</v>
      </c>
      <c r="B21" s="6" t="inlineStr">
        <is>
          <t>안내문 잔존</t>
        </is>
      </c>
      <c r="C21" s="5" t="inlineStr">
        <is>
          <t>07·08: "▷ 필요한 내용", [작성 양식] 표 / 05: [작성 양식] 표</t>
        </is>
      </c>
      <c r="D21" s="5" t="inlineStr">
        <is>
          <t>-</t>
        </is>
      </c>
      <c r="E21" s="6" t="inlineStr">
        <is>
          <t>제출 전 삭제</t>
        </is>
      </c>
      <c r="F21" s="15" t="inlineStr">
        <is>
          <t>중간</t>
        </is>
      </c>
    </row>
    <row r="22" ht="27" customHeight="1">
      <c r="A22" s="5" t="n">
        <v>19</v>
      </c>
      <c r="B22" s="6" t="inlineStr">
        <is>
          <t>조견표 캡션</t>
        </is>
      </c>
      <c r="C22" s="5" t="inlineStr">
        <is>
          <t>⑥ 조견표: 기존 캡션(예: "PDA 피킹 화면", "송장 출력 화면")</t>
        </is>
      </c>
      <c r="D22" s="5" t="inlineStr">
        <is>
          <t>01 자체평가서(10.14 수정본): 실제 화면명 캡션 — ⑥과 30곳 불일치</t>
        </is>
      </c>
      <c r="E22" s="6" t="inlineStr">
        <is>
          <t>2026.10.14 처리 완료 — ⑥ 캡션 30곳 수정, 01과 103칸 모두 일치</t>
        </is>
      </c>
      <c r="F22" s="15" t="inlineStr">
        <is>
          <t>완료</t>
        </is>
      </c>
    </row>
    <row r="23" ht="27" customHeight="1">
      <c r="A23" s="5" t="n">
        <v>20</v>
      </c>
      <c r="B23" s="6" t="inlineStr">
        <is>
          <t>필수 기재 공란</t>
        </is>
      </c>
      <c r="C23" s="5" t="inlineStr">
        <is>
          <t>01 Ⅲ장: 종업원 수·최근 3년 매출액·2023~2025 물동량·인증업무 담당자 [ ]</t>
        </is>
      </c>
      <c r="D23" s="5" t="inlineStr">
        <is>
          <t>① 신청서 기재안: 실무담당자·전화·팩스·E-mail [ ]</t>
        </is>
      </c>
      <c r="E23" s="6" t="inlineStr">
        <is>
          <t>인사·재무팀 확정값 입력, 담당자는 01·① 동일하게 / 10.16: 인증업무 담당자 장윤진(01·① 성명 기재). 직책·연락처, 종업원 수·매출액(어드민 추출 예정) 남음</t>
        </is>
      </c>
      <c r="F23" s="15" t="inlineStr">
        <is>
          <t>높음</t>
        </is>
      </c>
    </row>
    <row r="24" ht="27" customHeight="1">
      <c r="A24" s="5" t="n">
        <v>21</v>
      </c>
      <c r="B24" s="6" t="inlineStr">
        <is>
          <t>본점 주소</t>
        </is>
      </c>
      <c r="C24" s="5" t="inlineStr">
        <is>
          <t>① 신청서 기재안·승계동의서: 서울 강서구 강서로 463, 7층(새싹타워)</t>
        </is>
      </c>
      <c r="D24" s="5" t="inlineStr">
        <is>
          <t>법인등기: 2026.06.01 「서울 강서구 마곡중앙8로7길 57, 비동 905~907호」로 이전(06.08 등기)</t>
        </is>
      </c>
      <c r="E24" s="6" t="inlineStr">
        <is>
          <t>① 신청서 기재안 수정 완료(10.15, 사업자등록증 표기 기준). 소개자료 등 나머지 문서 주소 확인</t>
        </is>
      </c>
      <c r="F24" s="15" t="inlineStr">
        <is>
          <t>높음</t>
        </is>
      </c>
    </row>
    <row r="25" ht="27" customHeight="1">
      <c r="A25" s="5" t="n">
        <v>22</v>
      </c>
      <c r="B25" s="6" t="inlineStr">
        <is>
          <t>창고업 등록 면적</t>
        </is>
      </c>
      <c r="C25" s="5" t="inlineStr">
        <is>
          <t>5-1 창고업 등록증: 보관시설 19,412.63㎡</t>
        </is>
      </c>
      <c r="D25" s="5" t="inlineStr">
        <is>
          <t>16-3 해지 통지: 2026.07.15부 2,398.07평 해지 → 잔여 3,474.25평</t>
        </is>
      </c>
      <c r="E25" s="6" t="inlineStr">
        <is>
          <t>물류창고업 변경등록 필요 여부 확인(관할 중구청)</t>
        </is>
      </c>
      <c r="F25" s="15" t="inlineStr">
        <is>
          <t>높음</t>
        </is>
      </c>
    </row>
    <row r="26" ht="27" customHeight="1">
      <c r="A26" s="5" t="n">
        <v>23</v>
      </c>
      <c r="B26" s="6" t="inlineStr">
        <is>
          <t>설계변경 이력</t>
        </is>
      </c>
      <c r="C26" s="5" t="inlineStr">
        <is>
          <t>03 설계변경 확인서: "해당 없음"</t>
        </is>
      </c>
      <c r="D26" s="5" t="inlineStr">
        <is>
          <t>건축물대장 변동: 2022.08.18 3층 방화구획 관련 대수선, 2024.03.12 증축(1층 전기실 57.48㎡)</t>
        </is>
      </c>
      <c r="E26" s="6" t="inlineStr">
        <is>
          <t>임차구역(3층) 관련 변경인지 확인 후 03 작성 방향 결정</t>
        </is>
      </c>
      <c r="F26" s="15" t="inlineStr">
        <is>
          <t>중간</t>
        </is>
      </c>
    </row>
    <row r="27">
      <c r="A27" s="5" t="n">
        <v>24</v>
      </c>
      <c r="B27" s="6" t="inlineStr">
        <is>
          <t>캡션·이미지</t>
        </is>
      </c>
      <c r="C27" s="5" t="inlineStr">
        <is>
          <t>01 1.1.5 [사진 2] 캡션: Smartship 입고신청 목록</t>
        </is>
      </c>
      <c r="D27" s="5" t="inlineStr">
        <is>
          <t>삽입 이미지는 [사진 1](SW 입고 확정)과 동일 파일</t>
        </is>
      </c>
      <c r="E27" s="6" t="inlineStr">
        <is>
          <t>Smartship 입고신청 목록 화면으로 이미지 교체</t>
        </is>
      </c>
      <c r="F27" s="15" t="inlineStr">
        <is>
          <t>중간</t>
        </is>
      </c>
    </row>
    <row r="28" ht="76.5" customHeight="1">
      <c r="A28" s="5" t="n">
        <v>25</v>
      </c>
      <c r="B28" s="6" t="inlineStr">
        <is>
          <t>UPH 산출 근거</t>
        </is>
      </c>
      <c r="C28" s="5" t="inlineStr">
        <is>
          <t>01 2.2.2 ①②: 개인 QR 스캔 → 시스템이 UPH 산출</t>
        </is>
      </c>
      <c r="D28" s="5" t="inlineStr">
        <is>
          <t>[사진 2] 실적표 출처는 센터 일별 운영실적 엑셀(공정별 근무시간·출고 물량). QR 기록은 누락이 많아 미사용. 2023~2025.5 자료 없음(2025.6 집계 시작)</t>
        </is>
      </c>
      <c r="E28" s="6" t="inlineStr">
        <is>
          <t>10.15 반영: 01 2.2.2 ①~③·연동과정·판단근거를 실제 방식(출고 실적=TMS·WMS, 투입 인시=일별 근무 현황)으로 수정하고 ⑤에 "QR 작업자 추적 도입·시범 운영 중" 기재, 2.3.1-4 ③도 동일 표현. 추가 반영: 1.1.2 2→3등급, 2.1.5·2.2.1·06 비상 인원점검 표현도 "시범 운영 중"으로 통일 → 처리 완료</t>
        </is>
      </c>
      <c r="F28" s="15" t="inlineStr">
        <is>
          <t>중간</t>
        </is>
      </c>
    </row>
  </sheetData>
  <autoFilter ref="A3:F27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20" customWidth="1" min="1" max="1"/>
    <col width="9" customWidth="1" min="2" max="2"/>
    <col width="32" customWidth="1" min="3" max="3"/>
    <col width="7" customWidth="1" min="4" max="4"/>
    <col width="9" customWidth="1" min="5" max="6"/>
    <col width="10" customWidth="1" min="7" max="8"/>
    <col width="8" customWidth="1" min="9" max="9"/>
    <col width="80" customWidth="1" min="10" max="10"/>
  </cols>
  <sheetData>
    <row r="1" ht="21" customHeight="1">
      <c r="A1" s="1" t="inlineStr">
        <is>
          <t>자체평가 등급: 기존 점수표 vs 근거 기준 조정</t>
        </is>
      </c>
    </row>
    <row r="3" ht="15" customHeight="1">
      <c r="A3" s="4" t="inlineStr">
        <is>
          <t>평가항목</t>
        </is>
      </c>
      <c r="B3" s="4" t="inlineStr">
        <is>
          <t>번호</t>
        </is>
      </c>
      <c r="C3" s="4" t="inlineStr">
        <is>
          <t>세부항목</t>
        </is>
      </c>
      <c r="D3" s="4" t="inlineStr">
        <is>
          <t>배점</t>
        </is>
      </c>
      <c r="E3" s="4" t="inlineStr">
        <is>
          <t>기존 등급</t>
        </is>
      </c>
      <c r="F3" s="4" t="inlineStr">
        <is>
          <t>조정 등급</t>
        </is>
      </c>
      <c r="G3" s="4" t="inlineStr">
        <is>
          <t>기존 득점</t>
        </is>
      </c>
      <c r="H3" s="4" t="inlineStr">
        <is>
          <t>조정 득점</t>
        </is>
      </c>
      <c r="I3" s="4" t="inlineStr">
        <is>
          <t>차이</t>
        </is>
      </c>
      <c r="J3" s="4" t="inlineStr">
        <is>
          <t>조정 판단근거(01 자체평가서)</t>
        </is>
      </c>
    </row>
    <row r="4" ht="43.5" customHeight="1">
      <c r="A4" s="5" t="inlineStr">
        <is>
          <t>1.1 하차 및 입고</t>
        </is>
      </c>
      <c r="B4" s="5" t="inlineStr">
        <is>
          <t>1.1.1</t>
        </is>
      </c>
      <c r="C4" s="6" t="inlineStr">
        <is>
          <t>입고예정정보의 확인</t>
        </is>
      </c>
      <c r="D4" s="17" t="n">
        <v>25</v>
      </c>
      <c r="E4" s="18" t="n">
        <v>2</v>
      </c>
      <c r="F4" s="18" t="n">
        <v>3</v>
      </c>
      <c r="G4" s="37">
        <f>0.5*D4+0.5*D4*(1-(E4-1)/5)</f>
        <v/>
      </c>
      <c r="H4" s="37">
        <f>0.5*D4+0.5*D4*(1-(F4-1)/5)</f>
        <v/>
      </c>
      <c r="I4" s="37">
        <f>H4-G4</f>
        <v/>
      </c>
      <c r="J4" s="6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>
      <c r="A5" s="5" t="inlineStr">
        <is>
          <t>1.1 하차 및 입고</t>
        </is>
      </c>
      <c r="B5" s="5" t="inlineStr">
        <is>
          <t>1.1.2</t>
        </is>
      </c>
      <c r="C5" s="6" t="inlineStr">
        <is>
          <t>하역 작업</t>
        </is>
      </c>
      <c r="D5" s="17" t="n">
        <v>20</v>
      </c>
      <c r="E5" s="18" t="n">
        <v>3</v>
      </c>
      <c r="F5" s="18" t="n">
        <v>3</v>
      </c>
      <c r="G5" s="37">
        <f>0.5*D5+0.5*D5*(1-(E5-1)/5)</f>
        <v/>
      </c>
      <c r="H5" s="37">
        <f>0.5*D5+0.5*D5*(1-(F5-1)/5)</f>
        <v/>
      </c>
      <c r="I5" s="37">
        <f>H5-G5</f>
        <v/>
      </c>
      <c r="J5" s="6" t="inlineStr">
        <is>
          <t>하역 작업 시 정보시스템(SW 입고신청·WMS)에서 제공된 작업정보를 온라인으로 확인하고 도착 처리 결과가 실시간 연동되므로 3등급으로 평가함. 하역 투입 인원·작업시간의 시스템 실시간 관리(QR 작업자 추적)는 도입·시범 운영 중이어서 2등급은 적용하지 않음(기존 2등급에서 조정). (2026.10.15 조정)</t>
        </is>
      </c>
    </row>
    <row r="6" ht="29.25" customHeight="1">
      <c r="A6" s="5" t="inlineStr">
        <is>
          <t>1.1 하차 및 입고</t>
        </is>
      </c>
      <c r="B6" s="5" t="inlineStr">
        <is>
          <t>1.1.3</t>
        </is>
      </c>
      <c r="C6" s="6" t="inlineStr">
        <is>
          <t>상품 검수/검품/분류</t>
        </is>
      </c>
      <c r="D6" s="17" t="n">
        <v>20</v>
      </c>
      <c r="E6" s="17" t="n">
        <v>4</v>
      </c>
      <c r="F6" s="17" t="n">
        <v>4</v>
      </c>
      <c r="G6" s="37">
        <f>0.5*D6+0.5*D6*(1-(E6-1)/5)</f>
        <v/>
      </c>
      <c r="H6" s="37">
        <f>0.5*D6+0.5*D6*(1-(F6-1)/5)</f>
        <v/>
      </c>
      <c r="I6" s="37">
        <f>H6-G6</f>
        <v/>
      </c>
      <c r="J6" s="6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>
      <c r="A7" s="5" t="inlineStr">
        <is>
          <t>1.1 하차 및 입고</t>
        </is>
      </c>
      <c r="B7" s="5" t="inlineStr">
        <is>
          <t>1.1.4</t>
        </is>
      </c>
      <c r="C7" s="6" t="inlineStr">
        <is>
          <t>제품정보의 인식 및 등록</t>
        </is>
      </c>
      <c r="D7" s="17" t="n">
        <v>20</v>
      </c>
      <c r="E7" s="22" t="n">
        <v>2</v>
      </c>
      <c r="F7" s="22" t="n">
        <v>4</v>
      </c>
      <c r="G7" s="37">
        <f>0.5*D7+0.5*D7*(1-(E7-1)/5)</f>
        <v/>
      </c>
      <c r="H7" s="37">
        <f>0.5*D7+0.5*D7*(1-(F7-1)/5)</f>
        <v/>
      </c>
      <c r="I7" s="37">
        <f>H7-G7</f>
        <v/>
      </c>
      <c r="J7" s="6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>
      <c r="A8" s="5" t="inlineStr">
        <is>
          <t>1.1 하차 및 입고</t>
        </is>
      </c>
      <c r="B8" s="5" t="inlineStr">
        <is>
          <t>1.1.5</t>
        </is>
      </c>
      <c r="C8" s="6" t="inlineStr">
        <is>
          <t>입고 처리</t>
        </is>
      </c>
      <c r="D8" s="17" t="n">
        <v>15</v>
      </c>
      <c r="E8" s="17" t="n">
        <v>3</v>
      </c>
      <c r="F8" s="17" t="n">
        <v>3</v>
      </c>
      <c r="G8" s="37">
        <f>0.5*D8+0.5*D8*(1-(E8-1)/5)</f>
        <v/>
      </c>
      <c r="H8" s="37">
        <f>0.5*D8+0.5*D8*(1-(F8-1)/5)</f>
        <v/>
      </c>
      <c r="I8" s="37">
        <f>H8-G8</f>
        <v/>
      </c>
      <c r="J8" s="6" t="inlineStr">
        <is>
          <t>입고 처리가 정보시스템에서 실시간으로 확정·반영되므로 3등급으로 평가함.</t>
        </is>
      </c>
    </row>
    <row r="9" ht="29.25" customHeight="1">
      <c r="A9" s="5" t="inlineStr">
        <is>
          <t>1.2 운반 및 적치</t>
        </is>
      </c>
      <c r="B9" s="5" t="inlineStr">
        <is>
          <t>1.2.1</t>
        </is>
      </c>
      <c r="C9" s="6" t="inlineStr">
        <is>
          <t>작업정보의 정보제공</t>
        </is>
      </c>
      <c r="D9" s="17" t="n">
        <v>30</v>
      </c>
      <c r="E9" s="18" t="n">
        <v>2</v>
      </c>
      <c r="F9" s="18" t="n">
        <v>3</v>
      </c>
      <c r="G9" s="37">
        <f>0.5*D9+0.5*D9*(1-(E9-1)/5)</f>
        <v/>
      </c>
      <c r="H9" s="37">
        <f>0.5*D9+0.5*D9*(1-(F9-1)/5)</f>
        <v/>
      </c>
      <c r="I9" s="37">
        <f>H9-G9</f>
        <v/>
      </c>
      <c r="J9" s="6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>
      <c r="A10" s="5" t="inlineStr">
        <is>
          <t>1.2 운반 및 적치</t>
        </is>
      </c>
      <c r="B10" s="5" t="inlineStr">
        <is>
          <t>1.2.2</t>
        </is>
      </c>
      <c r="C10" s="6" t="inlineStr">
        <is>
          <t>적치장소 이동</t>
        </is>
      </c>
      <c r="D10" s="17" t="n">
        <v>30</v>
      </c>
      <c r="E10" s="17" t="n">
        <v>3</v>
      </c>
      <c r="F10" s="17" t="n">
        <v>3</v>
      </c>
      <c r="G10" s="37">
        <f>0.5*D10+0.5*D10*(1-(E10-1)/5)</f>
        <v/>
      </c>
      <c r="H10" s="37">
        <f>0.5*D10+0.5*D10*(1-(F10-1)/5)</f>
        <v/>
      </c>
      <c r="I10" s="37">
        <f>H10-G10</f>
        <v/>
      </c>
      <c r="J10" s="6" t="inlineStr">
        <is>
          <t>물리적 이동은 지게차 수작업이나 이동 지시·확정이 실시간 시스템 연동되므로 3등급으로 평가함.</t>
        </is>
      </c>
    </row>
    <row r="11" ht="29.25" customHeight="1">
      <c r="A11" s="5" t="inlineStr">
        <is>
          <t>1.2 운반 및 적치</t>
        </is>
      </c>
      <c r="B11" s="5" t="inlineStr">
        <is>
          <t>1.2.3</t>
        </is>
      </c>
      <c r="C11" s="6" t="inlineStr">
        <is>
          <t>작업경로 관리</t>
        </is>
      </c>
      <c r="D11" s="17" t="n">
        <v>20</v>
      </c>
      <c r="E11" s="18" t="n">
        <v>3</v>
      </c>
      <c r="F11" s="18" t="n">
        <v>4</v>
      </c>
      <c r="G11" s="37">
        <f>0.5*D11+0.5*D11*(1-(E11-1)/5)</f>
        <v/>
      </c>
      <c r="H11" s="37">
        <f>0.5*D11+0.5*D11*(1-(F11-1)/5)</f>
        <v/>
      </c>
      <c r="I11" s="37">
        <f>H11-G11</f>
        <v/>
      </c>
      <c r="J11" s="6" t="inlineStr">
        <is>
          <t>작업경로 정보는 온라인으로 제공되나 실시간 경로 관리가 이루어지지 않아 4등급으로 평가함(기존 3등급에서 조정).</t>
        </is>
      </c>
    </row>
    <row r="12" ht="15" customHeight="1">
      <c r="A12" s="5" t="inlineStr">
        <is>
          <t>1.2 운반 및 적치</t>
        </is>
      </c>
      <c r="B12" s="5" t="inlineStr">
        <is>
          <t>1.2.4</t>
        </is>
      </c>
      <c r="C12" s="6" t="inlineStr">
        <is>
          <t>적치장소 식별 및 작업</t>
        </is>
      </c>
      <c r="D12" s="17" t="n">
        <v>20</v>
      </c>
      <c r="E12" s="17" t="n">
        <v>3</v>
      </c>
      <c r="F12" s="17" t="n">
        <v>3</v>
      </c>
      <c r="G12" s="37">
        <f>0.5*D12+0.5*D12*(1-(E12-1)/5)</f>
        <v/>
      </c>
      <c r="H12" s="37">
        <f>0.5*D12+0.5*D12*(1-(F12-1)/5)</f>
        <v/>
      </c>
      <c r="I12" s="37">
        <f>H12-G12</f>
        <v/>
      </c>
      <c r="J12" s="6" t="inlineStr">
        <is>
          <t>적치장소 식별과 확인이 실시간 시스템 연동으로 이루어지므로 3등급으로 평가함.</t>
        </is>
      </c>
    </row>
    <row r="13" ht="29.25" customHeight="1">
      <c r="A13" s="5" t="inlineStr">
        <is>
          <t>1.3 보관 및 재고관리</t>
        </is>
      </c>
      <c r="B13" s="5" t="inlineStr">
        <is>
          <t>1.3.1</t>
        </is>
      </c>
      <c r="C13" s="6" t="inlineStr">
        <is>
          <t>재고조사의 수행 및 방법</t>
        </is>
      </c>
      <c r="D13" s="17" t="n">
        <v>30</v>
      </c>
      <c r="E13" s="18" t="n">
        <v>2</v>
      </c>
      <c r="F13" s="18" t="n">
        <v>3</v>
      </c>
      <c r="G13" s="37">
        <f>0.5*D13+0.5*D13*(1-(E13-1)/5)</f>
        <v/>
      </c>
      <c r="H13" s="37">
        <f>0.5*D13+0.5*D13*(1-(F13-1)/5)</f>
        <v/>
      </c>
      <c r="I13" s="37">
        <f>H13-G13</f>
        <v/>
      </c>
      <c r="J13" s="6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>
      <c r="A14" s="5" t="inlineStr">
        <is>
          <t>1.3 보관 및 재고관리</t>
        </is>
      </c>
      <c r="B14" s="5" t="inlineStr">
        <is>
          <t>1.3.2</t>
        </is>
      </c>
      <c r="C14" s="6" t="inlineStr">
        <is>
          <t>재고보충정보의 생성 및 지시</t>
        </is>
      </c>
      <c r="D14" s="17" t="n">
        <v>25</v>
      </c>
      <c r="E14" s="18" t="n">
        <v>2</v>
      </c>
      <c r="F14" s="18" t="n">
        <v>4</v>
      </c>
      <c r="G14" s="37">
        <f>0.5*D14+0.5*D14*(1-(E14-1)/5)</f>
        <v/>
      </c>
      <c r="H14" s="37">
        <f>0.5*D14+0.5*D14*(1-(F14-1)/5)</f>
        <v/>
      </c>
      <c r="I14" s="37">
        <f>H14-G14</f>
        <v/>
      </c>
      <c r="J14" s="6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>
      <c r="A15" s="5" t="inlineStr">
        <is>
          <t>1.3 보관 및 재고관리</t>
        </is>
      </c>
      <c r="B15" s="5" t="inlineStr">
        <is>
          <t>1.3.3</t>
        </is>
      </c>
      <c r="C15" s="6" t="inlineStr">
        <is>
          <t>재고 보관위치의 조정</t>
        </is>
      </c>
      <c r="D15" s="17" t="n">
        <v>15</v>
      </c>
      <c r="E15" s="18" t="n">
        <v>2</v>
      </c>
      <c r="F15" s="18" t="n">
        <v>3</v>
      </c>
      <c r="G15" s="37">
        <f>0.5*D15+0.5*D15*(1-(E15-1)/5)</f>
        <v/>
      </c>
      <c r="H15" s="37">
        <f>0.5*D15+0.5*D15*(1-(F15-1)/5)</f>
        <v/>
      </c>
      <c r="I15" s="37">
        <f>H15-G15</f>
        <v/>
      </c>
      <c r="J15" s="6" t="inlineStr">
        <is>
          <t>보관위치 조정이 시스템에서 실시간 관리되므로 3등급으로 평가함.</t>
        </is>
      </c>
    </row>
    <row r="16" ht="15" customHeight="1">
      <c r="A16" s="5" t="inlineStr">
        <is>
          <t>1.3 보관 및 재고관리</t>
        </is>
      </c>
      <c r="B16" s="5" t="inlineStr">
        <is>
          <t>1.3.4</t>
        </is>
      </c>
      <c r="C16" s="6" t="inlineStr">
        <is>
          <t>보관장소의 모니터링 및 관리</t>
        </is>
      </c>
      <c r="D16" s="17" t="n">
        <v>15</v>
      </c>
      <c r="E16" s="17" t="n">
        <v>2</v>
      </c>
      <c r="F16" s="17" t="n">
        <v>2</v>
      </c>
      <c r="G16" s="37">
        <f>0.5*D16+0.5*D16*(1-(E16-1)/5)</f>
        <v/>
      </c>
      <c r="H16" s="37">
        <f>0.5*D16+0.5*D16*(1-(F16-1)/5)</f>
        <v/>
      </c>
      <c r="I16" s="37">
        <f>H16-G16</f>
        <v/>
      </c>
      <c r="J16" s="6" t="inlineStr">
        <is>
          <t>보관장소 모니터링이 실시간 연계되고 주기적 분석으로 통합 관리되므로 2등급으로 평가함.</t>
        </is>
      </c>
    </row>
    <row r="17" ht="15" customHeight="1">
      <c r="A17" s="5" t="inlineStr">
        <is>
          <t>1.3 보관 및 재고관리</t>
        </is>
      </c>
      <c r="B17" s="5" t="inlineStr">
        <is>
          <t>1.3.5</t>
        </is>
      </c>
      <c r="C17" s="6" t="inlineStr">
        <is>
          <t>재고 이력(선입선출 등) 및 품질관리</t>
        </is>
      </c>
      <c r="D17" s="17" t="n">
        <v>15</v>
      </c>
      <c r="E17" s="18" t="n">
        <v>2</v>
      </c>
      <c r="F17" s="18" t="n">
        <v>3</v>
      </c>
      <c r="G17" s="37">
        <f>0.5*D17+0.5*D17*(1-(E17-1)/5)</f>
        <v/>
      </c>
      <c r="H17" s="37">
        <f>0.5*D17+0.5*D17*(1-(F17-1)/5)</f>
        <v/>
      </c>
      <c r="I17" s="37">
        <f>H17-G17</f>
        <v/>
      </c>
      <c r="J17" s="6" t="inlineStr">
        <is>
          <t>재고 이력과 품질관리 정보가 정보시스템에 연계되어 관리되므로 3등급으로 평가함.</t>
        </is>
      </c>
    </row>
    <row r="18" ht="15" customHeight="1">
      <c r="A18" s="5" t="inlineStr">
        <is>
          <t>1.4 피킹 및 분류</t>
        </is>
      </c>
      <c r="B18" s="5" t="inlineStr">
        <is>
          <t>1.4.1</t>
        </is>
      </c>
      <c r="C18" s="6" t="inlineStr">
        <is>
          <t>작업정보의 생성 및 지시</t>
        </is>
      </c>
      <c r="D18" s="17" t="n">
        <v>20</v>
      </c>
      <c r="E18" s="22" t="n">
        <v>3</v>
      </c>
      <c r="F18" s="22" t="n">
        <v>2</v>
      </c>
      <c r="G18" s="37">
        <f>0.5*D18+0.5*D18*(1-(E18-1)/5)</f>
        <v/>
      </c>
      <c r="H18" s="37">
        <f>0.5*D18+0.5*D18*(1-(F18-1)/5)</f>
        <v/>
      </c>
      <c r="I18" s="37">
        <f>H18-G18</f>
        <v/>
      </c>
      <c r="J18" s="6" t="inlineStr">
        <is>
          <t>실시간 작업지시 생성·전달 + 주문 구성에 따른 피킹 방식 자동 결정(최적화)으로 2등급 (2026.10.07)</t>
        </is>
      </c>
    </row>
    <row r="19" ht="15" customHeight="1">
      <c r="A19" s="5" t="inlineStr">
        <is>
          <t>1.4 피킹 및 분류</t>
        </is>
      </c>
      <c r="B19" s="5" t="inlineStr">
        <is>
          <t>1.4.2</t>
        </is>
      </c>
      <c r="C19" s="6" t="inlineStr">
        <is>
          <t>작업정보의 확인 방법</t>
        </is>
      </c>
      <c r="D19" s="17" t="n">
        <v>10</v>
      </c>
      <c r="E19" s="17" t="n">
        <v>3</v>
      </c>
      <c r="F19" s="17" t="n">
        <v>3</v>
      </c>
      <c r="G19" s="37">
        <f>0.5*D19+0.5*D19*(1-(E19-1)/5)</f>
        <v/>
      </c>
      <c r="H19" s="37">
        <f>0.5*D19+0.5*D19*(1-(F19-1)/5)</f>
        <v/>
      </c>
      <c r="I19" s="37">
        <f>H19-G19</f>
        <v/>
      </c>
      <c r="J19" s="6" t="inlineStr">
        <is>
          <t>작업정보를 PDA·PTL로 실시간 확인하므로 3등급으로 평가함.</t>
        </is>
      </c>
    </row>
    <row r="20" ht="15" customHeight="1">
      <c r="A20" s="5" t="inlineStr">
        <is>
          <t>1.4 피킹 및 분류</t>
        </is>
      </c>
      <c r="B20" s="5" t="inlineStr">
        <is>
          <t>1.4.3</t>
        </is>
      </c>
      <c r="C20" s="6" t="inlineStr">
        <is>
          <t>작업경로의 실시간 관리</t>
        </is>
      </c>
      <c r="D20" s="17" t="n">
        <v>10</v>
      </c>
      <c r="E20" s="22" t="n">
        <v>3</v>
      </c>
      <c r="F20" s="22" t="n">
        <v>3</v>
      </c>
      <c r="G20" s="37">
        <f>0.5*D20+0.5*D20*(1-(E20-1)/5)</f>
        <v/>
      </c>
      <c r="H20" s="37">
        <f>0.5*D20+0.5*D20*(1-(F20-1)/5)</f>
        <v/>
      </c>
      <c r="I20" s="37">
        <f>H20-G20</f>
        <v/>
      </c>
      <c r="J20" s="6" t="inlineStr">
        <is>
          <t>픽킹 리스트를 로케이션 순으로 자동 정렬해 이동 경로를 시스템에서 생성·전달하므로 3등급 (2026.10.07)</t>
        </is>
      </c>
    </row>
    <row r="21" ht="15" customHeight="1">
      <c r="A21" s="5" t="inlineStr">
        <is>
          <t>1.4 피킹 및 분류</t>
        </is>
      </c>
      <c r="B21" s="5" t="inlineStr">
        <is>
          <t>1.4.4</t>
        </is>
      </c>
      <c r="C21" s="6" t="inlineStr">
        <is>
          <t>피킹 장소의 확인 및 작업</t>
        </is>
      </c>
      <c r="D21" s="17" t="n">
        <v>20</v>
      </c>
      <c r="E21" s="17" t="n">
        <v>3</v>
      </c>
      <c r="F21" s="17" t="n">
        <v>3</v>
      </c>
      <c r="G21" s="37">
        <f>0.5*D21+0.5*D21*(1-(E21-1)/5)</f>
        <v/>
      </c>
      <c r="H21" s="37">
        <f>0.5*D21+0.5*D21*(1-(F21-1)/5)</f>
        <v/>
      </c>
      <c r="I21" s="37">
        <f>H21-G21</f>
        <v/>
      </c>
      <c r="J21" s="6" t="inlineStr">
        <is>
          <t>피킹 장소 확인과 작업이 실시간 스캔 검증으로 이루어지므로 3등급으로 평가함.</t>
        </is>
      </c>
    </row>
    <row r="22" ht="15" customHeight="1">
      <c r="A22" s="5" t="inlineStr">
        <is>
          <t>1.4 피킹 및 분류</t>
        </is>
      </c>
      <c r="B22" s="5" t="inlineStr">
        <is>
          <t>1.4.5</t>
        </is>
      </c>
      <c r="C22" s="6" t="inlineStr">
        <is>
          <t>분류정보의 생성 및 지시</t>
        </is>
      </c>
      <c r="D22" s="17" t="n">
        <v>20</v>
      </c>
      <c r="E22" s="17" t="n">
        <v>3</v>
      </c>
      <c r="F22" s="17" t="n">
        <v>3</v>
      </c>
      <c r="G22" s="37">
        <f>0.5*D22+0.5*D22*(1-(E22-1)/5)</f>
        <v/>
      </c>
      <c r="H22" s="37">
        <f>0.5*D22+0.5*D22*(1-(F22-1)/5)</f>
        <v/>
      </c>
      <c r="I22" s="37">
        <f>H22-G22</f>
        <v/>
      </c>
      <c r="J22" s="6" t="inlineStr">
        <is>
          <t>정보시스템에서 실시간으로 분류지시를 생성·전달하므로 3등급으로 평가함.</t>
        </is>
      </c>
    </row>
    <row r="23" ht="29.25" customHeight="1">
      <c r="A23" s="5" t="inlineStr">
        <is>
          <t>1.4 피킹 및 분류</t>
        </is>
      </c>
      <c r="B23" s="5" t="inlineStr">
        <is>
          <t>1.4.6</t>
        </is>
      </c>
      <c r="C23" s="6" t="inlineStr">
        <is>
          <t>분류 작업</t>
        </is>
      </c>
      <c r="D23" s="17" t="n">
        <v>20</v>
      </c>
      <c r="E23" s="17" t="n">
        <v>3</v>
      </c>
      <c r="F23" s="17" t="n">
        <v>3</v>
      </c>
      <c r="G23" s="37">
        <f>0.5*D23+0.5*D23*(1-(E23-1)/5)</f>
        <v/>
      </c>
      <c r="H23" s="37">
        <f>0.5*D23+0.5*D23*(1-(F23-1)/5)</f>
        <v/>
      </c>
      <c r="I23" s="37">
        <f>H23-G23</f>
        <v/>
      </c>
      <c r="J23" s="6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>
      <c r="A24" s="5" t="inlineStr">
        <is>
          <t>1.5 검품·검수 및 포장</t>
        </is>
      </c>
      <c r="B24" s="5" t="inlineStr">
        <is>
          <t>1.5.1</t>
        </is>
      </c>
      <c r="C24" s="6" t="inlineStr">
        <is>
          <t>포장장소로의 정보 제공 및 이동</t>
        </is>
      </c>
      <c r="D24" s="17" t="n">
        <v>20</v>
      </c>
      <c r="E24" s="18" t="n">
        <v>2</v>
      </c>
      <c r="F24" s="18" t="n">
        <v>3</v>
      </c>
      <c r="G24" s="37">
        <f>0.5*D24+0.5*D24*(1-(E24-1)/5)</f>
        <v/>
      </c>
      <c r="H24" s="37">
        <f>0.5*D24+0.5*D24*(1-(F24-1)/5)</f>
        <v/>
      </c>
      <c r="I24" s="37">
        <f>H24-G24</f>
        <v/>
      </c>
      <c r="J24" s="6" t="inlineStr">
        <is>
          <t>포장장소로의 작업정보가 실시간 온라인 제공되나 이동은 수작업이므로 3등급으로 평가함(기존 2등급에서 조정).</t>
        </is>
      </c>
    </row>
    <row r="25" ht="29.25" customHeight="1">
      <c r="A25" s="5" t="inlineStr">
        <is>
          <t>1.5 검품·검수 및 포장</t>
        </is>
      </c>
      <c r="B25" s="5" t="inlineStr">
        <is>
          <t>1.5.2</t>
        </is>
      </c>
      <c r="C25" s="6" t="inlineStr">
        <is>
          <t>포장재 및 포장물품 관리</t>
        </is>
      </c>
      <c r="D25" s="17" t="n">
        <v>15</v>
      </c>
      <c r="E25" s="22" t="n">
        <v>2</v>
      </c>
      <c r="F25" s="22" t="n">
        <v>3</v>
      </c>
      <c r="G25" s="37">
        <f>0.5*D25+0.5*D25*(1-(E25-1)/5)</f>
        <v/>
      </c>
      <c r="H25" s="37">
        <f>0.5*D25+0.5*D25*(1-(F25-1)/5)</f>
        <v/>
      </c>
      <c r="I25" s="37">
        <f>H25-G25</f>
        <v/>
      </c>
      <c r="J25" s="6" t="inlineStr">
        <is>
          <t>포장 물품과 포장재 재고를 정보시스템에서 관리하므로 3등급 (2026.10.07)</t>
        </is>
      </c>
    </row>
    <row r="26" ht="29.25" customHeight="1">
      <c r="A26" s="5" t="inlineStr">
        <is>
          <t>1.5 검품·검수 및 포장</t>
        </is>
      </c>
      <c r="B26" s="5" t="inlineStr">
        <is>
          <t>1.5.3</t>
        </is>
      </c>
      <c r="C26" s="6" t="inlineStr">
        <is>
          <t>검품/검수 및 오류관리(인식 및 처리)</t>
        </is>
      </c>
      <c r="D26" s="17" t="n">
        <v>25</v>
      </c>
      <c r="E26" s="18" t="n">
        <v>2</v>
      </c>
      <c r="F26" s="18" t="n">
        <v>3</v>
      </c>
      <c r="G26" s="37">
        <f>0.5*D26+0.5*D26*(1-(E26-1)/5)</f>
        <v/>
      </c>
      <c r="H26" s="37">
        <f>0.5*D26+0.5*D26*(1-(F26-1)/5)</f>
        <v/>
      </c>
      <c r="I26" s="37">
        <f>H26-G26</f>
        <v/>
      </c>
      <c r="J26" s="6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>
      <c r="A27" s="5" t="inlineStr">
        <is>
          <t>1.5 검품·검수 및 포장</t>
        </is>
      </c>
      <c r="B27" s="5" t="inlineStr">
        <is>
          <t>1.5.4</t>
        </is>
      </c>
      <c r="C27" s="6" t="inlineStr">
        <is>
          <t>포장 작업</t>
        </is>
      </c>
      <c r="D27" s="17" t="n">
        <v>20</v>
      </c>
      <c r="E27" s="18" t="n">
        <v>2</v>
      </c>
      <c r="F27" s="18" t="n">
        <v>4</v>
      </c>
      <c r="G27" s="37">
        <f>0.5*D27+0.5*D27*(1-(E27-1)/5)</f>
        <v/>
      </c>
      <c r="H27" s="37">
        <f>0.5*D27+0.5*D27*(1-(F27-1)/5)</f>
        <v/>
      </c>
      <c r="I27" s="37">
        <f>H27-G27</f>
        <v/>
      </c>
      <c r="J27" s="6" t="inlineStr">
        <is>
          <t>포장 공정 중 봉함만 자동화되어 있고 포장 작업은 인력 중심이므로 4등급으로 평가함(기존 2등급에서 조정).</t>
        </is>
      </c>
    </row>
    <row r="28" ht="29.25" customHeight="1">
      <c r="A28" s="5" t="inlineStr">
        <is>
          <t>1.5 검품·검수 및 포장</t>
        </is>
      </c>
      <c r="B28" s="5" t="inlineStr">
        <is>
          <t>1.5.5</t>
        </is>
      </c>
      <c r="C28" s="6" t="inlineStr">
        <is>
          <t>배송정보 표시(라벨) 및 부착</t>
        </is>
      </c>
      <c r="D28" s="17" t="n">
        <v>20</v>
      </c>
      <c r="E28" s="18" t="n">
        <v>2</v>
      </c>
      <c r="F28" s="18" t="n">
        <v>3</v>
      </c>
      <c r="G28" s="37">
        <f>0.5*D28+0.5*D28*(1-(E28-1)/5)</f>
        <v/>
      </c>
      <c r="H28" s="37">
        <f>0.5*D28+0.5*D28*(1-(F28-1)/5)</f>
        <v/>
      </c>
      <c r="I28" s="37">
        <f>H28-G28</f>
        <v/>
      </c>
      <c r="J28" s="6" t="inlineStr">
        <is>
          <t>배송정보가 시스템에서 자동 발행되고 일부 공정은 자동 부착되므로 3등급으로 평가함(기존 2등급에서 조정).</t>
        </is>
      </c>
    </row>
    <row r="29" ht="15" customHeight="1">
      <c r="A29" s="5" t="inlineStr">
        <is>
          <t>1.6 상차 및 출고</t>
        </is>
      </c>
      <c r="B29" s="5" t="inlineStr">
        <is>
          <t>1.6.1</t>
        </is>
      </c>
      <c r="C29" s="6" t="inlineStr">
        <is>
          <t>발주처별 분류</t>
        </is>
      </c>
      <c r="D29" s="17" t="n">
        <v>30</v>
      </c>
      <c r="E29" s="17" t="n">
        <v>3</v>
      </c>
      <c r="F29" s="17" t="n">
        <v>3</v>
      </c>
      <c r="G29" s="37">
        <f>0.5*D29+0.5*D29*(1-(E29-1)/5)</f>
        <v/>
      </c>
      <c r="H29" s="37">
        <f>0.5*D29+0.5*D29*(1-(F29-1)/5)</f>
        <v/>
      </c>
      <c r="I29" s="37">
        <f>H29-G29</f>
        <v/>
      </c>
      <c r="J29" s="6" t="inlineStr">
        <is>
          <t>배송처별 분류가 시스템 연계 자동화 설비로 이루어지므로 3등급으로 평가함.</t>
        </is>
      </c>
    </row>
    <row r="30" ht="29.25" customHeight="1">
      <c r="A30" s="5" t="inlineStr">
        <is>
          <t>1.6 상차 및 출고</t>
        </is>
      </c>
      <c r="B30" s="5" t="inlineStr">
        <is>
          <t>1.6.2</t>
        </is>
      </c>
      <c r="C30" s="6" t="inlineStr">
        <is>
          <t>차량입차정보의 인식</t>
        </is>
      </c>
      <c r="D30" s="17" t="n">
        <v>20</v>
      </c>
      <c r="E30" s="18" t="n">
        <v>3</v>
      </c>
      <c r="F30" s="18" t="n">
        <v>5</v>
      </c>
      <c r="G30" s="37">
        <f>0.5*D30+0.5*D30*(1-(E30-1)/5)</f>
        <v/>
      </c>
      <c r="H30" s="37">
        <f>0.5*D30+0.5*D30*(1-(F30-1)/5)</f>
        <v/>
      </c>
      <c r="I30" s="37">
        <f>H30-G30</f>
        <v/>
      </c>
      <c r="J30" s="6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>
      <c r="A31" s="5" t="inlineStr">
        <is>
          <t>1.6 상차 및 출고</t>
        </is>
      </c>
      <c r="B31" s="5" t="inlineStr">
        <is>
          <t>1.6.3</t>
        </is>
      </c>
      <c r="C31" s="6" t="inlineStr">
        <is>
          <t>상차순서 관리 및 작업</t>
        </is>
      </c>
      <c r="D31" s="17" t="n">
        <v>20</v>
      </c>
      <c r="E31" s="18" t="n">
        <v>3</v>
      </c>
      <c r="F31" s="18" t="n">
        <v>4</v>
      </c>
      <c r="G31" s="37">
        <f>0.5*D31+0.5*D31*(1-(E31-1)/5)</f>
        <v/>
      </c>
      <c r="H31" s="37">
        <f>0.5*D31+0.5*D31*(1-(F31-1)/5)</f>
        <v/>
      </c>
      <c r="I31" s="37">
        <f>H31-G31</f>
        <v/>
      </c>
      <c r="J31" s="6" t="inlineStr">
        <is>
          <t>상차 정보는 온라인 확인되나 순서 관리가 실시간 시스템화되지 않아 4등급으로 평가함(기존 3등급에서 조정).</t>
        </is>
      </c>
    </row>
    <row r="32" ht="15" customHeight="1">
      <c r="A32" s="5" t="inlineStr">
        <is>
          <t>1.6 상차 및 출고</t>
        </is>
      </c>
      <c r="B32" s="5" t="inlineStr">
        <is>
          <t>1.6.4</t>
        </is>
      </c>
      <c r="C32" s="6" t="inlineStr">
        <is>
          <t>출고정보의 전달</t>
        </is>
      </c>
      <c r="D32" s="17" t="n">
        <v>30</v>
      </c>
      <c r="E32" s="17" t="n">
        <v>3</v>
      </c>
      <c r="F32" s="17" t="n">
        <v>3</v>
      </c>
      <c r="G32" s="37">
        <f>0.5*D32+0.5*D32*(1-(E32-1)/5)</f>
        <v/>
      </c>
      <c r="H32" s="37">
        <f>0.5*D32+0.5*D32*(1-(F32-1)/5)</f>
        <v/>
      </c>
      <c r="I32" s="37">
        <f>H32-G32</f>
        <v/>
      </c>
      <c r="J32" s="6" t="inlineStr">
        <is>
          <t>출고정보가 실시간으로 시스템 간 자동 전달되므로 3등급으로 평가함.</t>
        </is>
      </c>
    </row>
    <row r="33" ht="29.25" customHeight="1">
      <c r="A33" s="5" t="inlineStr">
        <is>
          <t>2.1 구조적 성능</t>
        </is>
      </c>
      <c r="B33" s="5" t="inlineStr">
        <is>
          <t>2.1.1</t>
        </is>
      </c>
      <c r="C33" s="6" t="inlineStr">
        <is>
          <t>도크 및 바닥성능(재질, 평탄도 및 하중)</t>
        </is>
      </c>
      <c r="D33" s="17" t="n">
        <v>20</v>
      </c>
      <c r="E33" s="18" t="n">
        <v>2</v>
      </c>
      <c r="F33" s="18" t="n">
        <v>2</v>
      </c>
      <c r="G33" s="37">
        <f>0.5*D33+0.5*D33*(1-(E33-1)/5)</f>
        <v/>
      </c>
      <c r="H33" s="37">
        <f>0.5*D33+0.5*D33*(1-(F33-1)/5)</f>
        <v/>
      </c>
      <c r="I33" s="37">
        <f>H33-G33</f>
        <v/>
      </c>
      <c r="J33" s="6" t="inlineStr">
        <is>
          <t>도크 10개 모두 적용, 바닥은 ⑦ 적재하중 시스템 관리 1개만 미적용(⑧⑨ 평탄도 적용 확인) → 미적용 1개로 2등급 (2026.10.16)</t>
        </is>
      </c>
    </row>
    <row r="34" ht="15" customHeight="1">
      <c r="A34" s="5" t="inlineStr">
        <is>
          <t>2.1 구조적 성능</t>
        </is>
      </c>
      <c r="B34" s="5" t="inlineStr">
        <is>
          <t>2.1.2</t>
        </is>
      </c>
      <c r="C34" s="6" t="inlineStr">
        <is>
          <t>내부구조(층고 및 기둥의 배치구조)</t>
        </is>
      </c>
      <c r="D34" s="17" t="n">
        <v>20</v>
      </c>
      <c r="E34" s="17" t="n">
        <v>2</v>
      </c>
      <c r="F34" s="22" t="n">
        <v>1</v>
      </c>
      <c r="G34" s="37">
        <f>0.5*D34+0.5*D34*(1-(E34-1)/5)</f>
        <v/>
      </c>
      <c r="H34" s="37">
        <f>0.5*D34+0.5*D34*(1-(F34-1)/5)</f>
        <v/>
      </c>
      <c r="I34" s="37">
        <f>H34-G34</f>
        <v/>
      </c>
      <c r="J34" s="5" t="inlineStr">
        <is>
          <t>10개 평가요소 모두 적용(주 통로 내 기둥 없음)으로 1등급 (2026.10.07)</t>
        </is>
      </c>
    </row>
    <row r="35" ht="15" customHeight="1">
      <c r="A35" s="5" t="inlineStr">
        <is>
          <t>2.1 구조적 성능</t>
        </is>
      </c>
      <c r="B35" s="5" t="inlineStr">
        <is>
          <t>2.1.3</t>
        </is>
      </c>
      <c r="C35" s="6" t="inlineStr">
        <is>
          <t>배치 및 동선 관리</t>
        </is>
      </c>
      <c r="D35" s="17" t="n">
        <v>10</v>
      </c>
      <c r="E35" s="18" t="n">
        <v>2</v>
      </c>
      <c r="F35" s="18" t="n">
        <v>1</v>
      </c>
      <c r="G35" s="37">
        <f>0.5*D35+0.5*D35*(1-(E35-1)/5)</f>
        <v/>
      </c>
      <c r="H35" s="37">
        <f>0.5*D35+0.5*D35*(1-(F35-1)/5)</f>
        <v/>
      </c>
      <c r="I35" s="37">
        <f>H35-G35</f>
        <v/>
      </c>
      <c r="J35" s="6" t="inlineStr">
        <is>
          <t>10개 평가요소 모두 적용(확인 3개 적용 확인) → 미적용 0개로 1등급 (2026.10.16)</t>
        </is>
      </c>
    </row>
    <row r="36" ht="15" customHeight="1">
      <c r="A36" s="5" t="inlineStr">
        <is>
          <t>2.1 구조적 성능</t>
        </is>
      </c>
      <c r="B36" s="5" t="inlineStr">
        <is>
          <t>2.1.4</t>
        </is>
      </c>
      <c r="C36" s="6" t="inlineStr">
        <is>
          <t>작업환경 관리(공조, 온도, 습도 등)</t>
        </is>
      </c>
      <c r="D36" s="17" t="n">
        <v>20</v>
      </c>
      <c r="E36" s="18" t="n">
        <v>2</v>
      </c>
      <c r="F36" s="18" t="inlineStr">
        <is>
          <t>미적용</t>
        </is>
      </c>
      <c r="G36" s="37">
        <f>0.5*D36+0.5*D36*(1-(E36-1)/5)</f>
        <v/>
      </c>
      <c r="H36" s="37" t="n">
        <v>0</v>
      </c>
      <c r="I36" s="37">
        <f>H36-G36</f>
        <v/>
      </c>
      <c r="J36" s="6" t="inlineStr">
        <is>
          <t>미적용 6개(①~④ 관리기준·조도·공기질·온습도, ⑧⑨ 관리 시스템) → 미적용(0점) (2026.10.16). ⑤ 현장 확인 중</t>
        </is>
      </c>
    </row>
    <row r="37" ht="29.25" customHeight="1">
      <c r="A37" s="5" t="inlineStr">
        <is>
          <t>2.1 구조적 성능</t>
        </is>
      </c>
      <c r="B37" s="5" t="inlineStr">
        <is>
          <t>2.1.5</t>
        </is>
      </c>
      <c r="C37" s="6" t="inlineStr">
        <is>
          <t>재해 및 안전관리(방화, 내진, 소방·대피시설, 안전사고관리 등)</t>
        </is>
      </c>
      <c r="D37" s="17" t="n">
        <v>30</v>
      </c>
      <c r="E37" s="18" t="n">
        <v>2</v>
      </c>
      <c r="F37" s="18" t="n">
        <v>4</v>
      </c>
      <c r="G37" s="37">
        <f>0.5*D37+0.5*D37*(1-(E37-1)/5)</f>
        <v/>
      </c>
      <c r="H37" s="37">
        <f>0.5*D37+0.5*D37*(1-(F37-1)/5)</f>
        <v/>
      </c>
      <c r="I37" s="37">
        <f>H37-G37</f>
        <v/>
      </c>
      <c r="J37" s="6" t="inlineStr">
        <is>
          <t>미적용 3개(⑥ 랙 내진, ⑨, ⑩) → 4등급 (2026.10.16)</t>
        </is>
      </c>
    </row>
    <row r="38" ht="15" customHeight="1">
      <c r="A38" s="5" t="inlineStr">
        <is>
          <t>2.2 성과관리</t>
        </is>
      </c>
      <c r="B38" s="5" t="inlineStr">
        <is>
          <t>2.2.1</t>
        </is>
      </c>
      <c r="C38" s="6" t="inlineStr">
        <is>
          <t>비용 절감</t>
        </is>
      </c>
      <c r="D38" s="17" t="n">
        <v>30</v>
      </c>
      <c r="E38" s="17" t="n">
        <v>3</v>
      </c>
      <c r="F38" s="17" t="n">
        <v>3</v>
      </c>
      <c r="G38" s="37">
        <f>0.5*D38+0.5*D38*(1-(E38-1)/5)</f>
        <v/>
      </c>
      <c r="H38" s="37">
        <f>0.5*D38+0.5*D38*(1-(F38-1)/5)</f>
        <v/>
      </c>
      <c r="I38" s="37">
        <f>H38-G38</f>
        <v/>
      </c>
      <c r="J38" s="6" t="inlineStr">
        <is>
          <t>물류정보시스템과 연계해 비용 정보를 수집·모니터링·분석하고 피드백하므로 3등급으로 평가함.</t>
        </is>
      </c>
    </row>
    <row r="39" ht="15" customHeight="1">
      <c r="A39" s="5" t="inlineStr">
        <is>
          <t>2.2 성과관리</t>
        </is>
      </c>
      <c r="B39" s="5" t="inlineStr">
        <is>
          <t>2.2.2</t>
        </is>
      </c>
      <c r="C39" s="6" t="inlineStr">
        <is>
          <t>생산성 향상</t>
        </is>
      </c>
      <c r="D39" s="17" t="n">
        <v>30</v>
      </c>
      <c r="E39" s="17" t="n">
        <v>3</v>
      </c>
      <c r="F39" s="17" t="n">
        <v>3</v>
      </c>
      <c r="G39" s="37">
        <f>0.5*D39+0.5*D39*(1-(E39-1)/5)</f>
        <v/>
      </c>
      <c r="H39" s="37">
        <f>0.5*D39+0.5*D39*(1-(F39-1)/5)</f>
        <v/>
      </c>
      <c r="I39" s="37">
        <f>H39-G39</f>
        <v/>
      </c>
      <c r="J39" s="6" t="inlineStr">
        <is>
          <t>정보시스템(TMS·SW(WMS))의 출고 실적과 일별 근무 현황의 투입 인시를 결합해 UPH를 월별로 모니터링·분석하고 일 목표 생산성 관리와 인력 배치에 피드백함(2026.1~9월 UPH OPS 86.5·풀필먼트 24.8, 풀필먼트 2025.11~12월 대비 약 43% 향상). 투입 인시의 시스템 자동 수집을 위해 QR 작업자 추적을 도입·시범 운영 중임. 이에 3등급으로 평가함.</t>
        </is>
      </c>
    </row>
    <row r="40" ht="15" customHeight="1">
      <c r="A40" s="5" t="inlineStr">
        <is>
          <t>2.2 성과관리</t>
        </is>
      </c>
      <c r="B40" s="5" t="inlineStr">
        <is>
          <t>2.2.3</t>
        </is>
      </c>
      <c r="C40" s="6" t="inlineStr">
        <is>
          <t>품질 및 안전관리</t>
        </is>
      </c>
      <c r="D40" s="17" t="n">
        <v>20</v>
      </c>
      <c r="E40" s="17" t="n">
        <v>3</v>
      </c>
      <c r="F40" s="17" t="n">
        <v>3</v>
      </c>
      <c r="G40" s="37">
        <f>0.5*D40+0.5*D40*(1-(E40-1)/5)</f>
        <v/>
      </c>
      <c r="H40" s="37">
        <f>0.5*D40+0.5*D40*(1-(F40-1)/5)</f>
        <v/>
      </c>
      <c r="I40" s="37">
        <f>H40-G40</f>
        <v/>
      </c>
      <c r="J40" s="6" t="inlineStr">
        <is>
          <t>품질·안전 정보를 정보시스템과 연계해 수집·분석·피드백하므로 3등급으로 평가함.</t>
        </is>
      </c>
    </row>
    <row r="41" ht="29.25" customHeight="1">
      <c r="A41" s="5" t="inlineStr">
        <is>
          <t>2.2 성과관리</t>
        </is>
      </c>
      <c r="B41" s="5" t="inlineStr">
        <is>
          <t>2.2.4</t>
        </is>
      </c>
      <c r="C41" s="6" t="inlineStr">
        <is>
          <t>친환경관리(절수, 절전, 폐기물, 재활용, 조명 등)</t>
        </is>
      </c>
      <c r="D41" s="17" t="n">
        <v>20</v>
      </c>
      <c r="E41" s="18" t="n">
        <v>3</v>
      </c>
      <c r="F41" s="18" t="n">
        <v>4</v>
      </c>
      <c r="G41" s="37">
        <f>0.5*D41+0.5*D41*(1-(E41-1)/5)</f>
        <v/>
      </c>
      <c r="H41" s="37">
        <f>0.5*D41+0.5*D41*(1-(F41-1)/5)</f>
        <v/>
      </c>
      <c r="I41" s="37">
        <f>H41-G41</f>
        <v/>
      </c>
      <c r="J41" s="6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>
      <c r="A42" s="5" t="inlineStr">
        <is>
          <t>2.3 정보시스템</t>
        </is>
      </c>
      <c r="B42" s="5" t="inlineStr">
        <is>
          <t>2.3.1-1</t>
        </is>
      </c>
      <c r="C42" s="6" t="inlineStr">
        <is>
          <t>수발주시스템/상품분류시스템</t>
        </is>
      </c>
      <c r="D42" s="17" t="n">
        <v>20</v>
      </c>
      <c r="E42" s="18" t="n">
        <v>2</v>
      </c>
      <c r="F42" s="18" t="n">
        <v>3</v>
      </c>
      <c r="G42" s="37">
        <f>0.5*D42+0.5*D42*(1-(E42-1)/5)</f>
        <v/>
      </c>
      <c r="H42" s="37">
        <f>0.5*D42+0.5*D42*(1-(F42-1)/5)</f>
        <v/>
      </c>
      <c r="I42" s="37">
        <f>H42-G42</f>
        <v/>
      </c>
      <c r="J42" s="6" t="inlineStr">
        <is>
          <t>수발주·상품분류가 전사 시스템으로 연계되어 운영되므로 3등급으로 평가함(기존 2등급에서 조정).</t>
        </is>
      </c>
    </row>
    <row r="43" ht="15" customHeight="1">
      <c r="A43" s="5" t="inlineStr">
        <is>
          <t>2.3 정보시스템</t>
        </is>
      </c>
      <c r="B43" s="5" t="inlineStr">
        <is>
          <t>2.3.1-2</t>
        </is>
      </c>
      <c r="C43" s="6" t="inlineStr">
        <is>
          <t>입출고 및 배차배송시스템</t>
        </is>
      </c>
      <c r="D43" s="17" t="n">
        <v>30</v>
      </c>
      <c r="E43" s="18" t="n">
        <v>2</v>
      </c>
      <c r="F43" s="18" t="n">
        <v>3</v>
      </c>
      <c r="G43" s="37">
        <f>0.5*D43+0.5*D43*(1-(E43-1)/5)</f>
        <v/>
      </c>
      <c r="H43" s="37">
        <f>0.5*D43+0.5*D43*(1-(F43-1)/5)</f>
        <v/>
      </c>
      <c r="I43" s="37">
        <f>H43-G43</f>
        <v/>
      </c>
      <c r="J43" s="6" t="inlineStr">
        <is>
          <t>입출고·배송 정보가 시스템 간 실시간 연계·관리되므로 3등급으로 평가함(기존 2등급에서 조정).</t>
        </is>
      </c>
    </row>
    <row r="44" ht="15" customHeight="1">
      <c r="A44" s="5" t="inlineStr">
        <is>
          <t>2.3 정보시스템</t>
        </is>
      </c>
      <c r="B44" s="5" t="inlineStr">
        <is>
          <t>2.3.1-3</t>
        </is>
      </c>
      <c r="C44" s="6" t="inlineStr">
        <is>
          <t>재고관리시스템</t>
        </is>
      </c>
      <c r="D44" s="17" t="n">
        <v>30</v>
      </c>
      <c r="E44" s="17" t="n">
        <v>2</v>
      </c>
      <c r="F44" s="17" t="n">
        <v>2</v>
      </c>
      <c r="G44" s="37">
        <f>0.5*D44+0.5*D44*(1-(E44-1)/5)</f>
        <v/>
      </c>
      <c r="H44" s="37">
        <f>0.5*D44+0.5*D44*(1-(F44-1)/5)</f>
        <v/>
      </c>
      <c r="I44" s="37">
        <f>H44-G44</f>
        <v/>
      </c>
      <c r="J44" s="6" t="inlineStr">
        <is>
          <t>재고관리가 실시간 연계되고 주기적 분석·통합 관리되므로 2등급으로 평가함.</t>
        </is>
      </c>
    </row>
    <row r="45" ht="15" customHeight="1">
      <c r="A45" s="5" t="inlineStr">
        <is>
          <t>2.3 정보시스템</t>
        </is>
      </c>
      <c r="B45" s="5" t="inlineStr">
        <is>
          <t>2.3.1-4</t>
        </is>
      </c>
      <c r="C45" s="6" t="inlineStr">
        <is>
          <t>자원관리시스템</t>
        </is>
      </c>
      <c r="D45" s="17" t="n">
        <v>20</v>
      </c>
      <c r="E45" s="18" t="n">
        <v>2</v>
      </c>
      <c r="F45" s="18" t="n">
        <v>3</v>
      </c>
      <c r="G45" s="37">
        <f>0.5*D45+0.5*D45*(1-(E45-1)/5)</f>
        <v/>
      </c>
      <c r="H45" s="37">
        <f>0.5*D45+0.5*D45*(1-(F45-1)/5)</f>
        <v/>
      </c>
      <c r="I45" s="37">
        <f>H45-G45</f>
        <v/>
      </c>
      <c r="J45" s="6" t="inlineStr">
        <is>
          <t>자원 정보가 전사 시스템에서 수집·모니터링·분석되므로 3등급으로 평가함(기존 2등급에서 조정).</t>
        </is>
      </c>
    </row>
    <row r="46" ht="15" customHeight="1">
      <c r="A46" s="5" t="inlineStr">
        <is>
          <t>2.3 정보시스템</t>
        </is>
      </c>
      <c r="B46" s="5" t="inlineStr">
        <is>
          <t>2.3.1-5</t>
        </is>
      </c>
      <c r="C46" s="6" t="inlineStr">
        <is>
          <t>물류지원시스템</t>
        </is>
      </c>
      <c r="D46" s="17" t="n">
        <v>50</v>
      </c>
      <c r="E46" s="18" t="n">
        <v>2</v>
      </c>
      <c r="F46" s="18" t="n">
        <v>3</v>
      </c>
      <c r="G46" s="37">
        <f>0.5*D46+0.5*D46*(1-(E46-1)/5)</f>
        <v/>
      </c>
      <c r="H46" s="37">
        <f>0.5*D46+0.5*D46*(1-(F46-1)/5)</f>
        <v/>
      </c>
      <c r="I46" s="37">
        <f>H46-G46</f>
        <v/>
      </c>
      <c r="J46" s="6" t="inlineStr">
        <is>
          <t>물류지원 기능이 전사 시스템과 연계되어 운영·분석되므로 3등급으로 평가함(기존 2등급에서 조정).</t>
        </is>
      </c>
    </row>
    <row r="47" ht="29.25" customHeight="1">
      <c r="A47" s="5" t="inlineStr">
        <is>
          <t>2.3 정보시스템</t>
        </is>
      </c>
      <c r="B47" s="5" t="inlineStr">
        <is>
          <t>2.3.2</t>
        </is>
      </c>
      <c r="C47" s="6" t="inlineStr">
        <is>
          <t>창고제어시스템(WCS, MCS)</t>
        </is>
      </c>
      <c r="D47" s="17" t="n">
        <v>50</v>
      </c>
      <c r="E47" s="18" t="n">
        <v>2</v>
      </c>
      <c r="F47" s="18" t="n">
        <v>4</v>
      </c>
      <c r="G47" s="37">
        <f>0.5*D47+0.5*D47*(1-(E47-1)/5)</f>
        <v/>
      </c>
      <c r="H47" s="37">
        <f>0.5*D47+0.5*D47*(1-(F47-1)/5)</f>
        <v/>
      </c>
      <c r="I47" s="37">
        <f>H47-G47</f>
        <v/>
      </c>
      <c r="J47" s="6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>
      <c r="C48" s="12" t="inlineStr">
        <is>
          <t>합계</t>
        </is>
      </c>
      <c r="D48" s="38">
        <f>SUM(D4:D47)</f>
        <v/>
      </c>
      <c r="G48" s="38">
        <f>SUM(G4:G47)</f>
        <v/>
      </c>
      <c r="H48" s="38">
        <f>SUM(H4:H47)</f>
        <v/>
      </c>
      <c r="I48" s="38">
        <f>SUM(I4:I47)</f>
        <v/>
      </c>
    </row>
    <row r="49" ht="16.5" customHeight="1">
      <c r="C49" s="12" t="inlineStr">
        <is>
          <t>예상 인증등급</t>
        </is>
      </c>
      <c r="G49" s="12">
        <f>IF(G48&gt;950,"1등급",IF(G48&gt;850,"2등급",IF(G48&gt;750,"3등급",IF(G48&gt;650,"4등급",IF(G48&gt;550,"5등급","신청 불가")))))</f>
        <v/>
      </c>
      <c r="H49" s="12">
        <f>IF(H48&gt;950,"1등급",IF(H48&gt;850,"2등급",IF(H48&gt;750,"3등급",IF(H48&gt;650,"4등급",IF(H48&gt;550,"5등급","신청 불가")))))</f>
        <v/>
      </c>
    </row>
  </sheetData>
  <autoFilter ref="A3:J47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4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9" customWidth="1" min="2" max="2"/>
    <col width="30" customWidth="1" min="3" max="3"/>
    <col width="11" customWidth="1" min="4" max="4"/>
    <col width="10" customWidth="1" min="5" max="5"/>
    <col width="48" customWidth="1" min="6" max="6"/>
    <col width="8" customWidth="1" min="7" max="7"/>
    <col width="12" customWidth="1" min="8" max="9"/>
    <col width="11" customWidth="1" min="10" max="10"/>
    <col width="40" customWidth="1" min="11" max="11"/>
  </cols>
  <sheetData>
    <row r="1" ht="21" customHeight="1">
      <c r="A1" s="1" t="inlineStr">
        <is>
          <t>자체평가서 증명자료(사진·캡처·자료) 수집 목록</t>
        </is>
      </c>
    </row>
    <row r="2" ht="15" customHeight="1">
      <c r="A2" s="2" t="inlineStr">
        <is>
          <t>시스템 화면 캡처는 「4_시스템사용자매뉴얼_영종센터」 수록 화면을 우선 활용</t>
        </is>
      </c>
    </row>
    <row r="3" ht="29.25" customHeight="1">
      <c r="A3" s="3" t="inlineStr">
        <is>
          <t>#</t>
        </is>
      </c>
      <c r="B3" s="4" t="inlineStr">
        <is>
          <t>번호</t>
        </is>
      </c>
      <c r="C3" s="4" t="inlineStr">
        <is>
          <t>세부항목</t>
        </is>
      </c>
      <c r="D3" s="4" t="inlineStr">
        <is>
          <t>자체평가서 쪽</t>
        </is>
      </c>
      <c r="E3" s="4" t="inlineStr">
        <is>
          <t>사진 번호</t>
        </is>
      </c>
      <c r="F3" s="4" t="inlineStr">
        <is>
          <t>증명자료</t>
        </is>
      </c>
      <c r="G3" s="4" t="inlineStr">
        <is>
          <t>유형</t>
        </is>
      </c>
      <c r="H3" s="4" t="inlineStr">
        <is>
          <t>담당</t>
        </is>
      </c>
      <c r="I3" s="4" t="inlineStr">
        <is>
          <t>수집 완료(O)</t>
        </is>
      </c>
      <c r="J3" s="4" t="inlineStr">
        <is>
          <t>01 삽입(10.14)</t>
        </is>
      </c>
      <c r="K3" s="4" t="inlineStr">
        <is>
          <t>10.14 점검 비고</t>
        </is>
      </c>
    </row>
    <row r="4" ht="15" customHeight="1">
      <c r="A4" s="5" t="n">
        <v>1</v>
      </c>
      <c r="B4" s="5" t="inlineStr">
        <is>
          <t>1.1.1</t>
        </is>
      </c>
      <c r="C4" s="6" t="inlineStr">
        <is>
          <t>입고예정정보의 확인</t>
        </is>
      </c>
      <c r="D4" s="5" t="inlineStr">
        <is>
          <t>p.7~8</t>
        </is>
      </c>
      <c r="E4" s="5" t="inlineStr">
        <is>
          <t>[사진 1]</t>
        </is>
      </c>
      <c r="F4" s="5" t="inlineStr">
        <is>
          <t>Smartship(OMS) 재고 입고 신청 화면</t>
        </is>
      </c>
      <c r="G4" s="6" t="inlineStr">
        <is>
          <t>캡처</t>
        </is>
      </c>
      <c r="H4" s="5" t="n"/>
      <c r="I4" s="5" t="inlineStr">
        <is>
          <t>O</t>
        </is>
      </c>
      <c r="J4" s="5" t="inlineStr">
        <is>
          <t>O</t>
        </is>
      </c>
      <c r="K4" s="5" t="n"/>
    </row>
    <row r="5" ht="15" customHeight="1">
      <c r="A5" s="5" t="n">
        <v>2</v>
      </c>
      <c r="B5" s="5" t="inlineStr">
        <is>
          <t>1.1.1</t>
        </is>
      </c>
      <c r="C5" s="6" t="inlineStr">
        <is>
          <t>입고예정정보의 확인</t>
        </is>
      </c>
      <c r="D5" s="5" t="inlineStr">
        <is>
          <t>p.7~8</t>
        </is>
      </c>
      <c r="E5" s="5" t="inlineStr">
        <is>
          <t>[사진 2]</t>
        </is>
      </c>
      <c r="F5" s="5" t="inlineStr">
        <is>
          <t>SW(WMS) 입고신청 화면 – 고객 신청 후 상태별 조회</t>
        </is>
      </c>
      <c r="G5" s="6" t="inlineStr">
        <is>
          <t>캡처</t>
        </is>
      </c>
      <c r="H5" s="5" t="n"/>
      <c r="I5" s="5" t="inlineStr">
        <is>
          <t>O</t>
        </is>
      </c>
      <c r="J5" s="5" t="inlineStr">
        <is>
          <t>O</t>
        </is>
      </c>
      <c r="K5" s="5" t="n"/>
    </row>
    <row r="6" ht="15" customHeight="1">
      <c r="A6" s="5" t="n">
        <v>3</v>
      </c>
      <c r="B6" s="5" t="inlineStr">
        <is>
          <t>1.1.1</t>
        </is>
      </c>
      <c r="C6" s="6" t="inlineStr">
        <is>
          <t>입고예정정보의 확인</t>
        </is>
      </c>
      <c r="D6" s="5" t="inlineStr">
        <is>
          <t>p.7~8</t>
        </is>
      </c>
      <c r="E6" s="5" t="inlineStr">
        <is>
          <t>[사진 3]</t>
        </is>
      </c>
      <c r="F6" s="6" t="inlineStr">
        <is>
          <t>SW(WMS) 입고신청 화면 – 도착예정일 기준 조회</t>
        </is>
      </c>
      <c r="G6" s="6" t="inlineStr">
        <is>
          <t>캡처</t>
        </is>
      </c>
      <c r="H6" s="5" t="n"/>
      <c r="I6" s="5" t="inlineStr">
        <is>
          <t>O</t>
        </is>
      </c>
      <c r="J6" s="5" t="inlineStr">
        <is>
          <t>O</t>
        </is>
      </c>
      <c r="K6" s="5" t="n"/>
    </row>
    <row r="7" ht="15" customHeight="1">
      <c r="A7" s="5" t="n">
        <v>4</v>
      </c>
      <c r="B7" s="5" t="inlineStr">
        <is>
          <t>1.1.2</t>
        </is>
      </c>
      <c r="C7" s="6" t="inlineStr">
        <is>
          <t>하역 작업</t>
        </is>
      </c>
      <c r="D7" s="5" t="inlineStr">
        <is>
          <t>p.9~10</t>
        </is>
      </c>
      <c r="E7" s="5" t="inlineStr">
        <is>
          <t>[사진 1]</t>
        </is>
      </c>
      <c r="F7" s="5" t="inlineStr">
        <is>
          <t>3층 입고 도크·도크레벨러 현장 사진</t>
        </is>
      </c>
      <c r="G7" s="6" t="inlineStr">
        <is>
          <t>사진</t>
        </is>
      </c>
      <c r="H7" s="5" t="n"/>
      <c r="I7" s="5" t="n"/>
      <c r="J7" s="5" t="n"/>
      <c r="K7" s="5" t="n"/>
    </row>
    <row r="8" ht="15" customHeight="1">
      <c r="A8" s="5" t="n">
        <v>5</v>
      </c>
      <c r="B8" s="5" t="inlineStr">
        <is>
          <t>1.1.2</t>
        </is>
      </c>
      <c r="C8" s="6" t="inlineStr">
        <is>
          <t>하역 작업</t>
        </is>
      </c>
      <c r="D8" s="5" t="inlineStr">
        <is>
          <t>p.9~10</t>
        </is>
      </c>
      <c r="E8" s="5" t="inlineStr">
        <is>
          <t>[사진 2]</t>
        </is>
      </c>
      <c r="F8" s="6" t="inlineStr">
        <is>
          <t>램프웨이 차량 접안 사진</t>
        </is>
      </c>
      <c r="G8" s="6" t="inlineStr">
        <is>
          <t>사진</t>
        </is>
      </c>
      <c r="H8" s="5" t="n"/>
      <c r="I8" s="5" t="n"/>
      <c r="J8" s="5" t="n"/>
      <c r="K8" s="5" t="n"/>
    </row>
    <row r="9" ht="15" customHeight="1">
      <c r="A9" s="5" t="n">
        <v>6</v>
      </c>
      <c r="B9" s="5" t="inlineStr">
        <is>
          <t>1.1.2</t>
        </is>
      </c>
      <c r="C9" s="6" t="inlineStr">
        <is>
          <t>하역 작업</t>
        </is>
      </c>
      <c r="D9" s="5" t="inlineStr">
        <is>
          <t>p.9~10</t>
        </is>
      </c>
      <c r="E9" s="5" t="inlineStr">
        <is>
          <t>[사진 3]</t>
        </is>
      </c>
      <c r="F9" s="21" t="inlineStr">
        <is>
          <t>SW(WMS) 입고신청 화면 – 도착 처리 PC/PDA 화면</t>
        </is>
      </c>
      <c r="G9" s="6" t="inlineStr">
        <is>
          <t>캡처</t>
        </is>
      </c>
      <c r="H9" s="5" t="n"/>
      <c r="I9" s="5" t="inlineStr">
        <is>
          <t>O</t>
        </is>
      </c>
      <c r="J9" s="5" t="inlineStr">
        <is>
          <t>O</t>
        </is>
      </c>
      <c r="K9" s="5" t="n"/>
    </row>
    <row r="10" ht="15" customHeight="1">
      <c r="A10" s="5" t="n">
        <v>7</v>
      </c>
      <c r="B10" s="5" t="inlineStr">
        <is>
          <t>1.1.2</t>
        </is>
      </c>
      <c r="C10" s="6" t="inlineStr">
        <is>
          <t>하역 작업</t>
        </is>
      </c>
      <c r="D10" s="5" t="inlineStr">
        <is>
          <t>p.9~10</t>
        </is>
      </c>
      <c r="E10" s="5" t="inlineStr">
        <is>
          <t>[사진 4]</t>
        </is>
      </c>
      <c r="F10" s="21" t="inlineStr">
        <is>
          <t>SW(WMS) 공정별 인원관리(QR, 시범 운영 중) – 현재 투입 인원(WMS-입고 공정)</t>
        </is>
      </c>
      <c r="G10" s="6" t="inlineStr">
        <is>
          <t>캡처</t>
        </is>
      </c>
      <c r="H10" s="5" t="n"/>
      <c r="I10" s="5" t="inlineStr">
        <is>
          <t>O</t>
        </is>
      </c>
      <c r="J10" s="5" t="inlineStr">
        <is>
          <t>O</t>
        </is>
      </c>
      <c r="K10" s="5" t="n"/>
    </row>
    <row r="11" ht="15" customHeight="1">
      <c r="A11" s="5" t="n">
        <v>8</v>
      </c>
      <c r="B11" s="5" t="inlineStr">
        <is>
          <t>1.1.2</t>
        </is>
      </c>
      <c r="C11" s="6" t="inlineStr">
        <is>
          <t>하역 작업</t>
        </is>
      </c>
      <c r="D11" s="5" t="inlineStr">
        <is>
          <t>p.9~10</t>
        </is>
      </c>
      <c r="E11" s="5" t="inlineStr">
        <is>
          <t>[사진 5]</t>
        </is>
      </c>
      <c r="F11" s="21" t="inlineStr">
        <is>
          <t>SW(WMS) 공정별 인원관리(QR, 시범 운영 중) – 기간별 작업 레포트</t>
        </is>
      </c>
      <c r="G11" s="6" t="inlineStr">
        <is>
          <t>캡처</t>
        </is>
      </c>
      <c r="H11" s="5" t="n"/>
      <c r="I11" s="5" t="inlineStr">
        <is>
          <t>O</t>
        </is>
      </c>
      <c r="J11" s="5" t="inlineStr">
        <is>
          <t>O</t>
        </is>
      </c>
      <c r="K11" s="5" t="n"/>
    </row>
    <row r="12" ht="15" customHeight="1">
      <c r="A12" s="5" t="n">
        <v>9</v>
      </c>
      <c r="B12" s="5" t="inlineStr">
        <is>
          <t>1.1.3</t>
        </is>
      </c>
      <c r="C12" s="6" t="inlineStr">
        <is>
          <t>상품 검수/검품/분류</t>
        </is>
      </c>
      <c r="D12" s="5" t="inlineStr">
        <is>
          <t>p.11~12</t>
        </is>
      </c>
      <c r="E12" s="5" t="inlineStr">
        <is>
          <t>[사진 1]</t>
        </is>
      </c>
      <c r="F12" s="6" t="inlineStr">
        <is>
          <t>입고 검수대 PDA 스캔 작업 사진</t>
        </is>
      </c>
      <c r="G12" s="6" t="inlineStr">
        <is>
          <t>사진</t>
        </is>
      </c>
      <c r="H12" s="5" t="n"/>
      <c r="I12" s="5" t="n"/>
      <c r="J12" s="5" t="n"/>
      <c r="K12" s="5" t="n"/>
    </row>
    <row r="13" ht="15" customHeight="1">
      <c r="A13" s="5" t="n">
        <v>10</v>
      </c>
      <c r="B13" s="5" t="inlineStr">
        <is>
          <t>1.1.3</t>
        </is>
      </c>
      <c r="C13" s="6" t="inlineStr">
        <is>
          <t>상품 검수/검품/분류</t>
        </is>
      </c>
      <c r="D13" s="5" t="inlineStr">
        <is>
          <t>p.11~12</t>
        </is>
      </c>
      <c r="E13" s="5" t="inlineStr">
        <is>
          <t>[사진 2]</t>
        </is>
      </c>
      <c r="F13" s="6" t="inlineStr">
        <is>
          <t>SW 모바일(PDA) 입고 SKU 화면 – SKU 수량 검수(도착·손상수량 입력)</t>
        </is>
      </c>
      <c r="G13" s="6" t="inlineStr">
        <is>
          <t>캡처</t>
        </is>
      </c>
      <c r="H13" s="5" t="n"/>
      <c r="I13" s="5" t="inlineStr">
        <is>
          <t>O</t>
        </is>
      </c>
      <c r="J13" s="5" t="inlineStr">
        <is>
          <t>O</t>
        </is>
      </c>
      <c r="K13" s="5" t="n"/>
    </row>
    <row r="14" ht="15" customHeight="1">
      <c r="A14" s="5" t="n">
        <v>11</v>
      </c>
      <c r="B14" s="5" t="inlineStr">
        <is>
          <t>1.1.3</t>
        </is>
      </c>
      <c r="C14" s="6" t="inlineStr">
        <is>
          <t>상품 검수/검품/분류</t>
        </is>
      </c>
      <c r="D14" s="5" t="inlineStr">
        <is>
          <t>p.11~12</t>
        </is>
      </c>
      <c r="E14" s="5" t="inlineStr">
        <is>
          <t>[사진 3]</t>
        </is>
      </c>
      <c r="F14" s="6" t="inlineStr">
        <is>
          <t>SW(WMS) 입고신청 화면 – 입고 신청서 출력물(하차·검수 수량 기록)</t>
        </is>
      </c>
      <c r="G14" s="6" t="inlineStr">
        <is>
          <t>캡처</t>
        </is>
      </c>
      <c r="H14" s="5" t="n"/>
      <c r="I14" s="5" t="inlineStr">
        <is>
          <t>O</t>
        </is>
      </c>
      <c r="J14" s="5" t="inlineStr">
        <is>
          <t>O</t>
        </is>
      </c>
      <c r="K14" s="5" t="n"/>
    </row>
    <row r="15" ht="15" customHeight="1">
      <c r="A15" s="5" t="n">
        <v>12</v>
      </c>
      <c r="B15" s="5" t="inlineStr">
        <is>
          <t>1.1.3</t>
        </is>
      </c>
      <c r="C15" s="6" t="inlineStr">
        <is>
          <t>상품 검수/검품/분류</t>
        </is>
      </c>
      <c r="D15" s="5" t="inlineStr">
        <is>
          <t>p.11~12</t>
        </is>
      </c>
      <c r="E15" s="5" t="inlineStr">
        <is>
          <t>[사진 4]</t>
        </is>
      </c>
      <c r="F15" s="6" t="inlineStr">
        <is>
          <t>SW 모바일(PDA) 화면 – 수량 불일치 경고</t>
        </is>
      </c>
      <c r="G15" s="6" t="inlineStr">
        <is>
          <t>캡처</t>
        </is>
      </c>
      <c r="H15" s="5" t="n"/>
      <c r="I15" s="5" t="inlineStr">
        <is>
          <t>O</t>
        </is>
      </c>
      <c r="J15" s="5" t="inlineStr">
        <is>
          <t>O</t>
        </is>
      </c>
      <c r="K15" s="5" t="n"/>
    </row>
    <row r="16" ht="15" customHeight="1">
      <c r="A16" s="5" t="n">
        <v>13</v>
      </c>
      <c r="B16" s="5" t="inlineStr">
        <is>
          <t>1.1.4</t>
        </is>
      </c>
      <c r="C16" s="6" t="inlineStr">
        <is>
          <t>제품정보의 인식 및 등록</t>
        </is>
      </c>
      <c r="D16" s="5" t="inlineStr">
        <is>
          <t>p.13~14</t>
        </is>
      </c>
      <c r="E16" s="5" t="inlineStr">
        <is>
          <t>[사진 1]</t>
        </is>
      </c>
      <c r="F16" s="6" t="inlineStr">
        <is>
          <t>SW 모바일(PDA) 화면 – SKU 개별 정의</t>
        </is>
      </c>
      <c r="G16" s="6" t="inlineStr">
        <is>
          <t>캡처</t>
        </is>
      </c>
      <c r="H16" s="5" t="n"/>
      <c r="I16" s="5" t="inlineStr">
        <is>
          <t>O</t>
        </is>
      </c>
      <c r="J16" s="5" t="inlineStr">
        <is>
          <t>O</t>
        </is>
      </c>
      <c r="K16" s="5" t="n"/>
    </row>
    <row r="17" ht="15" customHeight="1">
      <c r="A17" s="5" t="n">
        <v>14</v>
      </c>
      <c r="B17" s="5" t="inlineStr">
        <is>
          <t>1.1.4</t>
        </is>
      </c>
      <c r="C17" s="6" t="inlineStr">
        <is>
          <t>제품정보의 인식 및 등록</t>
        </is>
      </c>
      <c r="D17" s="5" t="inlineStr">
        <is>
          <t>p.13~14</t>
        </is>
      </c>
      <c r="E17" s="5" t="inlineStr">
        <is>
          <t>[사진 2]</t>
        </is>
      </c>
      <c r="F17" s="5" t="inlineStr">
        <is>
          <t>SW(WMS) SKU 관리 화면 – 정의·미정의 SKU 현황, EXCEL 일괄 정의</t>
        </is>
      </c>
      <c r="G17" s="6" t="inlineStr">
        <is>
          <t>캡처</t>
        </is>
      </c>
      <c r="H17" s="5" t="n"/>
      <c r="I17" s="5" t="inlineStr">
        <is>
          <t>O</t>
        </is>
      </c>
      <c r="J17" s="5" t="inlineStr">
        <is>
          <t>O</t>
        </is>
      </c>
      <c r="K17" s="5" t="n"/>
    </row>
    <row r="18" ht="15" customHeight="1">
      <c r="A18" s="5" t="n">
        <v>15</v>
      </c>
      <c r="B18" s="5" t="inlineStr">
        <is>
          <t>1.1.4</t>
        </is>
      </c>
      <c r="C18" s="6" t="inlineStr">
        <is>
          <t>제품정보의 인식 및 등록</t>
        </is>
      </c>
      <c r="D18" s="5" t="inlineStr">
        <is>
          <t>p.13~14</t>
        </is>
      </c>
      <c r="E18" s="5" t="inlineStr">
        <is>
          <t>[사진 3]</t>
        </is>
      </c>
      <c r="F18" s="5" t="inlineStr">
        <is>
          <t>SKU 라벨 출력·부착 사진</t>
        </is>
      </c>
      <c r="G18" s="6" t="inlineStr">
        <is>
          <t>사진</t>
        </is>
      </c>
      <c r="H18" s="5" t="n"/>
      <c r="I18" s="5" t="n"/>
      <c r="J18" s="5" t="n"/>
      <c r="K18" s="5" t="inlineStr">
        <is>
          <t>유형 정정(캡처→사진)</t>
        </is>
      </c>
    </row>
    <row r="19" ht="15" customHeight="1">
      <c r="A19" s="5" t="n">
        <v>16</v>
      </c>
      <c r="B19" s="5" t="inlineStr">
        <is>
          <t>1.1.5</t>
        </is>
      </c>
      <c r="C19" s="6" t="inlineStr">
        <is>
          <t>입고 처리</t>
        </is>
      </c>
      <c r="D19" s="5" t="inlineStr">
        <is>
          <t>p.15~17</t>
        </is>
      </c>
      <c r="E19" s="5" t="inlineStr">
        <is>
          <t>[사진 1]</t>
        </is>
      </c>
      <c r="F19" s="6" t="inlineStr">
        <is>
          <t>SW(WMS) 입고 확정 – 도착완료 → 입고완료 처리</t>
        </is>
      </c>
      <c r="G19" s="6" t="inlineStr">
        <is>
          <t>캡처</t>
        </is>
      </c>
      <c r="H19" s="5" t="n"/>
      <c r="I19" s="5" t="inlineStr">
        <is>
          <t>O</t>
        </is>
      </c>
      <c r="J19" s="5" t="inlineStr">
        <is>
          <t>O</t>
        </is>
      </c>
      <c r="K19" s="5" t="n"/>
    </row>
    <row r="20" ht="15" customHeight="1">
      <c r="A20" s="5" t="n">
        <v>17</v>
      </c>
      <c r="B20" s="5" t="inlineStr">
        <is>
          <t>1.1.5</t>
        </is>
      </c>
      <c r="C20" s="6" t="inlineStr">
        <is>
          <t>입고 처리</t>
        </is>
      </c>
      <c r="D20" s="5" t="inlineStr">
        <is>
          <t>p.15~17</t>
        </is>
      </c>
      <c r="E20" s="5" t="inlineStr">
        <is>
          <t>[사진 2]</t>
        </is>
      </c>
      <c r="F20" s="5" t="inlineStr">
        <is>
          <t>Smartship(OMS) 입고신청 목록 – 입고완료·실제입고수량 반영</t>
        </is>
      </c>
      <c r="G20" s="6" t="inlineStr">
        <is>
          <t>캡처</t>
        </is>
      </c>
      <c r="H20" s="5" t="n"/>
      <c r="I20" s="5" t="inlineStr">
        <is>
          <t>O</t>
        </is>
      </c>
      <c r="J20" s="5" t="inlineStr">
        <is>
          <t>O</t>
        </is>
      </c>
      <c r="K20" s="5" t="n"/>
    </row>
    <row r="21" ht="15" customHeight="1">
      <c r="A21" s="5" t="n">
        <v>18</v>
      </c>
      <c r="B21" s="5" t="inlineStr">
        <is>
          <t>1.1.5</t>
        </is>
      </c>
      <c r="C21" s="6" t="inlineStr">
        <is>
          <t>입고 처리</t>
        </is>
      </c>
      <c r="D21" s="5" t="inlineStr">
        <is>
          <t>p.15~17</t>
        </is>
      </c>
      <c r="E21" s="5" t="inlineStr">
        <is>
          <t>[사진 3]</t>
        </is>
      </c>
      <c r="F21" s="5" t="inlineStr">
        <is>
          <t>SW 모바일(PDA) 입고 SKU 화면 – SKU별 도착수량 입력·배치 선반 지정</t>
        </is>
      </c>
      <c r="G21" s="6" t="inlineStr">
        <is>
          <t>캡처</t>
        </is>
      </c>
      <c r="H21" s="5" t="n"/>
      <c r="I21" s="5" t="inlineStr">
        <is>
          <t>O</t>
        </is>
      </c>
      <c r="J21" s="5" t="inlineStr">
        <is>
          <t>△</t>
        </is>
      </c>
      <c r="K21" s="5" t="inlineStr">
        <is>
          <t>삽입 이미지가 [사진 1](입고 확정)과 동일 파일 → Smartship 입고신청 목록 화면으로 교체 필요</t>
        </is>
      </c>
    </row>
    <row r="22" ht="15" customHeight="1">
      <c r="A22" s="5" t="n">
        <v>19</v>
      </c>
      <c r="B22" s="5" t="inlineStr">
        <is>
          <t>1.1.5</t>
        </is>
      </c>
      <c r="C22" s="6" t="inlineStr">
        <is>
          <t>입고 처리</t>
        </is>
      </c>
      <c r="D22" s="5" t="inlineStr">
        <is>
          <t>p.15~17</t>
        </is>
      </c>
      <c r="E22" s="5" t="inlineStr">
        <is>
          <t>[사진 4]</t>
        </is>
      </c>
      <c r="F22" s="5" t="inlineStr">
        <is>
          <t>SW(WMS) SKU 입출고 이력 – 입고 수량·로케이션·LOT 기록</t>
        </is>
      </c>
      <c r="G22" s="6" t="inlineStr">
        <is>
          <t>캡처</t>
        </is>
      </c>
      <c r="H22" s="5" t="n"/>
      <c r="I22" s="5" t="inlineStr">
        <is>
          <t>O</t>
        </is>
      </c>
      <c r="J22" s="5" t="inlineStr">
        <is>
          <t>O</t>
        </is>
      </c>
      <c r="K22" s="5" t="n"/>
    </row>
    <row r="23" ht="15" customHeight="1">
      <c r="A23" s="5" t="n">
        <v>20</v>
      </c>
      <c r="B23" s="5" t="inlineStr">
        <is>
          <t>1.2.1</t>
        </is>
      </c>
      <c r="C23" s="6" t="inlineStr">
        <is>
          <t>작업정보의 정보제공</t>
        </is>
      </c>
      <c r="D23" s="5" t="inlineStr">
        <is>
          <t>p.18~19</t>
        </is>
      </c>
      <c r="E23" s="5" t="inlineStr">
        <is>
          <t>[사진 1]</t>
        </is>
      </c>
      <c r="F23" s="5" t="inlineStr">
        <is>
          <t>SW 모바일(PDA) 적치 로케이션 지정 – 동일 SKU 기존 보관 위치 확인 → 배치 선반 할당</t>
        </is>
      </c>
      <c r="G23" s="6" t="inlineStr">
        <is>
          <t>캡처</t>
        </is>
      </c>
      <c r="H23" s="5" t="n"/>
      <c r="I23" s="5" t="inlineStr">
        <is>
          <t>O</t>
        </is>
      </c>
      <c r="J23" s="5" t="inlineStr">
        <is>
          <t>O</t>
        </is>
      </c>
      <c r="K23" s="5" t="n"/>
    </row>
    <row r="24" ht="15" customHeight="1">
      <c r="A24" s="5" t="n">
        <v>21</v>
      </c>
      <c r="B24" s="5" t="inlineStr">
        <is>
          <t>1.2.1</t>
        </is>
      </c>
      <c r="C24" s="6" t="inlineStr">
        <is>
          <t>작업정보의 정보제공</t>
        </is>
      </c>
      <c r="D24" s="5" t="inlineStr">
        <is>
          <t>p.18~19</t>
        </is>
      </c>
      <c r="E24" s="5" t="inlineStr">
        <is>
          <t>[사진 2]</t>
        </is>
      </c>
      <c r="F24" s="6" t="inlineStr">
        <is>
          <t>적치 작업 사진</t>
        </is>
      </c>
      <c r="G24" s="6" t="inlineStr">
        <is>
          <t>사진</t>
        </is>
      </c>
      <c r="H24" s="5" t="n"/>
      <c r="I24" s="5" t="n"/>
      <c r="J24" s="5" t="n"/>
      <c r="K24" s="5" t="n"/>
    </row>
    <row r="25" ht="15" customHeight="1">
      <c r="A25" s="5" t="n">
        <v>22</v>
      </c>
      <c r="B25" s="5" t="inlineStr">
        <is>
          <t>1.2.2</t>
        </is>
      </c>
      <c r="C25" s="6" t="inlineStr">
        <is>
          <t>적치장소 이동</t>
        </is>
      </c>
      <c r="D25" s="5" t="inlineStr">
        <is>
          <t>p.20~21</t>
        </is>
      </c>
      <c r="E25" s="5" t="inlineStr">
        <is>
          <t>[사진 1]</t>
        </is>
      </c>
      <c r="F25" s="6" t="inlineStr">
        <is>
          <t>지게차 적치 작업 사진</t>
        </is>
      </c>
      <c r="G25" s="6" t="inlineStr">
        <is>
          <t>사진</t>
        </is>
      </c>
      <c r="H25" s="5" t="n"/>
      <c r="I25" s="5" t="n"/>
      <c r="J25" s="5" t="n"/>
      <c r="K25" s="5" t="n"/>
    </row>
    <row r="26" ht="15" customHeight="1">
      <c r="A26" s="5" t="n">
        <v>23</v>
      </c>
      <c r="B26" s="5" t="inlineStr">
        <is>
          <t>1.2.2</t>
        </is>
      </c>
      <c r="C26" s="6" t="inlineStr">
        <is>
          <t>적치장소 이동</t>
        </is>
      </c>
      <c r="D26" s="5" t="inlineStr">
        <is>
          <t>p.20~21</t>
        </is>
      </c>
      <c r="E26" s="5" t="inlineStr">
        <is>
          <t>[사진 2]</t>
        </is>
      </c>
      <c r="F26" s="6" t="inlineStr">
        <is>
          <t>셀렉티브 랙 전경 사진</t>
        </is>
      </c>
      <c r="G26" s="6" t="inlineStr">
        <is>
          <t>사진</t>
        </is>
      </c>
      <c r="H26" s="5" t="n"/>
      <c r="I26" s="5" t="n"/>
      <c r="J26" s="5" t="n"/>
      <c r="K26" s="5" t="n"/>
    </row>
    <row r="27" ht="15" customHeight="1">
      <c r="A27" s="5" t="n">
        <v>24</v>
      </c>
      <c r="B27" s="5" t="inlineStr">
        <is>
          <t>1.2.2</t>
        </is>
      </c>
      <c r="C27" s="6" t="inlineStr">
        <is>
          <t>적치장소 이동</t>
        </is>
      </c>
      <c r="D27" s="5" t="inlineStr">
        <is>
          <t>p.20~21</t>
        </is>
      </c>
      <c r="E27" s="5" t="inlineStr">
        <is>
          <t>[사진 3]</t>
        </is>
      </c>
      <c r="F27" s="6" t="inlineStr">
        <is>
          <t>지게차 안전작업 실천 서약서(2026.06.23, 영종센터 운전자 8명)</t>
        </is>
      </c>
      <c r="G27" s="6" t="inlineStr">
        <is>
          <t>자료</t>
        </is>
      </c>
      <c r="H27" s="5" t="n"/>
      <c r="I27" s="5" t="inlineStr">
        <is>
          <t>O</t>
        </is>
      </c>
      <c r="J27" s="5" t="inlineStr">
        <is>
          <t>O</t>
        </is>
      </c>
      <c r="K27" s="5" t="inlineStr">
        <is>
          <t>10.15 01에 삽입(서약서 8매 모음 / 기관수료증 1~2쪽)</t>
        </is>
      </c>
    </row>
    <row r="28" ht="15" customHeight="1">
      <c r="A28" s="5" t="n">
        <v>25</v>
      </c>
      <c r="B28" s="5" t="inlineStr">
        <is>
          <t>1.2.3</t>
        </is>
      </c>
      <c r="C28" s="6" t="inlineStr">
        <is>
          <t>작업경로 관리</t>
        </is>
      </c>
      <c r="D28" s="5" t="inlineStr">
        <is>
          <t>p.22</t>
        </is>
      </c>
      <c r="E28" s="5" t="inlineStr">
        <is>
          <t>[사진 1]</t>
        </is>
      </c>
      <c r="F28" s="6" t="inlineStr">
        <is>
          <t>SW(WMS) 3D 뷰어 – 보관 구역·랙·셀 배치 및 셀별 재고 상태</t>
        </is>
      </c>
      <c r="G28" s="6" t="inlineStr">
        <is>
          <t>캡처</t>
        </is>
      </c>
      <c r="H28" s="5" t="n"/>
      <c r="I28" s="5" t="inlineStr">
        <is>
          <t>O</t>
        </is>
      </c>
      <c r="J28" s="5" t="inlineStr">
        <is>
          <t>O</t>
        </is>
      </c>
      <c r="K28" s="5" t="n"/>
    </row>
    <row r="29" ht="15" customHeight="1">
      <c r="A29" s="5" t="n">
        <v>26</v>
      </c>
      <c r="B29" s="5" t="inlineStr">
        <is>
          <t>1.2.3</t>
        </is>
      </c>
      <c r="C29" s="6" t="inlineStr">
        <is>
          <t>작업경로 관리</t>
        </is>
      </c>
      <c r="D29" s="5" t="inlineStr">
        <is>
          <t>p.22</t>
        </is>
      </c>
      <c r="E29" s="5" t="inlineStr">
        <is>
          <t>[사진 2]</t>
        </is>
      </c>
      <c r="F29" s="6" t="inlineStr">
        <is>
          <t>보관 영역 로케이션 배치도</t>
        </is>
      </c>
      <c r="G29" s="6" t="inlineStr">
        <is>
          <t>자료</t>
        </is>
      </c>
      <c r="H29" s="5" t="n"/>
      <c r="I29" s="5" t="n"/>
      <c r="J29" s="5" t="n"/>
      <c r="K29" s="5" t="n"/>
    </row>
    <row r="30" ht="15" customHeight="1">
      <c r="A30" s="5" t="n">
        <v>27</v>
      </c>
      <c r="B30" s="5" t="inlineStr">
        <is>
          <t>1.2.4</t>
        </is>
      </c>
      <c r="C30" s="6" t="inlineStr">
        <is>
          <t>적치장소 식별 및 작업</t>
        </is>
      </c>
      <c r="D30" s="5" t="inlineStr">
        <is>
          <t>p.23</t>
        </is>
      </c>
      <c r="E30" s="5" t="inlineStr">
        <is>
          <t>[사진 1]</t>
        </is>
      </c>
      <c r="F30" s="6" t="inlineStr">
        <is>
          <t>로케이션 라벨 부착 사진</t>
        </is>
      </c>
      <c r="G30" s="6" t="inlineStr">
        <is>
          <t>사진</t>
        </is>
      </c>
      <c r="H30" s="5" t="n"/>
      <c r="I30" s="5" t="n"/>
      <c r="J30" s="5" t="n"/>
      <c r="K30" s="5" t="n"/>
    </row>
    <row r="31" ht="15" customHeight="1">
      <c r="A31" s="5" t="n">
        <v>28</v>
      </c>
      <c r="B31" s="5" t="inlineStr">
        <is>
          <t>1.2.4</t>
        </is>
      </c>
      <c r="C31" s="6" t="inlineStr">
        <is>
          <t>적치장소 식별 및 작업</t>
        </is>
      </c>
      <c r="D31" s="5" t="inlineStr">
        <is>
          <t>p.23</t>
        </is>
      </c>
      <c r="E31" s="5" t="inlineStr">
        <is>
          <t>[사진 2]</t>
        </is>
      </c>
      <c r="F31" s="6" t="inlineStr">
        <is>
          <t>SW 모바일(PDA) 셀·SKU 스캔 – 로케이션별 SKU·수량 양방향 조회</t>
        </is>
      </c>
      <c r="G31" s="6" t="inlineStr">
        <is>
          <t>캡처</t>
        </is>
      </c>
      <c r="H31" s="5" t="n"/>
      <c r="I31" s="5" t="inlineStr">
        <is>
          <t>O</t>
        </is>
      </c>
      <c r="J31" s="5" t="inlineStr">
        <is>
          <t>O</t>
        </is>
      </c>
      <c r="K31" s="5" t="n"/>
    </row>
    <row r="32" ht="15" customHeight="1">
      <c r="A32" s="5" t="n">
        <v>29</v>
      </c>
      <c r="B32" s="5" t="inlineStr">
        <is>
          <t>1.3.1</t>
        </is>
      </c>
      <c r="C32" s="6" t="inlineStr">
        <is>
          <t>재고조사의 수행 및 방법</t>
        </is>
      </c>
      <c r="D32" s="5" t="inlineStr">
        <is>
          <t>p.24~25</t>
        </is>
      </c>
      <c r="E32" s="5" t="inlineStr">
        <is>
          <t>[사진 1]</t>
        </is>
      </c>
      <c r="F32" s="6" t="inlineStr">
        <is>
          <t>SW(WMS) 재고실사 관리 – 실사 생성(대상 유형·기간 지정) 및 실사 목록</t>
        </is>
      </c>
      <c r="G32" s="6" t="inlineStr">
        <is>
          <t>캡처</t>
        </is>
      </c>
      <c r="H32" s="5" t="n"/>
      <c r="I32" s="5" t="inlineStr">
        <is>
          <t>O</t>
        </is>
      </c>
      <c r="J32" s="5" t="inlineStr">
        <is>
          <t>O</t>
        </is>
      </c>
      <c r="K32" s="5" t="inlineStr">
        <is>
          <t>캡션 변경(기존: 재고실사 생성·수행 화면 캡처) / 01에 삽입 확인 → 수집 완료 처리</t>
        </is>
      </c>
    </row>
    <row r="33" ht="15" customHeight="1">
      <c r="A33" s="5" t="n">
        <v>30</v>
      </c>
      <c r="B33" s="5" t="inlineStr">
        <is>
          <t>1.3.1</t>
        </is>
      </c>
      <c r="C33" s="6" t="inlineStr">
        <is>
          <t>재고조사의 수행 및 방법</t>
        </is>
      </c>
      <c r="D33" s="5" t="inlineStr">
        <is>
          <t>p.24~25</t>
        </is>
      </c>
      <c r="E33" s="5" t="inlineStr">
        <is>
          <t>[사진 2]</t>
        </is>
      </c>
      <c r="F33" s="6" t="inlineStr">
        <is>
          <t>SW(WMS) 재고실사 상세 – 창고·입고·선반·체크재고 비교 및 셀별 불일치 조정</t>
        </is>
      </c>
      <c r="G33" s="6" t="inlineStr">
        <is>
          <t>자료</t>
        </is>
      </c>
      <c r="H33" s="5" t="n"/>
      <c r="I33" s="5" t="inlineStr">
        <is>
          <t>O</t>
        </is>
      </c>
      <c r="J33" s="5" t="inlineStr">
        <is>
          <t>O</t>
        </is>
      </c>
      <c r="K33" s="5" t="inlineStr">
        <is>
          <t>캡션 변경(기존: 실사 결과 및 재고 조정 이력) / 01에 삽입 확인 → 수집 완료 처리</t>
        </is>
      </c>
    </row>
    <row r="34" ht="15" customHeight="1">
      <c r="A34" s="5" t="n">
        <v>31</v>
      </c>
      <c r="B34" s="5" t="inlineStr">
        <is>
          <t>1.3.2</t>
        </is>
      </c>
      <c r="C34" s="6" t="inlineStr">
        <is>
          <t>재고보충정보의 생성 및 지시</t>
        </is>
      </c>
      <c r="D34" s="5" t="inlineStr">
        <is>
          <t>p.26</t>
        </is>
      </c>
      <c r="E34" s="5" t="inlineStr">
        <is>
          <t>[사진 1]</t>
        </is>
      </c>
      <c r="F34" s="6" t="inlineStr">
        <is>
          <t>SW(WMS) SKU 이동 처리 – 보충·이동 요청 등록 및 출발·도착 셀 지정</t>
        </is>
      </c>
      <c r="G34" s="6" t="inlineStr">
        <is>
          <t>캡처</t>
        </is>
      </c>
      <c r="H34" s="5" t="n"/>
      <c r="I34" s="5" t="inlineStr">
        <is>
          <t>O</t>
        </is>
      </c>
      <c r="J34" s="5" t="inlineStr">
        <is>
          <t>O</t>
        </is>
      </c>
      <c r="K34" s="5" t="inlineStr">
        <is>
          <t>01에 삽입 확인 → 수집 완료 처리</t>
        </is>
      </c>
    </row>
    <row r="35" ht="15" customHeight="1">
      <c r="A35" s="5" t="n">
        <v>32</v>
      </c>
      <c r="B35" s="5" t="inlineStr">
        <is>
          <t>1.3.3</t>
        </is>
      </c>
      <c r="C35" s="6" t="inlineStr">
        <is>
          <t>재고 보관위치의 조정</t>
        </is>
      </c>
      <c r="D35" s="5" t="inlineStr">
        <is>
          <t>p.27</t>
        </is>
      </c>
      <c r="E35" s="5" t="inlineStr">
        <is>
          <t>[사진 1]</t>
        </is>
      </c>
      <c r="F35" s="6" t="inlineStr">
        <is>
          <t>SW(WMS) SKU 이동 관리 – 유형별 이동 요청·처리 실적(2026.01~10, 26,348건)</t>
        </is>
      </c>
      <c r="G35" s="6" t="inlineStr">
        <is>
          <t>캡처</t>
        </is>
      </c>
      <c r="H35" s="5" t="n"/>
      <c r="I35" s="5" t="inlineStr">
        <is>
          <t>O</t>
        </is>
      </c>
      <c r="J35" s="5" t="inlineStr">
        <is>
          <t>O</t>
        </is>
      </c>
      <c r="K35" s="5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>
      <c r="A36" s="5" t="n">
        <v>33</v>
      </c>
      <c r="B36" s="5" t="inlineStr">
        <is>
          <t>1.3.4</t>
        </is>
      </c>
      <c r="C36" s="6" t="inlineStr">
        <is>
          <t>보관장소의 모니터링 및 관리</t>
        </is>
      </c>
      <c r="D36" s="5" t="inlineStr">
        <is>
          <t>p.28~29</t>
        </is>
      </c>
      <c r="E36" s="5" t="inlineStr">
        <is>
          <t>[사진 1]</t>
        </is>
      </c>
      <c r="F36" s="6" t="inlineStr">
        <is>
          <t>SW(WMS) 전체 대시보드 – 공정별 실시간 처리 현황 및 피킹존 재고부족·미출고 모니터링</t>
        </is>
      </c>
      <c r="G36" s="6" t="inlineStr">
        <is>
          <t>캡처</t>
        </is>
      </c>
      <c r="H36" s="5" t="n"/>
      <c r="I36" s="5" t="inlineStr">
        <is>
          <t>O</t>
        </is>
      </c>
      <c r="J36" s="5" t="inlineStr">
        <is>
          <t>O</t>
        </is>
      </c>
      <c r="K36" s="5" t="inlineStr">
        <is>
          <t>캡션 변경(기존: 전체 대시보드·대시보드 모니터 화면 캡처) / 01에 삽입 확인 → 수집 완료 처리</t>
        </is>
      </c>
    </row>
    <row r="37" ht="15" customHeight="1">
      <c r="A37" s="5" t="n">
        <v>34</v>
      </c>
      <c r="B37" s="5" t="inlineStr">
        <is>
          <t>1.3.4</t>
        </is>
      </c>
      <c r="C37" s="6" t="inlineStr">
        <is>
          <t>보관장소의 모니터링 및 관리</t>
        </is>
      </c>
      <c r="D37" s="5" t="inlineStr">
        <is>
          <t>p.28~29</t>
        </is>
      </c>
      <c r="E37" s="5" t="inlineStr">
        <is>
          <t>[사진 2]</t>
        </is>
      </c>
      <c r="F37" s="6" t="inlineStr">
        <is>
          <t>현장 상황판 사진</t>
        </is>
      </c>
      <c r="G37" s="6" t="inlineStr">
        <is>
          <t>사진</t>
        </is>
      </c>
      <c r="H37" s="5" t="n"/>
      <c r="I37" s="5" t="n"/>
      <c r="J37" s="5" t="n"/>
      <c r="K37" s="5" t="n"/>
    </row>
    <row r="38" ht="15" customHeight="1">
      <c r="A38" s="5" t="n">
        <v>35</v>
      </c>
      <c r="B38" s="5" t="inlineStr">
        <is>
          <t>1.3.4</t>
        </is>
      </c>
      <c r="C38" s="6" t="inlineStr">
        <is>
          <t>보관장소의 모니터링 및 관리</t>
        </is>
      </c>
      <c r="D38" s="5" t="inlineStr">
        <is>
          <t>p.28~29</t>
        </is>
      </c>
      <c r="E38" s="5" t="inlineStr">
        <is>
          <t>[사진 3]</t>
        </is>
      </c>
      <c r="F38" s="6" t="inlineStr">
        <is>
          <t>SW(WMS) 마감리포트 – 일·주·월 단위 재고·입출고 집계(2026년 9월)</t>
        </is>
      </c>
      <c r="G38" s="6" t="inlineStr">
        <is>
          <t>캡처</t>
        </is>
      </c>
      <c r="H38" s="5" t="n"/>
      <c r="I38" s="5" t="inlineStr">
        <is>
          <t>O</t>
        </is>
      </c>
      <c r="J38" s="5" t="inlineStr">
        <is>
          <t>O</t>
        </is>
      </c>
      <c r="K38" s="5" t="n"/>
    </row>
    <row r="39" ht="15" customHeight="1">
      <c r="A39" s="5" t="n">
        <v>36</v>
      </c>
      <c r="B39" s="5" t="inlineStr">
        <is>
          <t>1.3.5</t>
        </is>
      </c>
      <c r="C39" s="6" t="inlineStr">
        <is>
          <t>재고 이력(선입선출 등) 및 품질관리</t>
        </is>
      </c>
      <c r="D39" s="5" t="inlineStr">
        <is>
          <t>p.30</t>
        </is>
      </c>
      <c r="E39" s="5" t="inlineStr">
        <is>
          <t>[사진 1]</t>
        </is>
      </c>
      <c r="F39" s="6" t="inlineStr">
        <is>
          <t>SW(WMS) SKU 입출고 이력 – 동일 SKU 로트별 유통기한 순 출고(FEFO)</t>
        </is>
      </c>
      <c r="G39" s="6" t="inlineStr">
        <is>
          <t>캡처</t>
        </is>
      </c>
      <c r="H39" s="5" t="n"/>
      <c r="I39" s="5" t="inlineStr">
        <is>
          <t>O</t>
        </is>
      </c>
      <c r="J39" s="5" t="inlineStr">
        <is>
          <t>O</t>
        </is>
      </c>
      <c r="K39" s="5" t="inlineStr">
        <is>
          <t>캡션 변경(기존: 유통기한·로트 그룹핑 화면 및 자동 할당 결과 캡처) / 01에 삽입 확인 → 수집 완료 처리</t>
        </is>
      </c>
    </row>
    <row r="40" ht="15" customHeight="1">
      <c r="A40" s="5" t="n">
        <v>37</v>
      </c>
      <c r="B40" s="5" t="inlineStr">
        <is>
          <t>1.4.1</t>
        </is>
      </c>
      <c r="C40" s="6" t="inlineStr">
        <is>
          <t>작업정보의 생성 및 지시</t>
        </is>
      </c>
      <c r="D40" s="5" t="inlineStr">
        <is>
          <t>p.31~32</t>
        </is>
      </c>
      <c r="E40" s="5" t="inlineStr">
        <is>
          <t>[사진 1]</t>
        </is>
      </c>
      <c r="F40" s="6" t="inlineStr">
        <is>
          <t>SW(WMS) 픽킹 리스트 생성 – 선택 주문 기준 생성(패킹장비 타입·정렬 기준·피킹 시작 지점 지정)</t>
        </is>
      </c>
      <c r="G40" s="6" t="inlineStr">
        <is>
          <t>캡처</t>
        </is>
      </c>
      <c r="H40" s="5" t="n"/>
      <c r="I40" s="5" t="inlineStr">
        <is>
          <t>O</t>
        </is>
      </c>
      <c r="J40" s="5" t="inlineStr">
        <is>
          <t>O</t>
        </is>
      </c>
      <c r="K40" s="5" t="inlineStr">
        <is>
          <t>캡션 변경(기존: 픽킹 리스트 생성·관리 화면 캡처) / 01에 삽입 확인 → 수집 완료 처리</t>
        </is>
      </c>
    </row>
    <row r="41" ht="15" customHeight="1">
      <c r="A41" s="5" t="n">
        <v>38</v>
      </c>
      <c r="B41" s="5" t="inlineStr">
        <is>
          <t>1.4.1</t>
        </is>
      </c>
      <c r="C41" s="6" t="inlineStr">
        <is>
          <t>작업정보의 생성 및 지시</t>
        </is>
      </c>
      <c r="D41" s="5" t="inlineStr">
        <is>
          <t>p.31~32</t>
        </is>
      </c>
      <c r="E41" s="5" t="inlineStr">
        <is>
          <t>[사진 2]</t>
        </is>
      </c>
      <c r="F41" s="5" t="inlineStr">
        <is>
          <t>SW 모바일(PDA) 피킹 리스트 관리 – 타입별 피킹 현황 및 작업자 피킹 지시 목록</t>
        </is>
      </c>
      <c r="G41" s="6" t="inlineStr">
        <is>
          <t>캡처</t>
        </is>
      </c>
      <c r="H41" s="5" t="n"/>
      <c r="I41" s="5" t="inlineStr">
        <is>
          <t>O</t>
        </is>
      </c>
      <c r="J41" s="5" t="inlineStr">
        <is>
          <t>O</t>
        </is>
      </c>
      <c r="K41" s="5" t="inlineStr">
        <is>
          <t>캡션 변경(기존: PDA 피킹 지시 화면) / 01에 삽입 확인 → 수집 완료 처리</t>
        </is>
      </c>
    </row>
    <row r="42" ht="15" customHeight="1">
      <c r="A42" s="5" t="n">
        <v>39</v>
      </c>
      <c r="B42" s="5" t="inlineStr">
        <is>
          <t>1.4.1</t>
        </is>
      </c>
      <c r="C42" s="6" t="inlineStr">
        <is>
          <t>작업정보의 생성 및 지시</t>
        </is>
      </c>
      <c r="D42" s="5" t="inlineStr">
        <is>
          <t>p.31~32</t>
        </is>
      </c>
      <c r="E42" s="5" t="inlineStr">
        <is>
          <t>[사진 3]</t>
        </is>
      </c>
      <c r="F42" s="5" t="inlineStr">
        <is>
          <t>SW(WMS) 픽킹 리스트 관리 – 주문 구성별 피킹 방식 구분</t>
        </is>
      </c>
      <c r="G42" s="6" t="inlineStr">
        <is>
          <t>캡처</t>
        </is>
      </c>
      <c r="H42" s="5" t="n"/>
      <c r="I42" s="5" t="inlineStr">
        <is>
          <t>O</t>
        </is>
      </c>
      <c r="J42" s="5" t="inlineStr">
        <is>
          <t>O</t>
        </is>
      </c>
      <c r="K42" s="5" t="n"/>
    </row>
    <row r="43" ht="15" customHeight="1">
      <c r="A43" s="5" t="n">
        <v>40</v>
      </c>
      <c r="B43" s="5" t="inlineStr">
        <is>
          <t>1.4.2</t>
        </is>
      </c>
      <c r="C43" s="6" t="inlineStr">
        <is>
          <t>작업정보의 확인 방법</t>
        </is>
      </c>
      <c r="D43" s="5" t="inlineStr">
        <is>
          <t>p.33~34</t>
        </is>
      </c>
      <c r="E43" s="5" t="inlineStr">
        <is>
          <t>[사진 1]</t>
        </is>
      </c>
      <c r="F43" s="5" t="inlineStr">
        <is>
          <t>SW 모바일(PDA) 피킹 화면 – SKU별 로케이션·지시수량 확인 및 스캔 수량 입력</t>
        </is>
      </c>
      <c r="G43" s="6" t="inlineStr">
        <is>
          <t>캡처</t>
        </is>
      </c>
      <c r="H43" s="5" t="n"/>
      <c r="I43" s="5" t="inlineStr">
        <is>
          <t>O</t>
        </is>
      </c>
      <c r="J43" s="5" t="inlineStr">
        <is>
          <t>O</t>
        </is>
      </c>
      <c r="K43" s="5" t="inlineStr">
        <is>
          <t>캡션 변경(기존: PDA 피킹 화면) / 01에 삽입 확인 → 수집 완료 처리</t>
        </is>
      </c>
    </row>
    <row r="44" ht="15" customHeight="1">
      <c r="A44" s="5" t="n">
        <v>41</v>
      </c>
      <c r="B44" s="5" t="inlineStr">
        <is>
          <t>1.4.2</t>
        </is>
      </c>
      <c r="C44" s="6" t="inlineStr">
        <is>
          <t>작업정보의 확인 방법</t>
        </is>
      </c>
      <c r="D44" s="5" t="inlineStr">
        <is>
          <t>p.33~34</t>
        </is>
      </c>
      <c r="E44" s="5" t="inlineStr">
        <is>
          <t>[사진 2]</t>
        </is>
      </c>
      <c r="F44" s="5" t="inlineStr">
        <is>
          <t>PTL 점등 사진</t>
        </is>
      </c>
      <c r="G44" s="6" t="inlineStr">
        <is>
          <t>사진</t>
        </is>
      </c>
      <c r="H44" s="5" t="n"/>
      <c r="I44" s="5" t="n"/>
      <c r="J44" s="5" t="n"/>
      <c r="K44" s="5" t="n"/>
    </row>
    <row r="45" ht="15" customHeight="1">
      <c r="A45" s="5" t="n">
        <v>42</v>
      </c>
      <c r="B45" s="5" t="inlineStr">
        <is>
          <t>1.4.3</t>
        </is>
      </c>
      <c r="C45" s="6" t="inlineStr">
        <is>
          <t>작업경로의 실시간 관리</t>
        </is>
      </c>
      <c r="D45" s="5" t="inlineStr">
        <is>
          <t>p.35</t>
        </is>
      </c>
      <c r="E45" s="5" t="inlineStr">
        <is>
          <t>[사진 1]</t>
        </is>
      </c>
      <c r="F45" s="6" t="inlineStr">
        <is>
          <t>SW(WMS) 픽킹 리스트 출력 – 로케이션 순 피킹 순서 자동 정렬</t>
        </is>
      </c>
      <c r="G45" s="6" t="inlineStr">
        <is>
          <t>캡처</t>
        </is>
      </c>
      <c r="H45" s="5" t="n"/>
      <c r="I45" s="5" t="inlineStr">
        <is>
          <t>O</t>
        </is>
      </c>
      <c r="J45" s="5" t="inlineStr">
        <is>
          <t>O</t>
        </is>
      </c>
      <c r="K45" s="5" t="n"/>
    </row>
    <row r="46" ht="15" customHeight="1">
      <c r="A46" s="5" t="n">
        <v>43</v>
      </c>
      <c r="B46" s="5" t="inlineStr">
        <is>
          <t>1.4.4</t>
        </is>
      </c>
      <c r="C46" s="6" t="inlineStr">
        <is>
          <t>피킹 장소의 확인 및 작업</t>
        </is>
      </c>
      <c r="D46" s="5" t="inlineStr">
        <is>
          <t>p.36~37</t>
        </is>
      </c>
      <c r="E46" s="5" t="inlineStr">
        <is>
          <t>[사진 1]</t>
        </is>
      </c>
      <c r="F46" s="6" t="inlineStr">
        <is>
          <t>카트피킹 작업 사진</t>
        </is>
      </c>
      <c r="G46" s="6" t="inlineStr">
        <is>
          <t>사진</t>
        </is>
      </c>
      <c r="H46" s="5" t="n"/>
      <c r="I46" s="5" t="n"/>
      <c r="J46" s="5" t="n"/>
      <c r="K46" s="5" t="n"/>
    </row>
    <row r="47" ht="15" customHeight="1">
      <c r="A47" s="5" t="n">
        <v>44</v>
      </c>
      <c r="B47" s="5" t="inlineStr">
        <is>
          <t>1.4.4</t>
        </is>
      </c>
      <c r="C47" s="6" t="inlineStr">
        <is>
          <t>피킹 장소의 확인 및 작업</t>
        </is>
      </c>
      <c r="D47" s="5" t="inlineStr">
        <is>
          <t>p.36~37</t>
        </is>
      </c>
      <c r="E47" s="5" t="inlineStr">
        <is>
          <t>[사진 2]</t>
        </is>
      </c>
      <c r="F47" s="5" t="inlineStr">
        <is>
          <t>SW 모바일(PDA) 피킹 스캔 검증 – 지시에 없는 SKU 스캔 시 경고·진행 차단</t>
        </is>
      </c>
      <c r="G47" s="6" t="inlineStr">
        <is>
          <t>캡처</t>
        </is>
      </c>
      <c r="H47" s="5" t="n"/>
      <c r="I47" s="5" t="inlineStr">
        <is>
          <t>O</t>
        </is>
      </c>
      <c r="J47" s="5" t="inlineStr">
        <is>
          <t>O</t>
        </is>
      </c>
      <c r="K47" s="5" t="inlineStr">
        <is>
          <t>캡션 변경(기존: PDA 스캔 검증 화면) / 01에 삽입 확인 → 수집 완료 처리</t>
        </is>
      </c>
    </row>
    <row r="48" ht="15" customHeight="1">
      <c r="A48" s="5" t="n">
        <v>45</v>
      </c>
      <c r="B48" s="5" t="inlineStr">
        <is>
          <t>1.4.5</t>
        </is>
      </c>
      <c r="C48" s="6" t="inlineStr">
        <is>
          <t>분류정보의 생성 및 지시</t>
        </is>
      </c>
      <c r="D48" s="5" t="inlineStr">
        <is>
          <t>p.38</t>
        </is>
      </c>
      <c r="E48" s="5" t="inlineStr">
        <is>
          <t>[사진 1]</t>
        </is>
      </c>
      <c r="F48" s="6" t="inlineStr">
        <is>
          <t>SW(WMS) 슈트 설정 – 슈트번호별 라우트·소트코드 매핑</t>
        </is>
      </c>
      <c r="G48" s="6" t="inlineStr">
        <is>
          <t>캡처</t>
        </is>
      </c>
      <c r="H48" s="5" t="n"/>
      <c r="I48" s="5" t="inlineStr">
        <is>
          <t>O</t>
        </is>
      </c>
      <c r="J48" s="5" t="inlineStr">
        <is>
          <t>O</t>
        </is>
      </c>
      <c r="K48" s="5" t="inlineStr">
        <is>
          <t>캡션 변경(기존: 슈트 설정 화면 캡처) / 01에 삽입 확인 → 수집 완료 처리</t>
        </is>
      </c>
    </row>
    <row r="49" ht="15" customHeight="1">
      <c r="A49" s="5" t="n">
        <v>46</v>
      </c>
      <c r="B49" s="5" t="inlineStr">
        <is>
          <t>1.4.5</t>
        </is>
      </c>
      <c r="C49" s="6" t="inlineStr">
        <is>
          <t>분류정보의 생성 및 지시</t>
        </is>
      </c>
      <c r="D49" s="5" t="inlineStr">
        <is>
          <t>p.38</t>
        </is>
      </c>
      <c r="E49" s="5" t="inlineStr">
        <is>
          <t>[사진 2]</t>
        </is>
      </c>
      <c r="F49" s="6" t="inlineStr">
        <is>
          <t>분류 영역 전경 사진</t>
        </is>
      </c>
      <c r="G49" s="6" t="inlineStr">
        <is>
          <t>사진</t>
        </is>
      </c>
      <c r="H49" s="5" t="n"/>
      <c r="I49" s="5" t="n"/>
      <c r="J49" s="5" t="n"/>
      <c r="K49" s="5" t="n"/>
    </row>
    <row r="50" ht="15" customHeight="1">
      <c r="A50" s="5" t="n">
        <v>47</v>
      </c>
      <c r="B50" s="5" t="inlineStr">
        <is>
          <t>1.4.6</t>
        </is>
      </c>
      <c r="C50" s="6" t="inlineStr">
        <is>
          <t>분류 작업</t>
        </is>
      </c>
      <c r="D50" s="5" t="inlineStr">
        <is>
          <t>p.39</t>
        </is>
      </c>
      <c r="E50" s="5" t="inlineStr">
        <is>
          <t>[사진 1]</t>
        </is>
      </c>
      <c r="F50" s="6" t="inlineStr">
        <is>
          <t>휠소터·3D 소터·싱귤레이터 사진</t>
        </is>
      </c>
      <c r="G50" s="6" t="inlineStr">
        <is>
          <t>사진</t>
        </is>
      </c>
      <c r="H50" s="5" t="n"/>
      <c r="I50" s="5" t="n"/>
      <c r="J50" s="5" t="n"/>
      <c r="K50" s="5" t="n"/>
    </row>
    <row r="51" ht="15" customHeight="1">
      <c r="A51" s="5" t="n">
        <v>48</v>
      </c>
      <c r="B51" s="5" t="inlineStr">
        <is>
          <t>1.4.6</t>
        </is>
      </c>
      <c r="C51" s="6" t="inlineStr">
        <is>
          <t>분류 작업</t>
        </is>
      </c>
      <c r="D51" s="5" t="inlineStr">
        <is>
          <t>p.39</t>
        </is>
      </c>
      <c r="E51" s="5" t="inlineStr">
        <is>
          <t>[사진 2]</t>
        </is>
      </c>
      <c r="F51" s="6" t="inlineStr">
        <is>
          <t>SW(WMS) 소터 모니터링 – 투입구(DWS)별·시간대별 분류 처리 건수</t>
        </is>
      </c>
      <c r="G51" s="6" t="inlineStr">
        <is>
          <t>캡처</t>
        </is>
      </c>
      <c r="H51" s="5" t="n"/>
      <c r="I51" s="5" t="inlineStr">
        <is>
          <t>O</t>
        </is>
      </c>
      <c r="J51" s="5" t="inlineStr">
        <is>
          <t>O</t>
        </is>
      </c>
      <c r="K51" s="5" t="inlineStr">
        <is>
          <t>캡션 변경(기존: 소터 모니터링 화면 캡처) / 01에 삽입 확인 → 수집 완료 처리</t>
        </is>
      </c>
    </row>
    <row r="52" ht="15" customHeight="1">
      <c r="A52" s="5" t="n">
        <v>49</v>
      </c>
      <c r="B52" s="5" t="inlineStr">
        <is>
          <t>1.5.1</t>
        </is>
      </c>
      <c r="C52" s="6" t="inlineStr">
        <is>
          <t>포장장소로의 정보 제공 및 이동</t>
        </is>
      </c>
      <c r="D52" s="5" t="inlineStr">
        <is>
          <t>p.40</t>
        </is>
      </c>
      <c r="E52" s="5" t="inlineStr">
        <is>
          <t>[사진 1]</t>
        </is>
      </c>
      <c r="F52" s="6" t="inlineStr">
        <is>
          <t>SW(WMS) 픽킹 리스트 관리 – 피킹·패킹 진행 현황 및 패킹 대기 작업 실시간 조회</t>
        </is>
      </c>
      <c r="G52" s="6" t="inlineStr">
        <is>
          <t>캡처</t>
        </is>
      </c>
      <c r="H52" s="5" t="n"/>
      <c r="I52" s="5" t="inlineStr">
        <is>
          <t>O</t>
        </is>
      </c>
      <c r="J52" s="5" t="inlineStr">
        <is>
          <t>O</t>
        </is>
      </c>
      <c r="K52" s="5" t="inlineStr">
        <is>
          <t>캡션 변경(기존: 패킹 리스트 화면 캡처) / 01에 삽입 확인 → 수집 완료 처리</t>
        </is>
      </c>
    </row>
    <row r="53" ht="15" customHeight="1">
      <c r="A53" s="5" t="n">
        <v>50</v>
      </c>
      <c r="B53" s="5" t="inlineStr">
        <is>
          <t>1.5.1</t>
        </is>
      </c>
      <c r="C53" s="6" t="inlineStr">
        <is>
          <t>포장장소로의 정보 제공 및 이동</t>
        </is>
      </c>
      <c r="D53" s="5" t="inlineStr">
        <is>
          <t>p.40</t>
        </is>
      </c>
      <c r="E53" s="5" t="inlineStr">
        <is>
          <t>[사진 2]</t>
        </is>
      </c>
      <c r="F53" s="6" t="inlineStr">
        <is>
          <t>포장대 전경 사진</t>
        </is>
      </c>
      <c r="G53" s="6" t="inlineStr">
        <is>
          <t>사진</t>
        </is>
      </c>
      <c r="H53" s="5" t="n"/>
      <c r="I53" s="5" t="n"/>
      <c r="J53" s="5" t="n"/>
      <c r="K53" s="5" t="n"/>
    </row>
    <row r="54" ht="15" customHeight="1">
      <c r="A54" s="5" t="n">
        <v>51</v>
      </c>
      <c r="B54" s="5" t="inlineStr">
        <is>
          <t>1.5.2</t>
        </is>
      </c>
      <c r="C54" s="6" t="inlineStr">
        <is>
          <t>포장재 및 포장물품 관리</t>
        </is>
      </c>
      <c r="D54" s="5" t="inlineStr">
        <is>
          <t>p.41</t>
        </is>
      </c>
      <c r="E54" s="5" t="inlineStr">
        <is>
          <t>[사진 1]</t>
        </is>
      </c>
      <c r="F54" s="6" t="inlineStr">
        <is>
          <t>포장재 보관 구역 사진</t>
        </is>
      </c>
      <c r="G54" s="6" t="inlineStr">
        <is>
          <t>사진</t>
        </is>
      </c>
      <c r="H54" s="5" t="n"/>
      <c r="I54" s="5" t="n"/>
      <c r="J54" s="5" t="n"/>
      <c r="K54" s="5" t="n"/>
    </row>
    <row r="55" ht="15" customHeight="1">
      <c r="A55" s="5" t="n">
        <v>52</v>
      </c>
      <c r="B55" s="5" t="inlineStr">
        <is>
          <t>1.5.2</t>
        </is>
      </c>
      <c r="C55" s="6" t="inlineStr">
        <is>
          <t>포장재 및 포장물품 관리</t>
        </is>
      </c>
      <c r="D55" s="5" t="inlineStr">
        <is>
          <t>p.41</t>
        </is>
      </c>
      <c r="E55" s="5" t="inlineStr">
        <is>
          <t>[사진 2]</t>
        </is>
      </c>
      <c r="F55" s="6" t="inlineStr">
        <is>
          <t>SW(WMS) SKU 관리 – 부자재(포장재) 품목별 재고 관리</t>
        </is>
      </c>
      <c r="G55" s="6" t="inlineStr">
        <is>
          <t>캡처</t>
        </is>
      </c>
      <c r="H55" s="5" t="n"/>
      <c r="I55" s="5" t="inlineStr">
        <is>
          <t>O</t>
        </is>
      </c>
      <c r="J55" s="5" t="inlineStr">
        <is>
          <t>O</t>
        </is>
      </c>
      <c r="K55" s="5" t="n"/>
    </row>
    <row r="56" ht="15" customHeight="1">
      <c r="A56" s="5" t="n">
        <v>53</v>
      </c>
      <c r="B56" s="5" t="inlineStr">
        <is>
          <t>1.5.3</t>
        </is>
      </c>
      <c r="C56" s="6" t="inlineStr">
        <is>
          <t>검품/검수 및 오류관리(인식 및 처리)</t>
        </is>
      </c>
      <c r="D56" s="5" t="inlineStr">
        <is>
          <t>p.42~43</t>
        </is>
      </c>
      <c r="E56" s="5" t="inlineStr">
        <is>
          <t>[사진 1]</t>
        </is>
      </c>
      <c r="F56" s="6" t="inlineStr">
        <is>
          <t>SW(WMS) 출고 검품 – SKU 스캔 검품·녹화 시작·박스/완충재 자동 선택·출고 처리</t>
        </is>
      </c>
      <c r="G56" s="6" t="inlineStr">
        <is>
          <t>캡처</t>
        </is>
      </c>
      <c r="H56" s="5" t="n"/>
      <c r="I56" s="5" t="inlineStr">
        <is>
          <t>O</t>
        </is>
      </c>
      <c r="J56" s="5" t="inlineStr">
        <is>
          <t>O</t>
        </is>
      </c>
      <c r="K56" s="5" t="inlineStr">
        <is>
          <t>캡션 변경(기존: 검품 스캔 화면) / 01에 삽입 확인 → 수집 완료 처리</t>
        </is>
      </c>
    </row>
    <row r="57" ht="15" customHeight="1">
      <c r="A57" s="5" t="n">
        <v>54</v>
      </c>
      <c r="B57" s="5" t="inlineStr">
        <is>
          <t>1.5.3</t>
        </is>
      </c>
      <c r="C57" s="6" t="inlineStr">
        <is>
          <t>검품/검수 및 오류관리(인식 및 처리)</t>
        </is>
      </c>
      <c r="D57" s="5" t="inlineStr">
        <is>
          <t>p.42~43</t>
        </is>
      </c>
      <c r="E57" s="5" t="inlineStr">
        <is>
          <t>[사진 2]</t>
        </is>
      </c>
      <c r="F57" s="6" t="inlineStr">
        <is>
          <t>SW(WMS) 주문 상세 – 패킹 녹화 영상(카메라 2대) 주문별 매핑</t>
        </is>
      </c>
      <c r="G57" s="6" t="inlineStr">
        <is>
          <t>캡처</t>
        </is>
      </c>
      <c r="H57" s="5" t="n"/>
      <c r="I57" s="5" t="inlineStr">
        <is>
          <t>O</t>
        </is>
      </c>
      <c r="J57" s="5" t="inlineStr">
        <is>
          <t>O</t>
        </is>
      </c>
      <c r="K57" s="5" t="inlineStr">
        <is>
          <t>캡션 변경(기존: 녹화 영상 조회 화면 캡처) / 01에 삽입 확인 → 수집 완료 처리</t>
        </is>
      </c>
    </row>
    <row r="58" ht="15" customHeight="1">
      <c r="A58" s="5" t="n">
        <v>55</v>
      </c>
      <c r="B58" s="5" t="inlineStr">
        <is>
          <t>1.5.3</t>
        </is>
      </c>
      <c r="C58" s="6" t="inlineStr">
        <is>
          <t>검품/검수 및 오류관리(인식 및 처리)</t>
        </is>
      </c>
      <c r="D58" s="5" t="inlineStr">
        <is>
          <t>p.42~43</t>
        </is>
      </c>
      <c r="E58" s="5" t="inlineStr">
        <is>
          <t>[사진 3]</t>
        </is>
      </c>
      <c r="F58" s="5" t="inlineStr">
        <is>
          <t>DWS 계측 사진</t>
        </is>
      </c>
      <c r="G58" s="6" t="inlineStr">
        <is>
          <t>사진</t>
        </is>
      </c>
      <c r="H58" s="5" t="n"/>
      <c r="I58" s="5" t="n"/>
      <c r="J58" s="5" t="n"/>
      <c r="K58" s="5" t="n"/>
    </row>
    <row r="59" ht="15" customHeight="1">
      <c r="A59" s="5" t="n">
        <v>56</v>
      </c>
      <c r="B59" s="5" t="inlineStr">
        <is>
          <t>1.5.3</t>
        </is>
      </c>
      <c r="C59" s="6" t="inlineStr">
        <is>
          <t>검품/검수 및 오류관리(인식 및 처리)</t>
        </is>
      </c>
      <c r="D59" s="5" t="inlineStr">
        <is>
          <t>p.42~43</t>
        </is>
      </c>
      <c r="E59" s="5" t="inlineStr">
        <is>
          <t>[사진 4]</t>
        </is>
      </c>
      <c r="F59" s="6" t="inlineStr">
        <is>
          <t>이상/클레임 보고서 양식</t>
        </is>
      </c>
      <c r="G59" s="6" t="inlineStr">
        <is>
          <t>자료</t>
        </is>
      </c>
      <c r="H59" s="5" t="n"/>
      <c r="I59" s="5" t="n"/>
      <c r="J59" s="5" t="n"/>
      <c r="K59" s="5" t="n"/>
    </row>
    <row r="60" ht="15" customHeight="1">
      <c r="A60" s="5" t="n">
        <v>57</v>
      </c>
      <c r="B60" s="5" t="inlineStr">
        <is>
          <t>1.5.4</t>
        </is>
      </c>
      <c r="C60" s="6" t="inlineStr">
        <is>
          <t>포장 작업</t>
        </is>
      </c>
      <c r="D60" s="5" t="inlineStr">
        <is>
          <t>p.44</t>
        </is>
      </c>
      <c r="E60" s="5" t="inlineStr">
        <is>
          <t>[사진 1]</t>
        </is>
      </c>
      <c r="F60" s="6" t="inlineStr">
        <is>
          <t>포장대·봉함기 사진</t>
        </is>
      </c>
      <c r="G60" s="6" t="inlineStr">
        <is>
          <t>사진</t>
        </is>
      </c>
      <c r="H60" s="5" t="n"/>
      <c r="I60" s="5" t="n"/>
      <c r="J60" s="5" t="n"/>
      <c r="K60" s="5" t="n"/>
    </row>
    <row r="61" ht="15" customHeight="1">
      <c r="A61" s="5" t="n">
        <v>58</v>
      </c>
      <c r="B61" s="5" t="inlineStr">
        <is>
          <t>1.5.5</t>
        </is>
      </c>
      <c r="C61" s="6" t="inlineStr">
        <is>
          <t>배송정보 표시(라벨) 및 부착</t>
        </is>
      </c>
      <c r="D61" s="5" t="inlineStr">
        <is>
          <t>p.45</t>
        </is>
      </c>
      <c r="E61" s="5" t="inlineStr">
        <is>
          <t>[사진 1]</t>
        </is>
      </c>
      <c r="F61" s="6" t="inlineStr">
        <is>
          <t>오토라벨러 사진</t>
        </is>
      </c>
      <c r="G61" s="6" t="inlineStr">
        <is>
          <t>사진</t>
        </is>
      </c>
      <c r="H61" s="5" t="n"/>
      <c r="I61" s="5" t="n"/>
      <c r="J61" s="5" t="n"/>
      <c r="K61" s="5" t="n"/>
    </row>
    <row r="62" ht="15" customHeight="1">
      <c r="A62" s="5" t="n">
        <v>59</v>
      </c>
      <c r="B62" s="5" t="inlineStr">
        <is>
          <t>1.5.5</t>
        </is>
      </c>
      <c r="C62" s="6" t="inlineStr">
        <is>
          <t>배송정보 표시(라벨) 및 부착</t>
        </is>
      </c>
      <c r="D62" s="5" t="inlineStr">
        <is>
          <t>p.45</t>
        </is>
      </c>
      <c r="E62" s="5" t="inlineStr">
        <is>
          <t>[사진 2]</t>
        </is>
      </c>
      <c r="F62" s="6" t="inlineStr">
        <is>
          <t>SW(WMS) 주문 상세 – 택배사·송장번호 자동 매칭 및 박스·완충재·무게 기록</t>
        </is>
      </c>
      <c r="G62" s="6" t="inlineStr">
        <is>
          <t>캡처</t>
        </is>
      </c>
      <c r="H62" s="5" t="n"/>
      <c r="I62" s="5" t="inlineStr">
        <is>
          <t>O</t>
        </is>
      </c>
      <c r="J62" s="5" t="inlineStr">
        <is>
          <t>O</t>
        </is>
      </c>
      <c r="K62" s="5" t="inlineStr">
        <is>
          <t>캡션 변경(기존: 송장 출력 화면) / 01에 삽입 확인 → 수집 완료 처리</t>
        </is>
      </c>
    </row>
    <row r="63" ht="15" customHeight="1">
      <c r="A63" s="5" t="n">
        <v>60</v>
      </c>
      <c r="B63" s="5" t="inlineStr">
        <is>
          <t>1.6.1</t>
        </is>
      </c>
      <c r="C63" s="6" t="inlineStr">
        <is>
          <t>발주처별 분류</t>
        </is>
      </c>
      <c r="D63" s="5" t="inlineStr">
        <is>
          <t>p.46~47</t>
        </is>
      </c>
      <c r="E63" s="5" t="inlineStr">
        <is>
          <t>[사진 1]</t>
        </is>
      </c>
      <c r="F63" s="6" t="inlineStr">
        <is>
          <t>슈트별 분류 사진</t>
        </is>
      </c>
      <c r="G63" s="6" t="inlineStr">
        <is>
          <t>사진</t>
        </is>
      </c>
      <c r="H63" s="5" t="n"/>
      <c r="I63" s="5" t="n"/>
      <c r="J63" s="5" t="n"/>
      <c r="K63" s="5" t="n"/>
    </row>
    <row r="64" ht="15" customHeight="1">
      <c r="A64" s="5" t="n">
        <v>61</v>
      </c>
      <c r="B64" s="5" t="inlineStr">
        <is>
          <t>1.6.1</t>
        </is>
      </c>
      <c r="C64" s="6" t="inlineStr">
        <is>
          <t>발주처별 분류</t>
        </is>
      </c>
      <c r="D64" s="5" t="inlineStr">
        <is>
          <t>p.46~47</t>
        </is>
      </c>
      <c r="E64" s="5" t="inlineStr">
        <is>
          <t>[사진 2]</t>
        </is>
      </c>
      <c r="F64" s="6" t="inlineStr">
        <is>
          <t>SW 모바일(PDA) 번들 작업 – MAWB·Route 확인 및 Route 불일치 화물 스캔 차단</t>
        </is>
      </c>
      <c r="G64" s="6" t="inlineStr">
        <is>
          <t>캡처</t>
        </is>
      </c>
      <c r="H64" s="5" t="n"/>
      <c r="I64" s="5" t="inlineStr">
        <is>
          <t>O</t>
        </is>
      </c>
      <c r="J64" s="5" t="inlineStr">
        <is>
          <t>O</t>
        </is>
      </c>
      <c r="K64" s="5" t="inlineStr">
        <is>
          <t>캡션 변경(기존: 번들 검증 PDA 화면) / 01에 삽입 확인 → 수집 완료 처리</t>
        </is>
      </c>
    </row>
    <row r="65" ht="15" customHeight="1">
      <c r="A65" s="5" t="n">
        <v>62</v>
      </c>
      <c r="B65" s="5" t="inlineStr">
        <is>
          <t>1.6.2</t>
        </is>
      </c>
      <c r="C65" s="6" t="inlineStr">
        <is>
          <t>차량입차정보의 인식</t>
        </is>
      </c>
      <c r="D65" s="5" t="inlineStr">
        <is>
          <t>p.48</t>
        </is>
      </c>
      <c r="E65" s="5" t="inlineStr">
        <is>
          <t>[사진 1]</t>
        </is>
      </c>
      <c r="F65" s="6" t="inlineStr">
        <is>
          <t>상차 도크 사진</t>
        </is>
      </c>
      <c r="G65" s="6" t="inlineStr">
        <is>
          <t>사진</t>
        </is>
      </c>
      <c r="H65" s="5" t="n"/>
      <c r="I65" s="5" t="n"/>
      <c r="J65" s="5" t="n"/>
      <c r="K65" s="5" t="n"/>
    </row>
    <row r="66" ht="15" customHeight="1">
      <c r="A66" s="5" t="n">
        <v>63</v>
      </c>
      <c r="B66" s="5" t="inlineStr">
        <is>
          <t>1.6.2</t>
        </is>
      </c>
      <c r="C66" s="6" t="inlineStr">
        <is>
          <t>차량입차정보의 인식</t>
        </is>
      </c>
      <c r="D66" s="5" t="inlineStr">
        <is>
          <t>p.48</t>
        </is>
      </c>
      <c r="E66" s="5" t="inlineStr">
        <is>
          <t>[사진 2]</t>
        </is>
      </c>
      <c r="F66" s="5" t="inlineStr">
        <is>
          <t>TMS MAWB 상세 – 항공편 출항·입항 일정 및 Flight Confirm 관리</t>
        </is>
      </c>
      <c r="G66" s="6" t="inlineStr">
        <is>
          <t>캡처</t>
        </is>
      </c>
      <c r="H66" s="5" t="n"/>
      <c r="I66" s="5" t="inlineStr">
        <is>
          <t>O</t>
        </is>
      </c>
      <c r="J66" s="5" t="inlineStr">
        <is>
          <t>O</t>
        </is>
      </c>
      <c r="K66" s="5" t="inlineStr">
        <is>
          <t>캡션 변경(기존: TLPS 인계 일정 화면) / 01에 삽입 확인 → 수집 완료 처리</t>
        </is>
      </c>
    </row>
    <row r="67" ht="15" customHeight="1">
      <c r="A67" s="5" t="n">
        <v>64</v>
      </c>
      <c r="B67" s="5" t="inlineStr">
        <is>
          <t>1.6.3</t>
        </is>
      </c>
      <c r="C67" s="6" t="inlineStr">
        <is>
          <t>상차순서 관리 및 작업</t>
        </is>
      </c>
      <c r="D67" s="5" t="inlineStr">
        <is>
          <t>p.49~50</t>
        </is>
      </c>
      <c r="E67" s="5" t="inlineStr">
        <is>
          <t>[사진 1]</t>
        </is>
      </c>
      <c r="F67" s="6" t="inlineStr">
        <is>
          <t>상차 작업 사진</t>
        </is>
      </c>
      <c r="G67" s="6" t="inlineStr">
        <is>
          <t>사진</t>
        </is>
      </c>
      <c r="H67" s="5" t="n"/>
      <c r="I67" s="5" t="n"/>
      <c r="J67" s="5" t="n"/>
      <c r="K67" s="5" t="n"/>
    </row>
    <row r="68" ht="15" customHeight="1">
      <c r="A68" s="5" t="n">
        <v>65</v>
      </c>
      <c r="B68" s="5" t="inlineStr">
        <is>
          <t>1.6.3</t>
        </is>
      </c>
      <c r="C68" s="6" t="inlineStr">
        <is>
          <t>상차순서 관리 및 작업</t>
        </is>
      </c>
      <c r="D68" s="5" t="inlineStr">
        <is>
          <t>p.49~50</t>
        </is>
      </c>
      <c r="E68" s="5" t="inlineStr">
        <is>
          <t>[사진 2]</t>
        </is>
      </c>
      <c r="F68" s="6" t="inlineStr">
        <is>
          <t>SW 모바일(PDA) MAWB·번들팩 조회 – 출발 일정별 MAWB 확정 및 번들팩별 수량·무게 확인</t>
        </is>
      </c>
      <c r="G68" s="6" t="inlineStr">
        <is>
          <t>캡처</t>
        </is>
      </c>
      <c r="H68" s="5" t="n"/>
      <c r="I68" s="5" t="inlineStr">
        <is>
          <t>O</t>
        </is>
      </c>
      <c r="J68" s="5" t="inlineStr">
        <is>
          <t>O</t>
        </is>
      </c>
      <c r="K68" s="5" t="inlineStr">
        <is>
          <t>캡션 변경(기존: 인계 확인(스캔) 화면) / 01에 삽입 확인 → 수집 완료 처리</t>
        </is>
      </c>
    </row>
    <row r="69" ht="15" customHeight="1">
      <c r="A69" s="5" t="n">
        <v>66</v>
      </c>
      <c r="B69" s="5" t="inlineStr">
        <is>
          <t>1.6.4</t>
        </is>
      </c>
      <c r="C69" s="6" t="inlineStr">
        <is>
          <t>출고정보의 전달</t>
        </is>
      </c>
      <c r="D69" s="5" t="inlineStr">
        <is>
          <t>p.51~52</t>
        </is>
      </c>
      <c r="E69" s="5" t="inlineStr">
        <is>
          <t>[사진 1]</t>
        </is>
      </c>
      <c r="F69" s="6" t="inlineStr">
        <is>
          <t>TX 어드민 배송 추적 – 포장번호별 출고·DPC 입고·간선 이동 이력 실시간 조회</t>
        </is>
      </c>
      <c r="G69" s="6" t="inlineStr">
        <is>
          <t>캡처</t>
        </is>
      </c>
      <c r="H69" s="5" t="n"/>
      <c r="I69" s="5" t="inlineStr">
        <is>
          <t>O</t>
        </is>
      </c>
      <c r="J69" s="5" t="inlineStr">
        <is>
          <t>O</t>
        </is>
      </c>
      <c r="K69" s="5" t="inlineStr">
        <is>
          <t>캡션 변경(기존: 출고 확정·송장 조회 화면) / 01에 삽입 확인 → 수집 완료 처리</t>
        </is>
      </c>
    </row>
    <row r="70" ht="15" customHeight="1">
      <c r="A70" s="5" t="n">
        <v>67</v>
      </c>
      <c r="B70" s="5" t="inlineStr">
        <is>
          <t>1.6.4</t>
        </is>
      </c>
      <c r="C70" s="6" t="inlineStr">
        <is>
          <t>출고정보의 전달</t>
        </is>
      </c>
      <c r="D70" s="5" t="inlineStr">
        <is>
          <t>p.51~52</t>
        </is>
      </c>
      <c r="E70" s="5" t="inlineStr">
        <is>
          <t>[사진 2]</t>
        </is>
      </c>
      <c r="F70" s="6" t="inlineStr">
        <is>
          <t>Smartship(OMS) 배송 현황 – 출고 후 배송 단계·배송사·송장번호 자동 연동</t>
        </is>
      </c>
      <c r="G70" s="6" t="inlineStr">
        <is>
          <t>캡처</t>
        </is>
      </c>
      <c r="H70" s="5" t="n"/>
      <c r="I70" s="5" t="inlineStr">
        <is>
          <t>O</t>
        </is>
      </c>
      <c r="J70" s="5" t="inlineStr">
        <is>
          <t>O</t>
        </is>
      </c>
      <c r="K70" s="5" t="inlineStr">
        <is>
          <t>캡션 변경(기존: 출고 영상 매핑 화면) / 01에 삽입 확인 → 수집 완료 처리</t>
        </is>
      </c>
    </row>
    <row r="71" ht="15" customHeight="1">
      <c r="A71" s="5" t="n">
        <v>68</v>
      </c>
      <c r="B71" s="5" t="inlineStr">
        <is>
          <t>2.1.1</t>
        </is>
      </c>
      <c r="C71" s="6" t="inlineStr">
        <is>
          <t>도크 및 바닥성능(재질, 평탄도 및 하중)</t>
        </is>
      </c>
      <c r="D71" s="5" t="inlineStr">
        <is>
          <t>p.53~54</t>
        </is>
      </c>
      <c r="E71" s="5" t="inlineStr">
        <is>
          <t>[사진 1]</t>
        </is>
      </c>
      <c r="F71" s="6" t="inlineStr">
        <is>
          <t>도크·레벨러·차양 사진</t>
        </is>
      </c>
      <c r="G71" s="6" t="inlineStr">
        <is>
          <t>사진</t>
        </is>
      </c>
      <c r="H71" s="5" t="n"/>
      <c r="I71" s="5" t="n"/>
      <c r="J71" s="5" t="n"/>
      <c r="K71" s="5" t="inlineStr">
        <is>
          <t>실내 접안(트럭이 건물 안에 접안 + 천장) 보이게 촬영 — 차양·쉘터 V 판단 근거</t>
        </is>
      </c>
    </row>
    <row r="72" ht="15" customHeight="1">
      <c r="A72" s="5" t="n">
        <v>69</v>
      </c>
      <c r="B72" s="5" t="inlineStr">
        <is>
          <t>2.1.1</t>
        </is>
      </c>
      <c r="C72" s="6" t="inlineStr">
        <is>
          <t>도크 및 바닥성능(재질, 평탄도 및 하중)</t>
        </is>
      </c>
      <c r="D72" s="5" t="inlineStr">
        <is>
          <t>p.53~54</t>
        </is>
      </c>
      <c r="E72" s="5" t="inlineStr">
        <is>
          <t>[사진 2]</t>
        </is>
      </c>
      <c r="F72" s="6" t="inlineStr">
        <is>
          <t>바닥 평탄도·하중 근거(건축 설계도서 또는 임대인 제원표)</t>
        </is>
      </c>
      <c r="G72" s="6" t="inlineStr">
        <is>
          <t>자료</t>
        </is>
      </c>
      <c r="H72" s="5" t="n"/>
      <c r="I72" s="5" t="n"/>
      <c r="J72" s="5" t="n"/>
      <c r="K72" s="5" t="n"/>
    </row>
    <row r="73" ht="29.25" customHeight="1">
      <c r="A73" s="5" t="n">
        <v>70</v>
      </c>
      <c r="B73" s="5" t="inlineStr">
        <is>
          <t>2.1.1</t>
        </is>
      </c>
      <c r="C73" s="6" t="inlineStr">
        <is>
          <t>도크 및 바닥성능(재질, 평탄도 및 하중)</t>
        </is>
      </c>
      <c r="D73" s="5" t="inlineStr">
        <is>
          <t>p.53~54</t>
        </is>
      </c>
      <c r="E73" s="5" t="inlineStr">
        <is>
          <t>[사진 3]</t>
        </is>
      </c>
      <c r="F73" s="6" t="inlineStr">
        <is>
          <t>바닥 라인 표시 사진</t>
        </is>
      </c>
      <c r="G73" s="6" t="inlineStr">
        <is>
          <t>사진</t>
        </is>
      </c>
      <c r="H73" s="5" t="n"/>
      <c r="I73" s="5" t="n"/>
      <c r="J73" s="5" t="n"/>
      <c r="K73" s="5" t="n"/>
    </row>
    <row r="74" ht="29.25" customHeight="1">
      <c r="A74" s="5" t="n">
        <v>71</v>
      </c>
      <c r="B74" s="5" t="inlineStr">
        <is>
          <t>2.1.2</t>
        </is>
      </c>
      <c r="C74" s="6" t="inlineStr">
        <is>
          <t>내부구조(층고 및 기둥의 배치구조)</t>
        </is>
      </c>
      <c r="D74" s="5" t="inlineStr">
        <is>
          <t>p.55</t>
        </is>
      </c>
      <c r="E74" s="5" t="inlineStr">
        <is>
          <t>[사진 1]</t>
        </is>
      </c>
      <c r="F74" s="6" t="inlineStr">
        <is>
          <t>평면도(기둥 격자 치수)</t>
        </is>
      </c>
      <c r="G74" s="6" t="inlineStr">
        <is>
          <t>자료</t>
        </is>
      </c>
      <c r="H74" s="5" t="n"/>
      <c r="I74" s="5" t="n"/>
      <c r="J74" s="5" t="n"/>
      <c r="K74" s="5" t="inlineStr">
        <is>
          <t>유형 정정(사진→자료)</t>
        </is>
      </c>
    </row>
    <row r="75" ht="29.25" customHeight="1">
      <c r="A75" s="5" t="n">
        <v>72</v>
      </c>
      <c r="B75" s="5" t="inlineStr">
        <is>
          <t>2.1.2</t>
        </is>
      </c>
      <c r="C75" s="6" t="inlineStr">
        <is>
          <t>내부구조(층고 및 기둥의 배치구조)</t>
        </is>
      </c>
      <c r="D75" s="5" t="inlineStr">
        <is>
          <t>p.55</t>
        </is>
      </c>
      <c r="E75" s="5" t="inlineStr">
        <is>
          <t>[사진 2]</t>
        </is>
      </c>
      <c r="F75" s="6" t="inlineStr">
        <is>
          <t>보관 영역 전경(층고) 사진</t>
        </is>
      </c>
      <c r="G75" s="6" t="inlineStr">
        <is>
          <t>사진</t>
        </is>
      </c>
      <c r="H75" s="5" t="n"/>
      <c r="I75" s="5" t="n"/>
      <c r="J75" s="5" t="n"/>
      <c r="K75" s="5" t="n"/>
    </row>
    <row r="76" ht="29.25" customHeight="1">
      <c r="A76" s="5" t="n">
        <v>73</v>
      </c>
      <c r="B76" s="5" t="inlineStr">
        <is>
          <t>2.1.3</t>
        </is>
      </c>
      <c r="C76" s="6" t="inlineStr">
        <is>
          <t>배치 및 동선 관리</t>
        </is>
      </c>
      <c r="D76" s="5" t="inlineStr">
        <is>
          <t>p.56</t>
        </is>
      </c>
      <c r="E76" s="5" t="inlineStr">
        <is>
          <t>[사진 1]</t>
        </is>
      </c>
      <c r="F76" s="6" t="inlineStr">
        <is>
          <t>운영 Lay-out 도면</t>
        </is>
      </c>
      <c r="G76" s="6" t="inlineStr">
        <is>
          <t>자료</t>
        </is>
      </c>
      <c r="H76" s="5" t="n"/>
      <c r="I76" s="5" t="n"/>
      <c r="J76" s="5" t="n"/>
      <c r="K76" s="5" t="n"/>
    </row>
    <row r="77" ht="15" customHeight="1">
      <c r="A77" s="5" t="n">
        <v>74</v>
      </c>
      <c r="B77" s="5" t="inlineStr">
        <is>
          <t>2.1.3</t>
        </is>
      </c>
      <c r="C77" s="6" t="inlineStr">
        <is>
          <t>배치 및 동선 관리</t>
        </is>
      </c>
      <c r="D77" s="5" t="inlineStr">
        <is>
          <t>p.56</t>
        </is>
      </c>
      <c r="E77" s="5" t="inlineStr">
        <is>
          <t>[사진 2]</t>
        </is>
      </c>
      <c r="F77" s="6" t="inlineStr">
        <is>
          <t>램프웨이·동선 표시 사진</t>
        </is>
      </c>
      <c r="G77" s="6" t="inlineStr">
        <is>
          <t>사진</t>
        </is>
      </c>
      <c r="H77" s="5" t="n"/>
      <c r="I77" s="5" t="n"/>
      <c r="J77" s="5" t="n"/>
      <c r="K77" s="5" t="n"/>
    </row>
    <row r="78" ht="15" customHeight="1">
      <c r="A78" s="5" t="n">
        <v>75</v>
      </c>
      <c r="B78" s="5" t="inlineStr">
        <is>
          <t>2.1.4</t>
        </is>
      </c>
      <c r="C78" s="6" t="inlineStr">
        <is>
          <t>작업환경 관리(공조, 온도, 습도 등)</t>
        </is>
      </c>
      <c r="D78" s="5" t="inlineStr">
        <is>
          <t>p.57</t>
        </is>
      </c>
      <c r="E78" s="5" t="inlineStr">
        <is>
          <t>[사진 1]</t>
        </is>
      </c>
      <c r="F78" s="6" t="inlineStr">
        <is>
          <t>조도·온습도 측정 기록</t>
        </is>
      </c>
      <c r="G78" s="6" t="inlineStr">
        <is>
          <t>자료</t>
        </is>
      </c>
      <c r="H78" s="5" t="n"/>
      <c r="I78" s="5" t="n"/>
      <c r="J78" s="5" t="n"/>
      <c r="K78" s="5" t="n"/>
    </row>
    <row r="79" ht="15" customHeight="1">
      <c r="A79" s="5" t="n">
        <v>76</v>
      </c>
      <c r="B79" s="5" t="inlineStr">
        <is>
          <t>2.1.4</t>
        </is>
      </c>
      <c r="C79" s="6" t="inlineStr">
        <is>
          <t>작업환경 관리(공조, 온도, 습도 등)</t>
        </is>
      </c>
      <c r="D79" s="5" t="inlineStr">
        <is>
          <t>p.57</t>
        </is>
      </c>
      <c r="E79" s="5" t="inlineStr">
        <is>
          <t>[사진 2]</t>
        </is>
      </c>
      <c r="F79" s="6" t="inlineStr">
        <is>
          <t>방충·방서 관리 기록</t>
        </is>
      </c>
      <c r="G79" s="6" t="inlineStr">
        <is>
          <t>자료</t>
        </is>
      </c>
      <c r="H79" s="5" t="n"/>
      <c r="I79" s="5" t="n"/>
      <c r="J79" s="5" t="n"/>
      <c r="K79" s="5" t="n"/>
    </row>
    <row r="80" ht="15" customHeight="1">
      <c r="A80" s="5" t="n">
        <v>77</v>
      </c>
      <c r="B80" s="5" t="inlineStr">
        <is>
          <t>2.1.4</t>
        </is>
      </c>
      <c r="C80" s="6" t="inlineStr">
        <is>
          <t>작업환경 관리(공조, 온도, 습도 등)</t>
        </is>
      </c>
      <c r="D80" s="5" t="inlineStr">
        <is>
          <t>p.57</t>
        </is>
      </c>
      <c r="E80" s="5" t="inlineStr">
        <is>
          <t>[사진 3]</t>
        </is>
      </c>
      <c r="F80" s="6" t="inlineStr">
        <is>
          <t>휴게실 사진</t>
        </is>
      </c>
      <c r="G80" s="6" t="inlineStr">
        <is>
          <t>사진</t>
        </is>
      </c>
      <c r="H80" s="5" t="n"/>
      <c r="I80" s="5" t="n"/>
      <c r="J80" s="5" t="n"/>
      <c r="K80" s="5" t="n"/>
    </row>
    <row r="81" ht="15" customHeight="1">
      <c r="A81" s="5" t="n">
        <v>78</v>
      </c>
      <c r="B81" s="5" t="inlineStr">
        <is>
          <t>2.1.5</t>
        </is>
      </c>
      <c r="C81" s="6" t="inlineStr">
        <is>
          <t>재해 및 안전관리(방화, 내진, 소방·대피시설, 안전사고관리 등)</t>
        </is>
      </c>
      <c r="D81" s="5" t="inlineStr">
        <is>
          <t>p.58~60</t>
        </is>
      </c>
      <c r="E81" s="5" t="inlineStr">
        <is>
          <t>[사진 1]</t>
        </is>
      </c>
      <c r="F81" s="6" t="inlineStr">
        <is>
          <t>소방시설 자체점검 결과보고서</t>
        </is>
      </c>
      <c r="G81" s="6" t="inlineStr">
        <is>
          <t>자료</t>
        </is>
      </c>
      <c r="H81" s="5" t="n"/>
      <c r="I81" s="5" t="n"/>
      <c r="J81" s="5" t="n"/>
      <c r="K81" s="5" t="n"/>
    </row>
    <row r="82" ht="15" customHeight="1">
      <c r="A82" s="5" t="n">
        <v>79</v>
      </c>
      <c r="B82" s="5" t="inlineStr">
        <is>
          <t>2.1.5</t>
        </is>
      </c>
      <c r="C82" s="6" t="inlineStr">
        <is>
          <t>재해 및 안전관리(방화, 내진, 소방·대피시설, 안전사고관리 등)</t>
        </is>
      </c>
      <c r="D82" s="5" t="inlineStr">
        <is>
          <t>p.58~60</t>
        </is>
      </c>
      <c r="E82" s="5" t="inlineStr">
        <is>
          <t>[사진 2]</t>
        </is>
      </c>
      <c r="F82" s="6" t="inlineStr">
        <is>
          <t>비상구·소화설비 사진</t>
        </is>
      </c>
      <c r="G82" s="6" t="inlineStr">
        <is>
          <t>사진</t>
        </is>
      </c>
      <c r="H82" s="5" t="n"/>
      <c r="I82" s="5" t="n"/>
      <c r="J82" s="5" t="n"/>
      <c r="K82" s="5" t="n"/>
    </row>
    <row r="83" ht="15" customHeight="1">
      <c r="A83" s="5" t="n">
        <v>80</v>
      </c>
      <c r="B83" s="5" t="inlineStr">
        <is>
          <t>2.1.5</t>
        </is>
      </c>
      <c r="C83" s="6" t="inlineStr">
        <is>
          <t>재해 및 안전관리(방화, 내진, 소방·대피시설, 안전사고관리 등)</t>
        </is>
      </c>
      <c r="D83" s="5" t="inlineStr">
        <is>
          <t>p.58~60</t>
        </is>
      </c>
      <c r="E83" s="5" t="inlineStr">
        <is>
          <t>[사진 3]</t>
        </is>
      </c>
      <c r="F83" s="6" t="inlineStr">
        <is>
          <t>2025 근로자 안전보건교육 수료증(분기별 정기교육 1~4차, 올윈에듀)</t>
        </is>
      </c>
      <c r="G83" s="6" t="inlineStr">
        <is>
          <t>자료</t>
        </is>
      </c>
      <c r="H83" s="5" t="n"/>
      <c r="I83" s="5" t="inlineStr">
        <is>
          <t>O</t>
        </is>
      </c>
      <c r="J83" s="5" t="inlineStr">
        <is>
          <t>O</t>
        </is>
      </c>
      <c r="K83" s="5" t="inlineStr">
        <is>
          <t>10.15 01에 삽입(서약서 8매 모음 / 기관수료증 1~2쪽)</t>
        </is>
      </c>
    </row>
    <row r="84" ht="29.25" customHeight="1">
      <c r="A84" s="5" t="n">
        <v>81</v>
      </c>
      <c r="B84" s="5" t="inlineStr">
        <is>
          <t>2.1.5</t>
        </is>
      </c>
      <c r="C84" s="6" t="inlineStr">
        <is>
          <t>재해 및 안전관리(방화, 내진, 소방·대피시설, 안전사고관리 등)</t>
        </is>
      </c>
      <c r="D84" s="5" t="inlineStr">
        <is>
          <t>p.58~60</t>
        </is>
      </c>
      <c r="E84" s="5" t="inlineStr">
        <is>
          <t>[사진 4]</t>
        </is>
      </c>
      <c r="F84" s="6" t="inlineStr">
        <is>
          <t>SW(WMS) 공정별 인원관리(QR, 시범 운영 중) – 공정별 현재 투입 인원 파악(비상 시 인원 확인)</t>
        </is>
      </c>
      <c r="G84" s="6" t="inlineStr">
        <is>
          <t>캡처</t>
        </is>
      </c>
      <c r="H84" s="5" t="n"/>
      <c r="I84" s="5" t="inlineStr">
        <is>
          <t>O</t>
        </is>
      </c>
      <c r="J84" s="5" t="inlineStr">
        <is>
          <t>O</t>
        </is>
      </c>
      <c r="K84" s="5" t="inlineStr">
        <is>
          <t>캡션 변경(기존: 작업자 추적(QR) 화면) / 01에 삽입 확인 → 수집 완료 처리</t>
        </is>
      </c>
    </row>
    <row r="85" ht="29.25" customHeight="1">
      <c r="A85" s="5" t="n">
        <v>82</v>
      </c>
      <c r="B85" s="5" t="inlineStr">
        <is>
          <t>2.1.5</t>
        </is>
      </c>
      <c r="C85" s="6" t="inlineStr">
        <is>
          <t>재해 및 안전관리(방화, 내진, 소방·대피시설, 안전사고관리 등)</t>
        </is>
      </c>
      <c r="D85" s="5" t="inlineStr">
        <is>
          <t>p.58~60</t>
        </is>
      </c>
      <c r="E85" s="5" t="inlineStr">
        <is>
          <t>[사진 5]</t>
        </is>
      </c>
      <c r="F85" s="6" t="inlineStr">
        <is>
          <t>지게차 안전작업 실천 서약서(2026.06.23, 영종센터 운전자 8명)</t>
        </is>
      </c>
      <c r="G85" s="6" t="inlineStr">
        <is>
          <t>자료</t>
        </is>
      </c>
      <c r="H85" s="5" t="n"/>
      <c r="I85" s="5" t="inlineStr">
        <is>
          <t>O</t>
        </is>
      </c>
      <c r="J85" s="5" t="inlineStr">
        <is>
          <t>O</t>
        </is>
      </c>
      <c r="K85" s="5" t="inlineStr">
        <is>
          <t>10.15 01에 삽입(서약서 8매 모음 / 기관수료증 1~2쪽)</t>
        </is>
      </c>
    </row>
    <row r="86" ht="29.25" customHeight="1">
      <c r="A86" s="5" t="n">
        <v>83</v>
      </c>
      <c r="B86" s="5" t="inlineStr">
        <is>
          <t>2.2.1</t>
        </is>
      </c>
      <c r="C86" s="6" t="inlineStr">
        <is>
          <t>비용 절감</t>
        </is>
      </c>
      <c r="D86" s="5" t="inlineStr">
        <is>
          <t>p.61</t>
        </is>
      </c>
      <c r="E86" s="5" t="inlineStr">
        <is>
          <t>[사진 1]</t>
        </is>
      </c>
      <c r="F86" s="6" t="inlineStr">
        <is>
          <t>최근 3년 물류비·절감률 실적표</t>
        </is>
      </c>
      <c r="G86" s="6" t="inlineStr">
        <is>
          <t>자료</t>
        </is>
      </c>
      <c r="H86" s="5" t="n"/>
      <c r="I86" s="5" t="n"/>
      <c r="J86" s="5" t="n"/>
      <c r="K86" s="5" t="n"/>
    </row>
    <row r="87" ht="15" customHeight="1">
      <c r="A87" s="5" t="n">
        <v>84</v>
      </c>
      <c r="B87" s="5" t="inlineStr">
        <is>
          <t>2.2.1</t>
        </is>
      </c>
      <c r="C87" s="6" t="inlineStr">
        <is>
          <t>비용 절감</t>
        </is>
      </c>
      <c r="D87" s="5" t="inlineStr">
        <is>
          <t>p.61</t>
        </is>
      </c>
      <c r="E87" s="5" t="inlineStr">
        <is>
          <t>[사진 2]</t>
        </is>
      </c>
      <c r="F87" s="6" t="inlineStr">
        <is>
          <t>월간 성과보고 자료</t>
        </is>
      </c>
      <c r="G87" s="6" t="inlineStr">
        <is>
          <t>자료</t>
        </is>
      </c>
      <c r="H87" s="5" t="n"/>
      <c r="I87" s="5" t="n"/>
      <c r="J87" s="5" t="n"/>
      <c r="K87" s="5" t="n"/>
    </row>
    <row r="88" ht="15" customHeight="1">
      <c r="A88" s="5" t="n">
        <v>85</v>
      </c>
      <c r="B88" s="5" t="inlineStr">
        <is>
          <t>2.2.2</t>
        </is>
      </c>
      <c r="C88" s="6" t="inlineStr">
        <is>
          <t>생산성 향상</t>
        </is>
      </c>
      <c r="D88" s="5" t="inlineStr">
        <is>
          <t>p.62</t>
        </is>
      </c>
      <c r="E88" s="5" t="inlineStr">
        <is>
          <t>[사진 1]</t>
        </is>
      </c>
      <c r="F88" s="6" t="inlineStr">
        <is>
          <t>SW(WMS) 작업자 추적(QR, 시범 운영 중) – 공정별·인원별 작업자 수·처리량·작업시간 집계 화면</t>
        </is>
      </c>
      <c r="G88" s="6" t="inlineStr">
        <is>
          <t>캡처</t>
        </is>
      </c>
      <c r="H88" s="5" t="n"/>
      <c r="I88" s="5" t="inlineStr">
        <is>
          <t>O</t>
        </is>
      </c>
      <c r="J88" s="5" t="inlineStr">
        <is>
          <t>O</t>
        </is>
      </c>
      <c r="K88" s="5" t="inlineStr">
        <is>
          <t>캡션 변경(기존: 작업자 추적 화면·리포트 캡처) / 01에 삽입 확인 → 수집 완료 처리</t>
        </is>
      </c>
    </row>
    <row r="89" ht="15" customHeight="1">
      <c r="A89" s="5" t="n">
        <v>86</v>
      </c>
      <c r="B89" s="5" t="inlineStr">
        <is>
          <t>2.2.2</t>
        </is>
      </c>
      <c r="C89" s="6" t="inlineStr">
        <is>
          <t>생산성 향상</t>
        </is>
      </c>
      <c r="D89" s="5" t="inlineStr">
        <is>
          <t>p.63</t>
        </is>
      </c>
      <c r="E89" s="5" t="inlineStr">
        <is>
          <t>[사진 2]</t>
        </is>
      </c>
      <c r="F89" s="6" t="inlineStr">
        <is>
          <t>월별 UPH 실적표(2025.11~2026.09) – 공정별 출고 박스÷투입 인시, 풀필먼트 UPH 19.3→27.6(약 43% 향상)</t>
        </is>
      </c>
      <c r="G89" s="6" t="inlineStr">
        <is>
          <t>자료</t>
        </is>
      </c>
      <c r="H89" s="5" t="n"/>
      <c r="I89" s="5" t="inlineStr">
        <is>
          <t>O</t>
        </is>
      </c>
      <c r="J89" s="5" t="inlineStr">
        <is>
          <t>O</t>
        </is>
      </c>
      <c r="K89" s="5" t="inlineStr">
        <is>
          <t>10.15: 기존 캡션 「최근 3년 UPH 실적표」 → 운영실적 기반 월별 UPH 실적표 작성·삽입</t>
        </is>
      </c>
    </row>
    <row r="90" ht="15" customHeight="1">
      <c r="A90" s="5" t="n">
        <v>87</v>
      </c>
      <c r="B90" s="5" t="inlineStr">
        <is>
          <t>2.2.3</t>
        </is>
      </c>
      <c r="C90" s="6" t="inlineStr">
        <is>
          <t>품질 및 안전관리</t>
        </is>
      </c>
      <c r="D90" s="5" t="inlineStr">
        <is>
          <t>p.64~65</t>
        </is>
      </c>
      <c r="E90" s="5" t="inlineStr">
        <is>
          <t>[사진 1]</t>
        </is>
      </c>
      <c r="F90" s="6" t="inlineStr">
        <is>
          <t>최근 3년 오출고율·정확도 실적</t>
        </is>
      </c>
      <c r="G90" s="6" t="inlineStr">
        <is>
          <t>자료</t>
        </is>
      </c>
      <c r="H90" s="5" t="n"/>
      <c r="I90" s="5" t="n"/>
      <c r="J90" s="5" t="n"/>
      <c r="K90" s="5" t="n"/>
    </row>
    <row r="91" ht="15" customHeight="1">
      <c r="A91" s="5" t="n">
        <v>88</v>
      </c>
      <c r="B91" s="5" t="inlineStr">
        <is>
          <t>2.2.3</t>
        </is>
      </c>
      <c r="C91" s="6" t="inlineStr">
        <is>
          <t>품질 및 안전관리</t>
        </is>
      </c>
      <c r="D91" s="5" t="inlineStr">
        <is>
          <t>p.64~65</t>
        </is>
      </c>
      <c r="E91" s="5" t="inlineStr">
        <is>
          <t>[사진 2]</t>
        </is>
      </c>
      <c r="F91" s="6" t="inlineStr">
        <is>
          <t>클레임 처리 이력</t>
        </is>
      </c>
      <c r="G91" s="6" t="inlineStr">
        <is>
          <t>자료</t>
        </is>
      </c>
      <c r="H91" s="5" t="n"/>
      <c r="I91" s="5" t="n"/>
      <c r="J91" s="5" t="n"/>
      <c r="K91" s="5" t="n"/>
    </row>
    <row r="92" ht="15" customHeight="1">
      <c r="A92" s="5" t="n">
        <v>89</v>
      </c>
      <c r="B92" s="5" t="inlineStr">
        <is>
          <t>2.2.3</t>
        </is>
      </c>
      <c r="C92" s="6" t="inlineStr">
        <is>
          <t>품질 및 안전관리</t>
        </is>
      </c>
      <c r="D92" s="5" t="inlineStr">
        <is>
          <t>p.64~65</t>
        </is>
      </c>
      <c r="E92" s="5" t="inlineStr">
        <is>
          <t>[사진 3]</t>
        </is>
      </c>
      <c r="F92" s="6" t="inlineStr">
        <is>
          <t>2025 근로자 안전보건교육 수료증(분기별 정기교육 1~4차)</t>
        </is>
      </c>
      <c r="G92" s="6" t="inlineStr">
        <is>
          <t>자료</t>
        </is>
      </c>
      <c r="H92" s="5" t="n"/>
      <c r="I92" s="5" t="inlineStr">
        <is>
          <t>O</t>
        </is>
      </c>
      <c r="J92" s="5" t="inlineStr">
        <is>
          <t>O</t>
        </is>
      </c>
      <c r="K92" s="5" t="inlineStr">
        <is>
          <t>10.15 01에 삽입(서약서 8매 모음 / 기관수료증 1~2쪽)</t>
        </is>
      </c>
    </row>
    <row r="93" ht="15" customHeight="1">
      <c r="A93" s="5" t="n">
        <v>90</v>
      </c>
      <c r="B93" s="5" t="inlineStr">
        <is>
          <t>2.2.4</t>
        </is>
      </c>
      <c r="C93" s="6" t="inlineStr">
        <is>
          <t>친환경관리(절수, 절전, 폐기물, 재활용, 조명 등)</t>
        </is>
      </c>
      <c r="D93" s="5" t="inlineStr">
        <is>
          <t>p.66</t>
        </is>
      </c>
      <c r="E93" s="5" t="inlineStr">
        <is>
          <t>[사진 1]</t>
        </is>
      </c>
      <c r="F93" s="6" t="inlineStr">
        <is>
          <t>친환경 포장재 적용률 실적</t>
        </is>
      </c>
      <c r="G93" s="6" t="inlineStr">
        <is>
          <t>자료</t>
        </is>
      </c>
      <c r="H93" s="5" t="n"/>
      <c r="I93" s="5" t="n"/>
      <c r="J93" s="5" t="n"/>
      <c r="K93" s="5" t="n"/>
    </row>
    <row r="94" ht="15" customHeight="1">
      <c r="A94" s="5" t="n">
        <v>91</v>
      </c>
      <c r="B94" s="5" t="inlineStr">
        <is>
          <t>2.2.4</t>
        </is>
      </c>
      <c r="C94" s="6" t="inlineStr">
        <is>
          <t>친환경관리(절수, 절전, 폐기물, 재활용, 조명 등)</t>
        </is>
      </c>
      <c r="D94" s="5" t="inlineStr">
        <is>
          <t>p.66</t>
        </is>
      </c>
      <c r="E94" s="5" t="inlineStr">
        <is>
          <t>[사진 2]</t>
        </is>
      </c>
      <c r="F94" s="6" t="inlineStr">
        <is>
          <t>폐기물 재활용 실적</t>
        </is>
      </c>
      <c r="G94" s="6" t="inlineStr">
        <is>
          <t>자료</t>
        </is>
      </c>
      <c r="H94" s="5" t="n"/>
      <c r="I94" s="5" t="n"/>
      <c r="J94" s="5" t="n"/>
      <c r="K94" s="5" t="n"/>
    </row>
    <row r="95" ht="15" customHeight="1">
      <c r="A95" s="5" t="n">
        <v>92</v>
      </c>
      <c r="B95" s="5" t="inlineStr">
        <is>
          <t>2.2.4</t>
        </is>
      </c>
      <c r="C95" s="6" t="inlineStr">
        <is>
          <t>친환경관리(절수, 절전, 폐기물, 재활용, 조명 등)</t>
        </is>
      </c>
      <c r="D95" s="5" t="inlineStr">
        <is>
          <t>p.66</t>
        </is>
      </c>
      <c r="E95" s="5" t="inlineStr">
        <is>
          <t>[사진 3]</t>
        </is>
      </c>
      <c r="F95" s="5" t="inlineStr">
        <is>
          <t>전력 사용 관리(비작업 구역 소등) 사진</t>
        </is>
      </c>
      <c r="G95" s="6" t="inlineStr">
        <is>
          <t>사진</t>
        </is>
      </c>
      <c r="H95" s="5" t="n"/>
      <c r="I95" s="5" t="n"/>
      <c r="J95" s="5" t="n"/>
      <c r="K95" s="5" t="inlineStr">
        <is>
          <t>10.15: LED 미적용 확인 → 캡션 변경(기존: LED 조명 등 설비 사진)</t>
        </is>
      </c>
    </row>
    <row r="96" ht="15" customHeight="1">
      <c r="A96" s="5" t="n">
        <v>93</v>
      </c>
      <c r="B96" s="5" t="inlineStr">
        <is>
          <t>2.3.1-1</t>
        </is>
      </c>
      <c r="C96" s="6" t="inlineStr">
        <is>
          <t>수발주시스템/상품분류시스템</t>
        </is>
      </c>
      <c r="D96" s="5" t="inlineStr">
        <is>
          <t>p.67~68</t>
        </is>
      </c>
      <c r="E96" s="5" t="inlineStr">
        <is>
          <t>[사진 1]</t>
        </is>
      </c>
      <c r="F96" s="5" t="inlineStr">
        <is>
          <t>Smartship(OMS) 주문 관리 – 판매채널 API 주문 자동 수집 및 풀필먼트 출고 상태 관리</t>
        </is>
      </c>
      <c r="G96" s="6" t="inlineStr">
        <is>
          <t>캡처</t>
        </is>
      </c>
      <c r="H96" s="5" t="n"/>
      <c r="I96" s="5" t="inlineStr">
        <is>
          <t>O</t>
        </is>
      </c>
      <c r="J96" s="5" t="inlineStr">
        <is>
          <t>O</t>
        </is>
      </c>
      <c r="K96" s="5" t="inlineStr">
        <is>
          <t>캡션 변경(기존: Smartship 주문 수집·검증 화면) / 01에 삽입 확인 → 수집 완료 처리</t>
        </is>
      </c>
    </row>
    <row r="97" ht="15" customHeight="1">
      <c r="A97" s="5" t="n">
        <v>94</v>
      </c>
      <c r="B97" s="5" t="inlineStr">
        <is>
          <t>2.3.1-1</t>
        </is>
      </c>
      <c r="C97" s="6" t="inlineStr">
        <is>
          <t>수발주시스템/상품분류시스템</t>
        </is>
      </c>
      <c r="D97" s="5" t="inlineStr">
        <is>
          <t>p.67~68</t>
        </is>
      </c>
      <c r="E97" s="5" t="inlineStr">
        <is>
          <t>[사진 2]</t>
        </is>
      </c>
      <c r="F97" s="6" t="inlineStr">
        <is>
          <t>Smartship(OMS) 쇼핑몰 주문 연동 – 판매채널별 API 자동 수집 결과</t>
        </is>
      </c>
      <c r="G97" s="6" t="inlineStr">
        <is>
          <t>캡처</t>
        </is>
      </c>
      <c r="H97" s="5" t="n"/>
      <c r="I97" s="5" t="inlineStr">
        <is>
          <t>O</t>
        </is>
      </c>
      <c r="J97" s="5" t="inlineStr">
        <is>
          <t>O</t>
        </is>
      </c>
      <c r="K97" s="5" t="inlineStr">
        <is>
          <t>캡션 변경(기존: 채널 연동 현황 화면) / 01에 삽입 확인 → 수집 완료 처리</t>
        </is>
      </c>
    </row>
    <row r="98" ht="15" customHeight="1">
      <c r="A98" s="5" t="n">
        <v>95</v>
      </c>
      <c r="B98" s="5" t="inlineStr">
        <is>
          <t>2.3.1-2</t>
        </is>
      </c>
      <c r="C98" s="6" t="inlineStr">
        <is>
          <t>입출고 및 배차배송시스템</t>
        </is>
      </c>
      <c r="D98" s="5" t="inlineStr">
        <is>
          <t>p.69~70</t>
        </is>
      </c>
      <c r="E98" s="5" t="inlineStr">
        <is>
          <t>[사진 1]</t>
        </is>
      </c>
      <c r="F98" s="6" t="inlineStr">
        <is>
          <t>SW(WMS) 입고 확정 – 도착완료·입고완료 처리 및 재고 반영</t>
        </is>
      </c>
      <c r="G98" s="6" t="inlineStr">
        <is>
          <t>캡처</t>
        </is>
      </c>
      <c r="H98" s="5" t="n"/>
      <c r="I98" s="5" t="inlineStr">
        <is>
          <t>O</t>
        </is>
      </c>
      <c r="J98" s="5" t="inlineStr">
        <is>
          <t>O</t>
        </is>
      </c>
      <c r="K98" s="5" t="inlineStr">
        <is>
          <t>10.14 Word 캡션 수정(이미지 속 캡션과 불일치였음)</t>
        </is>
      </c>
    </row>
    <row r="99" ht="27" customHeight="1">
      <c r="A99" s="5" t="n">
        <v>96</v>
      </c>
      <c r="B99" s="5" t="inlineStr">
        <is>
          <t>2.3.1-2</t>
        </is>
      </c>
      <c r="C99" s="6" t="inlineStr">
        <is>
          <t>입출고 및 배차배송시스템</t>
        </is>
      </c>
      <c r="D99" s="5" t="inlineStr">
        <is>
          <t>p.69~70</t>
        </is>
      </c>
      <c r="E99" s="5" t="inlineStr">
        <is>
          <t>[사진 2]</t>
        </is>
      </c>
      <c r="F99" s="5" t="inlineStr">
        <is>
          <t>TMS MAWB 상세 – 항공편 출항·입항 일정 및 Flight Confirm 관리</t>
        </is>
      </c>
      <c r="G99" s="6" t="inlineStr">
        <is>
          <t>캡처</t>
        </is>
      </c>
      <c r="H99" s="5" t="n"/>
      <c r="I99" s="5" t="inlineStr">
        <is>
          <t>O</t>
        </is>
      </c>
      <c r="J99" s="5" t="inlineStr">
        <is>
          <t>O</t>
        </is>
      </c>
      <c r="K99" s="5" t="inlineStr">
        <is>
          <t>10.14 Word 캡션 수정(이미지 속 캡션과 불일치였음)</t>
        </is>
      </c>
    </row>
    <row r="100" ht="27" customHeight="1">
      <c r="A100" s="5" t="n">
        <v>97</v>
      </c>
      <c r="B100" s="5" t="inlineStr">
        <is>
          <t>2.3.1-3</t>
        </is>
      </c>
      <c r="C100" s="6" t="inlineStr">
        <is>
          <t>재고관리시스템</t>
        </is>
      </c>
      <c r="D100" s="5" t="inlineStr">
        <is>
          <t>p.71</t>
        </is>
      </c>
      <c r="E100" s="5" t="inlineStr">
        <is>
          <t>[사진 1]</t>
        </is>
      </c>
      <c r="F100" s="6" t="inlineStr">
        <is>
          <t>SW(WMS) 재고실사 관리 – 실사 생성(대상 유형·기간 지정) 및 실사 목록</t>
        </is>
      </c>
      <c r="G100" s="6" t="inlineStr">
        <is>
          <t>캡처</t>
        </is>
      </c>
      <c r="H100" s="5" t="n"/>
      <c r="I100" s="5" t="inlineStr">
        <is>
          <t>O</t>
        </is>
      </c>
      <c r="J100" s="5" t="inlineStr">
        <is>
          <t>O</t>
        </is>
      </c>
      <c r="K100" s="5" t="inlineStr">
        <is>
          <t>10.14 Word 캡션 수정(이미지 속 캡션과 불일치였음)</t>
        </is>
      </c>
    </row>
    <row r="101" ht="27" customHeight="1">
      <c r="A101" s="5" t="n">
        <v>98</v>
      </c>
      <c r="B101" s="5" t="inlineStr">
        <is>
          <t>2.3.1-4</t>
        </is>
      </c>
      <c r="C101" s="6" t="inlineStr">
        <is>
          <t>자원관리시스템</t>
        </is>
      </c>
      <c r="D101" s="5" t="inlineStr">
        <is>
          <t>p.72</t>
        </is>
      </c>
      <c r="E101" s="5" t="inlineStr">
        <is>
          <t>[사진 1]</t>
        </is>
      </c>
      <c r="F101" s="6" t="inlineStr">
        <is>
          <t>SW(WMS) 창고 레이아웃 관리 – Zone·Block·설비(소터·DWS) 배치 등록</t>
        </is>
      </c>
      <c r="G101" s="6" t="inlineStr">
        <is>
          <t>캡처</t>
        </is>
      </c>
      <c r="H101" s="5" t="n"/>
      <c r="I101" s="5" t="inlineStr">
        <is>
          <t>O</t>
        </is>
      </c>
      <c r="J101" s="5" t="inlineStr">
        <is>
          <t>O</t>
        </is>
      </c>
      <c r="K101" s="5" t="inlineStr">
        <is>
          <t>캡션 변경(기존: 레이아웃관리·디바이스·작업자 추적 화면) / 01에 삽입 확인 → 수집 완료 처리</t>
        </is>
      </c>
    </row>
    <row r="102" ht="40.5" customHeight="1">
      <c r="A102" s="5" t="n">
        <v>99</v>
      </c>
      <c r="B102" s="5" t="inlineStr">
        <is>
          <t>2.3.1-5</t>
        </is>
      </c>
      <c r="C102" s="6" t="inlineStr">
        <is>
          <t>물류지원시스템</t>
        </is>
      </c>
      <c r="D102" s="5" t="inlineStr">
        <is>
          <t>p.73~74</t>
        </is>
      </c>
      <c r="E102" s="5" t="inlineStr">
        <is>
          <t>[사진 1]</t>
        </is>
      </c>
      <c r="F102" s="6" t="inlineStr">
        <is>
          <t>SW(WMS) 전체 대시보드 – 풀필먼트 공정별 처리 현황</t>
        </is>
      </c>
      <c r="G102" s="6" t="inlineStr">
        <is>
          <t>캡처</t>
        </is>
      </c>
      <c r="H102" s="5" t="n"/>
      <c r="I102" s="5" t="inlineStr">
        <is>
          <t>O</t>
        </is>
      </c>
      <c r="J102" s="5" t="inlineStr">
        <is>
          <t>O</t>
        </is>
      </c>
      <c r="K102" s="5" t="inlineStr">
        <is>
          <t>유형 정정(사진→캡처) / 캡션 변경(기존: 풀필먼트 주문관리 대시보드) / 01에 삽입 확인 → 수집 완료 처리</t>
        </is>
      </c>
    </row>
    <row r="103" ht="27" customHeight="1">
      <c r="A103" s="5" t="n">
        <v>100</v>
      </c>
      <c r="B103" s="5" t="inlineStr">
        <is>
          <t>2.3.1-5</t>
        </is>
      </c>
      <c r="C103" s="6" t="inlineStr">
        <is>
          <t>물류지원시스템</t>
        </is>
      </c>
      <c r="D103" s="5" t="inlineStr">
        <is>
          <t>p.73~74</t>
        </is>
      </c>
      <c r="E103" s="5" t="inlineStr">
        <is>
          <t>[사진 2]</t>
        </is>
      </c>
      <c r="F103" s="6" t="inlineStr">
        <is>
          <t>SW(WMS) 고객반품 관리 – 반품 주문 등록·DPC 도착·검품·셀러 확인·최종 완료 단계 관리</t>
        </is>
      </c>
      <c r="G103" s="6" t="inlineStr">
        <is>
          <t>캡처</t>
        </is>
      </c>
      <c r="H103" s="5" t="n"/>
      <c r="I103" s="5" t="inlineStr">
        <is>
          <t>O</t>
        </is>
      </c>
      <c r="J103" s="5" t="inlineStr">
        <is>
          <t>O</t>
        </is>
      </c>
      <c r="K103" s="5" t="inlineStr">
        <is>
          <t>캡션 변경(기존: 반품 출고 관리 화면) / 01에 삽입 확인 → 수집 완료 처리</t>
        </is>
      </c>
    </row>
    <row r="104" ht="27" customHeight="1">
      <c r="A104" s="5" t="n">
        <v>101</v>
      </c>
      <c r="B104" s="5" t="inlineStr">
        <is>
          <t>2.3.1-5</t>
        </is>
      </c>
      <c r="C104" s="6" t="inlineStr">
        <is>
          <t>물류지원시스템</t>
        </is>
      </c>
      <c r="D104" s="5" t="inlineStr">
        <is>
          <t>p.73~74</t>
        </is>
      </c>
      <c r="E104" s="5" t="inlineStr">
        <is>
          <t>[사진 3]</t>
        </is>
      </c>
      <c r="F104" s="6" t="inlineStr">
        <is>
          <t>SW(WMS) 오류화물(펜딩) 관리 – SKU 미정의·재고 부족·통관 품목·경로 검증 등 유형별 보류 처리</t>
        </is>
      </c>
      <c r="G104" s="6" t="inlineStr">
        <is>
          <t>캡처</t>
        </is>
      </c>
      <c r="H104" s="5" t="n"/>
      <c r="I104" s="5" t="inlineStr">
        <is>
          <t>O</t>
        </is>
      </c>
      <c r="J104" s="5" t="inlineStr">
        <is>
          <t>O</t>
        </is>
      </c>
      <c r="K104" s="5" t="inlineStr">
        <is>
          <t>캡션 변경(기존: 오류화물 관리 화면) / 01에 삽입 확인 → 수집 완료 처리</t>
        </is>
      </c>
    </row>
    <row r="105" ht="27" customHeight="1">
      <c r="A105" s="5" t="n">
        <v>102</v>
      </c>
      <c r="B105" s="5" t="inlineStr">
        <is>
          <t>2.3.2</t>
        </is>
      </c>
      <c r="C105" s="6" t="inlineStr">
        <is>
          <t>창고제어시스템(WCS, MCS)</t>
        </is>
      </c>
      <c r="D105" s="5" t="inlineStr">
        <is>
          <t>p.75</t>
        </is>
      </c>
      <c r="E105" s="5" t="inlineStr">
        <is>
          <t>[사진 1]</t>
        </is>
      </c>
      <c r="F105" s="6" t="inlineStr">
        <is>
          <t>SW(WMS) 소터 모니터링 – 투입구(DWS)별·시간대별 분류 처리 건수</t>
        </is>
      </c>
      <c r="G105" s="6" t="inlineStr">
        <is>
          <t>캡처</t>
        </is>
      </c>
      <c r="H105" s="5" t="n"/>
      <c r="I105" s="5" t="inlineStr">
        <is>
          <t>O</t>
        </is>
      </c>
      <c r="J105" s="5" t="inlineStr">
        <is>
          <t>O</t>
        </is>
      </c>
      <c r="K105" s="5" t="inlineStr">
        <is>
          <t>10.14 Word 캡션 수정(이미지 속 캡션과 불일치였음)</t>
        </is>
      </c>
    </row>
    <row r="106">
      <c r="A106" s="5" t="n">
        <v>103</v>
      </c>
      <c r="B106" s="5" t="inlineStr">
        <is>
          <t>2.3.2</t>
        </is>
      </c>
      <c r="C106" s="6" t="inlineStr">
        <is>
          <t>창고제어시스템(WCS, MCS)</t>
        </is>
      </c>
      <c r="D106" s="5" t="inlineStr">
        <is>
          <t>p.75</t>
        </is>
      </c>
      <c r="E106" s="5" t="inlineStr">
        <is>
          <t>[사진 2]</t>
        </is>
      </c>
      <c r="F106" s="6" t="inlineStr">
        <is>
          <t>휠소터 설비 구성도(실도면) – 투입구·합류 컨베이어·싱귤레이터·스캐너·휠소터(9모듈) 배치</t>
        </is>
      </c>
      <c r="G106" s="6" t="inlineStr">
        <is>
          <t>자료</t>
        </is>
      </c>
      <c r="H106" s="5" t="n"/>
      <c r="I106" s="5" t="inlineStr">
        <is>
          <t>O</t>
        </is>
      </c>
      <c r="J106" s="5" t="inlineStr">
        <is>
          <t>O</t>
        </is>
      </c>
      <c r="K106" s="5" t="inlineStr">
        <is>
          <t>10.16: 사용자 제공 실도면(2.3.2_휠소터_설비구성도_실도면.png) 삽입</t>
        </is>
      </c>
    </row>
    <row r="108">
      <c r="B108" s="24" t="inlineStr">
        <is>
          <t>집계 (2026.10.14, Ⅳ장 사진 2칸 별도)</t>
        </is>
      </c>
    </row>
    <row r="109">
      <c r="B109" t="inlineStr">
        <is>
          <t>전체 증빙 칸</t>
        </is>
      </c>
      <c r="C109">
        <f>COUNTA(F4:F106)</f>
        <v/>
      </c>
    </row>
    <row r="110">
      <c r="B110" t="inlineStr">
        <is>
          <t>수집 완료(O)</t>
        </is>
      </c>
      <c r="C110">
        <f>COUNTIF(I4:I106,"O")</f>
        <v/>
      </c>
    </row>
    <row r="111">
      <c r="B111" t="inlineStr">
        <is>
          <t>01 삽입(O)</t>
        </is>
      </c>
      <c r="C111">
        <f>COUNTIF(J4:J106,"O")</f>
        <v/>
      </c>
    </row>
    <row r="112">
      <c r="B112" t="inlineStr">
        <is>
          <t>미삽입 – 현장사진</t>
        </is>
      </c>
      <c r="C112">
        <f>COUNTIFS(G4:G106,"사진",J4:J106,"&lt;&gt;O")</f>
        <v/>
      </c>
    </row>
    <row r="113">
      <c r="B113" t="inlineStr">
        <is>
          <t>미삽입 – 시스템 캡처</t>
        </is>
      </c>
      <c r="C113">
        <f>COUNTIFS(G4:G106,"캡처",J4:J106,"&lt;&gt;O")</f>
        <v/>
      </c>
    </row>
    <row r="114">
      <c r="B114" t="inlineStr">
        <is>
          <t>미삽입 – 자료</t>
        </is>
      </c>
      <c r="C114">
        <f>COUNTIFS(G4:G106,"자료",J4:J106,"&lt;&gt;O")</f>
        <v/>
      </c>
    </row>
  </sheetData>
  <autoFilter ref="A3:K106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10" customWidth="1" min="1" max="1"/>
    <col width="34" customWidth="1" min="2" max="2"/>
    <col width="14" customWidth="1" min="3" max="3"/>
    <col width="100" customWidth="1" min="4" max="4"/>
  </cols>
  <sheetData>
    <row r="1" ht="17.25" customHeight="1">
      <c r="A1" s="1" t="inlineStr">
        <is>
          <t>확인 결과에 따라 등급이 오르내릴 수 있는 항목</t>
        </is>
      </c>
    </row>
    <row r="3" ht="29.25" customHeight="1">
      <c r="A3" s="4" t="inlineStr">
        <is>
          <t>번호</t>
        </is>
      </c>
      <c r="B3" s="4" t="inlineStr">
        <is>
          <t>세부항목</t>
        </is>
      </c>
      <c r="C3" s="4" t="inlineStr">
        <is>
          <t>현재(조정) 등급</t>
        </is>
      </c>
      <c r="D3" s="4" t="inlineStr">
        <is>
          <t>확인 사항 · 등급 변동 조건</t>
        </is>
      </c>
    </row>
    <row r="4" ht="15" customHeight="1">
      <c r="A4" s="5" t="inlineStr">
        <is>
          <t>1.1.2</t>
        </is>
      </c>
      <c r="B4" s="6" t="inlineStr">
        <is>
          <t>하역 작업</t>
        </is>
      </c>
      <c r="C4" s="5" t="n">
        <v>3</v>
      </c>
      <c r="D4" s="6" t="inlineStr">
        <is>
          <t>10.16: 도크레벨러 1개소 확정. QR 작업자 추적 정착·실시간 레포트 운영 시 2등급 상향 가능(+2.0점)</t>
        </is>
      </c>
    </row>
    <row r="5" ht="15" customHeight="1">
      <c r="A5" s="5" t="inlineStr">
        <is>
          <t>1.2.2</t>
        </is>
      </c>
      <c r="B5" s="6" t="inlineStr">
        <is>
          <t>적치장소 이동</t>
        </is>
      </c>
      <c r="C5" s="5" t="n">
        <v>3</v>
      </c>
      <c r="D5" s="6" t="inlineStr">
        <is>
          <t>지게차 보유 대수·동력원(전동/디젤) 확인 후 04 명세서에 추가.</t>
        </is>
      </c>
    </row>
    <row r="6" ht="15" customHeight="1">
      <c r="A6" s="5" t="inlineStr">
        <is>
          <t>1.3.1</t>
        </is>
      </c>
      <c r="B6" s="6" t="inlineStr">
        <is>
          <t>재고조사의 수행 및 방법</t>
        </is>
      </c>
      <c r="C6" s="5" t="n">
        <v>3</v>
      </c>
      <c r="D6" s="6" t="inlineStr">
        <is>
          <t>최근 1년 재고 정확도 실적(실사 결과) 확보.</t>
        </is>
      </c>
    </row>
    <row r="7" ht="15" customHeight="1">
      <c r="A7" s="5" t="inlineStr">
        <is>
          <t>2.1.1</t>
        </is>
      </c>
      <c r="B7" s="6" t="inlineStr">
        <is>
          <t>도크 및 바닥성능(재질, 평탄도 및 하중)</t>
        </is>
      </c>
      <c r="C7" s="5" t="n">
        <v>2</v>
      </c>
      <c r="D7" s="5" t="inlineStr">
        <is>
          <t>10.16: 바닥 ⑧⑨ 적용 확인 → 2등급. ⑦ 적재하중 시스템 관리 도입 시 1등급(+2.0점)</t>
        </is>
      </c>
    </row>
    <row r="8" ht="15" customHeight="1">
      <c r="A8" s="5" t="inlineStr">
        <is>
          <t>2.1.3</t>
        </is>
      </c>
      <c r="B8" s="6" t="inlineStr">
        <is>
          <t>배치 및 동선 관리</t>
        </is>
      </c>
      <c r="C8" s="5" t="n">
        <v>1</v>
      </c>
      <c r="D8" s="5" t="inlineStr">
        <is>
          <t>10.16: 확인 3개 모두 적용 → 1등급(최고)</t>
        </is>
      </c>
    </row>
    <row r="9" ht="15" customHeight="1">
      <c r="A9" s="5" t="inlineStr">
        <is>
          <t>2.1.4</t>
        </is>
      </c>
      <c r="B9" s="6" t="inlineStr">
        <is>
          <t>작업환경 관리(공조, 온도, 습도 등)</t>
        </is>
      </c>
      <c r="C9" s="5" t="inlineStr">
        <is>
          <t>미적용</t>
        </is>
      </c>
      <c r="D9" s="6" t="inlineStr">
        <is>
          <t>10.16: ①~④ 미적용 → 미적용 6개로 미적용(0점). 조도·온습도 관리기준을 06 매뉴얼에 수립하고 조도·온습도 측정 기록을 확보하면 ①~④ 적용 가능 → 미적용 2개(⑧⑨)면 3등급(16.0점, +16.0). 최소 2개만 적용돼도 5등급(12.0점). ⑤ 현장 확인 중</t>
        </is>
      </c>
    </row>
    <row r="10" ht="15" customHeight="1">
      <c r="A10" s="5" t="inlineStr">
        <is>
          <t>2.1.5</t>
        </is>
      </c>
      <c r="B10" s="6" t="inlineStr">
        <is>
          <t>재해 및 안전관리(방화, 내진, 소방·대피시설, 안전사고관리 등)</t>
        </is>
      </c>
      <c r="C10" s="5" t="n">
        <v>4</v>
      </c>
      <c r="D10" s="6" t="inlineStr">
        <is>
          <t>10.16: 랙 내진 미적용 확인 → 4등급. 랙 내진 확인서 확보 시 3등급(+3.0점)</t>
        </is>
      </c>
    </row>
    <row r="11" ht="15" customHeight="1">
      <c r="A11" s="5" t="inlineStr">
        <is>
          <t>2.2.1</t>
        </is>
      </c>
      <c r="B11" s="6" t="inlineStr">
        <is>
          <t>비용 절감</t>
        </is>
      </c>
      <c r="C11" s="5" t="n">
        <v>3</v>
      </c>
      <c r="D11" s="5" t="inlineStr">
        <is>
          <t>05 매뉴얼의 2023~2025 수치는 "예시"로 표기됨. 실제 결산 자료가 없으면 4~5등급으로 하락. 확정 실적 확보 필수.</t>
        </is>
      </c>
    </row>
    <row r="12" ht="15" customHeight="1">
      <c r="A12" s="5" t="inlineStr">
        <is>
          <t>2.2.2</t>
        </is>
      </c>
      <c r="B12" s="6" t="inlineStr">
        <is>
          <t>생산성 향상</t>
        </is>
      </c>
      <c r="C12" s="5" t="n">
        <v>3</v>
      </c>
      <c r="D12" s="5" t="inlineStr">
        <is>
          <t>10.15 반영: UPH 실측(2025.11~2026.09, 운영실적 기준) 기재, 실제 집계 방식(근무 현황 기반 인시)과 QR 도입·시범 운영 중으로 서술. 3등급 유지. 심사에서 인시 수기 집계를 "정보시스템 연계 부족"으로 보면 4등급(−3.0점, 총점 784.0, 3등급 유지). 3개년: 공고문은 "최근 3년 이내 실적 중심"이라 2025.6 이후 자료로 충분</t>
        </is>
      </c>
    </row>
    <row r="13" ht="15" customHeight="1">
      <c r="A13" s="5" t="inlineStr">
        <is>
          <t>2.2.3</t>
        </is>
      </c>
      <c r="B13" s="6" t="inlineStr">
        <is>
          <t>품질 및 안전관리</t>
        </is>
      </c>
      <c r="C13" s="5" t="n">
        <v>3</v>
      </c>
      <c r="D13" s="6" t="inlineStr">
        <is>
          <t>오출고율 실적(예시 0.35%→0.15%)과 회사소개서의 0.0001%가 상충. 기준(센터 단위·산식)을 정해 통일.</t>
        </is>
      </c>
    </row>
    <row r="14" ht="15" customHeight="1">
      <c r="A14" s="5" t="inlineStr">
        <is>
          <t>2.2.4</t>
        </is>
      </c>
      <c r="B14" s="6" t="inlineStr">
        <is>
          <t>친환경관리(절수, 절전, 폐기물, 재활용, 조명 등)</t>
        </is>
      </c>
      <c r="C14" s="5" t="n">
        <v>4</v>
      </c>
      <c r="D14" s="5" t="inlineStr">
        <is>
          <t>10.15: LED 조명 미적용 확인(06 반영). 전력 사용량 데이터·친환경 포장재/재활용 실적이 시스템으로 집계되면 3등급 검토, 현재 4등급 유지</t>
        </is>
      </c>
    </row>
    <row r="15" ht="15" customHeight="1">
      <c r="A15" s="5" t="inlineStr">
        <is>
          <t>2.3.1-1</t>
        </is>
      </c>
      <c r="B15" s="6" t="inlineStr">
        <is>
          <t>수발주시스템/상품분류시스템</t>
        </is>
      </c>
      <c r="C15" s="5" t="n">
        <v>3</v>
      </c>
      <c r="D15" s="6" t="inlineStr">
        <is>
          <t>실제 연동 완료 채널 목록 확정(07 기술서 1.3에 미확정 표기).</t>
        </is>
      </c>
    </row>
    <row r="16" ht="15" customHeight="1"/>
    <row r="17" ht="15" customHeight="1"/>
    <row r="18" ht="15" customHeight="1"/>
    <row r="19" ht="15" customHeight="1"/>
    <row r="20" ht="29.25" customHeight="1"/>
    <row r="21" ht="15" customHeight="1"/>
    <row r="22" ht="15" customHeight="1"/>
    <row r="23" ht="15" customHeight="1"/>
    <row r="24" ht="29.25" customHeight="1"/>
    <row r="25" ht="15" customHeight="1"/>
  </sheetData>
  <autoFilter ref="A3:D25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2026-10-15T23:30:48Z</dcterms:modified>
  <cp:lastModifiedBy>Jang Yun Jin(장윤진)</cp:lastModifiedBy>
  <cp:revision>0</cp:revision>
</cp:coreProperties>
</file>