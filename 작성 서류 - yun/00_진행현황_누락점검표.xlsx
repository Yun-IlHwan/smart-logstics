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9" fillId="11" borderId="1" applyAlignment="1" pivotButton="0" quotePrefix="0" xfId="0">
      <alignment horizontal="center" vertical="top" wrapText="1"/>
    </xf>
    <xf numFmtId="0" fontId="14" fillId="0" borderId="0" pivotButton="0" quotePrefix="0" xfId="0"/>
    <xf numFmtId="0" fontId="9" fillId="12" borderId="1" applyAlignment="1" pivotButton="0" quotePrefix="0" xfId="0">
      <alignment horizontal="center" vertical="top" wrapText="1"/>
    </xf>
    <xf numFmtId="0" fontId="9" fillId="1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  <col width="62" customWidth="1" style="24" min="8" max="8"/>
  </cols>
  <sheetData>
    <row r="1" ht="21" customHeight="1" s="24">
      <c r="A1" s="25" t="inlineStr">
        <is>
          <t>스마트물류센터 인증 제출서류 진행현황 (영종센터, 기준 2026.10.15 · 「작성 서류 - yun」 폴더 기준)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  <c r="H3" s="28" t="inlineStr">
        <is>
          <t>10.14 점검 결과 (작성 서류 - yun)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기재안 완성(실무담당자 제외). HWP 서식에 옮겨 입력, 대표자 승인·날인. 실무담당자·전화·팩스·이메일 확정 후 기재</t>
        </is>
      </c>
      <c r="G4" s="30" t="inlineStr">
        <is>
          <t>신청서_기재안.docx</t>
        </is>
      </c>
      <c r="H4" s="30" t="inlineStr">
        <is>
          <t>10.15: 본점 주소를 사업자등록증 표기(마곡중앙8로7길 57, B동 9층 905~907호, 마곡 아이파크 디어반)로, 대표자 근거를 "각자대표"로 반영. 착공·사용승인·연면적·용도·건축물명 반영, 첨부 대응표 갱신. 실무담당자 칸은 공란 유지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완료(789.0점·3등급). 남은 사진·증빙 46칸(현장사진 29·자료 17) 확보 후 삽입, 1.1.5 [사진 2] 이미지 교체. Ⅲ장 종업원 수·매출액·인증업무 담당자 입력(물동량은 2025.6~12·2026.1~9 입력 완료), 작성 메모 14곳 삭제</t>
        </is>
      </c>
      <c r="G5" s="29" t="inlineStr">
        <is>
          <t>01_자체평가서 및 증명자료(완성본).docx</t>
        </is>
      </c>
      <c r="H5" s="29" t="inlineStr">
        <is>
          <t>10.15: 지게차 서약서(8매)·2025 안전보건교육 기관수료증을 4칸에 삽입 → 105칸 중 59칸 삽입. 총 74쪽(PDF 변환 기준) / 10.15: Ⅲ장 물동량에 2025년 6~12월 출고 2,184,759박스 추가(6월부터 집계, 단위 박스로 통일). 매출액은 추후 수령 / 10.15: 2.1.1 도크 ⑦⑧·바닥 ⑥ 실내 접안 근거로 V 처리(3등급 유지, 바닥 ⑧⑨ 대기) / 10.15: 기준일자 2026.10.31로 변경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  <c r="H6" s="29" t="inlineStr">
        <is>
          <t>변동 없음. 작성 메모 2곳(검수+맵핑 877.5㎡ 분야 배정, 출고 처리능력 30,000 vs 35,000), 단면도 "확보 필요", 상호 일부 "트랙스로지스" 표기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 유지 여부 결정(건축물대장 2022.08.18 3층 방화구획 대수선·2024.03.12 증축 이력 확인), 작성일·직인</t>
        </is>
      </c>
      <c r="G7" s="29" t="inlineStr">
        <is>
          <t>03_설계변경 확인서(완성본).docx</t>
        </is>
      </c>
      <c r="H7" s="29" t="inlineStr">
        <is>
          <t>10.15: 사용승인일 2021.01.22 기재, 작성 메모에 건축물대장 변동 이력 추가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  <c r="H8" s="29" t="inlineStr">
        <is>
          <t>yun 폴더에 해당 파일 없음(변동 확인 불가)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  <c r="H9" s="29" t="inlineStr">
        <is>
          <t>10.15 yun 「3_운영매뉴얼」: 상호→트랙스로지스코리아(주)·작성일 2026-09-30·KPI "목표(예시)"→"목표" 수정 완료. 실제 실적 수치는 여전히 필요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 입력: 소방설비 수량·비상구, 신규채용·지게차 운전·소방훈련 실시일, KPI 목표(오출고율·클레임율), 2023~2025 친환경 실적, LED·ISO 보유 여부, 제정일 → 사내 제정·승인</t>
        </is>
      </c>
      <c r="G10" s="29" t="inlineStr">
        <is>
          <t>06_품질안전환경관리 매뉴얼(완성본).docx</t>
        </is>
      </c>
      <c r="H10" s="29" t="inlineStr">
        <is>
          <t>교육 이력 반영 확인(2025 정기 안전교육 1~4차, 지게차 서약 2026.06.23). 근거 파일 「교육 결과 보고서_2025.xls」 폴더에 확보. [ ] 19곳 남음 / 교육 결과 보고서_2025.pdf·지게차 서약서 PDF도 확보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  <c r="H11" s="29" t="inlineStr">
        <is>
          <t>10.15 yun 「1_물류정보시스템_기술서」: 상호·작성일(2026-09-30)·인증기관명(한국교통연구원) 수정, 목표 표에서 "예시" 제거. [○○] 공란 18곳(면적·물동량·기술스택 등)·개요도 [그림 3-1] 남음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  <c r="H12" s="29" t="inlineStr">
        <is>
          <t>10.15 yun 「2_업무-시스템_연계기술서」: 상호·작성일(2026-09-30)·SLA "목표" 표기 수정 완료. 코드 표의 "예시"는 실제 예시라 유지. 데이터 흐름 도식 [그림 2-1] 남음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  <c r="H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작성 서류 - yun/4 법인등기사항증명서.pdf (말소사항 포함, 발행 2026.06.10, 28쪽)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  <c r="H14" s="29" t="inlineStr">
        <is>
      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작성 서류 - yun/트랙스로지스코리아 사업자등록증_20260611.pdf</t>
        </is>
      </c>
      <c r="E15" s="50" t="inlineStr">
        <is>
          <t>완료</t>
        </is>
      </c>
      <c r="F15" s="30" t="inlineStr">
        <is>
          <t>확보 완료(2026.06.11 발급). 등록번호 109-86-19926, 각자대표 김양훈·노현석, 사업장 마곡 아이파크 디어반</t>
        </is>
      </c>
      <c r="G15" s="29" t="inlineStr">
        <is>
          <t>-</t>
        </is>
      </c>
      <c r="H15" s="29" t="inlineStr">
        <is>
          <t>10.15: yun 폴더에서 확인. 신청서 기재안 주소·대표 표기를 사업자등록증 기준으로 맞춤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작성 서류 - yun/5-1~5-4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  <c r="H16" s="29" t="inlineStr">
        <is>
          <t>yun 폴더에 사본 확보. 창고업 등록 보관면적 19,412.63㎡는 2026.07.15 일부 해지 전 면적 → 변경등록 필요 여부 확인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  <c r="H17" s="29" t="inlineStr">
        <is>
          <t>yun 폴더에 해당 파일 없음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 789.0점(3등급). ②-1과 동일 등급으로 제출</t>
        </is>
      </c>
      <c r="G18" s="30" t="inlineStr">
        <is>
          <t>자체평가점수표(일반)_근거기준.xlsx</t>
        </is>
      </c>
      <c r="H18" s="30" t="inlineStr">
        <is>
          <t>근거기준 점수표 789.0점(3등급) — 01·⑥·3번 시트와 44개 항목 등급 일치 확인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49" t="inlineStr">
        <is>
          <t>초안 완료</t>
        </is>
      </c>
      <c r="F19" s="29" t="inlineStr">
        <is>
          <t>44개 항목 × 수록 쪽·증명자료 매핑 완료, 작성 메모 삭제. 남은 사진 삽입 후 쪽번호만 다시 확인</t>
        </is>
      </c>
      <c r="G19" s="29" t="inlineStr">
        <is>
          <t>⑥_조견표.docx</t>
        </is>
      </c>
      <c r="H19" s="29" t="inlineStr">
        <is>
          <t>10.15: 01 사진 추가에 맞춰 수록 쪽 재산정(총 74쪽), 캡션 103칸 01과 일치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 / 참고: yun/KOR 2026 TracX Logis Korea 회사소개서 v2.pdf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  <c r="H20" s="29" t="inlineStr">
        <is>
          <t>회사소개서 v2(2026.07.23, 20쪽) 확보. 오출고율 "0.0001%" 그대로 표기 → 05·01 기준과 통일 필요. 설립 2009(등기 회사성립 2009.09.04와 일치)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 / 참고: yun/글로벌 물류센터 네트워크 소개서 v2·compressed.pdf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  <c r="H21" s="29" t="inlineStr">
        <is>
          <t>네트워크 소개서 v2 확보(참고자료). 사용승인일은 건축물대장 2021.01.22로 확정 → ⑧ "2021년 1월 준공(확인 필요)" 수정 가능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작성 서류 - yun/16-1 건축물대장, 16-2 임대차 승계동의서, 16-3 일부 해지 통지</t>
        </is>
      </c>
      <c r="E22" s="47" t="inlineStr">
        <is>
          <t>보완 필요</t>
        </is>
      </c>
      <c r="F22" s="30" t="inlineStr">
        <is>
          <t>임대차계약서 본문(최초 2021.06.04 계약 및 변경계약) 사본 확보, 승계동의서 날짜 "2026.01.[*]" 공란본 → 서명 완료본 확보. 건축물대장은 신청일 기준 재발급 검토</t>
        </is>
      </c>
      <c r="G22" s="29" t="inlineStr">
        <is>
          <t>-</t>
        </is>
      </c>
      <c r="H22" s="29" t="inlineStr">
        <is>
      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작성 서류 - yun/17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  <c r="H23" s="29" t="inlineStr">
        <is>
          <t>yun 폴더에 사본 확보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  <c r="H24" s="29" t="inlineStr">
        <is>
          <t>변동 없음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  <c r="H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H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 / yun 폴더 1~4 영종센터 문서(v2.0): "Tracx Logis"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법인등기: 대표이사 김양훈·노현석(2024.10.31 취임) 각각 등기 / 승계동의서: 대표자 2인 날인</t>
        </is>
      </c>
      <c r="E5" s="30" t="inlineStr">
        <is>
          <t>사업자등록증(2026.06.11): 김양훈·노현석 "각자대표" 확인 → 신청서·④ 확인서에 2인 병기(각자대표)로 통일</t>
        </is>
      </c>
      <c r="F5" s="38" t="inlineStr">
        <is>
          <t>중간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 / 임대차: 2026.07.15부 잔여 3,474.25평(≈11,485㎡) / 창고업 등록증 19,412.63㎡(해지 전) / 건축물대장 3층 41,966.33㎡(건물 전체 층)</t>
        </is>
      </c>
      <c r="E6" s="30" t="inlineStr">
        <is>
          <t>임차면적 3,474.25평(≈11,485㎡)과 운영면적 2,845평을 구분 표기해 전 문서 통일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 (10.07 확인: 재고 입고 시 휴대용 DWS 미사용 → 01 1.1.3 반영. 공정별 수량 통일은 미완)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④·⑦·⑧: 파일 없음(작성 시 2026.10.31로 기재)</t>
        </is>
      </c>
      <c r="D18" s="29" t="inlineStr">
        <is>
          <t>10.15: 기준일자·작성일 2026.10.31로 통일 — yun 01·02·03(작성일)·06(기준일·제정일)·⑥·1~4, 제출서류_10종 01~08 표지 작성일 반영 완료</t>
        </is>
      </c>
      <c r="E18" s="30" t="inlineStr">
        <is>
          <t>④·⑦·⑧ 작성 시 2026.10.31 기재</t>
        </is>
      </c>
      <c r="F18" s="38" t="inlineStr">
        <is>
          <t>낮음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 — 「작성 서류 - yun/1_물류정보시스템_기술서_영종센터」 1.3에도 동일 문구</t>
        </is>
      </c>
      <c r="D19" s="30" t="inlineStr">
        <is>
          <t>인증기관: 한국교통연구원 스마트물류시설인증센터</t>
        </is>
      </c>
      <c r="E19" s="30" t="inlineStr">
        <is>
          <t>제출본에 사용하는 원고 모두 "한국교통연구원 스마트물류시설인증센터"로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건축물대장(16-1): 사용승인 2021.01.22, 착공 2019.07.08</t>
        </is>
      </c>
      <c r="E20" s="30" t="inlineStr">
        <is>
          <t>① 신청서·⑧·03에 2021.01.22 반영(자료 확보 완료)</t>
        </is>
      </c>
      <c r="F20" s="38" t="inlineStr">
        <is>
          <t>중간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  <row r="22">
      <c r="A22" s="29" t="n">
        <v>19</v>
      </c>
      <c r="B22" s="30" t="inlineStr">
        <is>
          <t>조견표 캡션</t>
        </is>
      </c>
      <c r="C22" s="29" t="inlineStr">
        <is>
          <t>⑥ 조견표: 기존 캡션(예: "PDA 피킹 화면", "송장 출력 화면")</t>
        </is>
      </c>
      <c r="D22" s="29" t="inlineStr">
        <is>
          <t>01 자체평가서(10.14 수정본): 실제 화면명 캡션 — ⑥과 30곳 불일치</t>
        </is>
      </c>
      <c r="E22" s="30" t="inlineStr">
        <is>
          <t>2026.10.14 처리 완료 — ⑥ 캡션 30곳 수정, 01과 103칸 모두 일치</t>
        </is>
      </c>
      <c r="F22" s="39" t="inlineStr">
        <is>
          <t>완료</t>
        </is>
      </c>
    </row>
    <row r="23">
      <c r="A23" s="29" t="n">
        <v>20</v>
      </c>
      <c r="B23" s="30" t="inlineStr">
        <is>
          <t>필수 기재 공란</t>
        </is>
      </c>
      <c r="C23" s="29" t="inlineStr">
        <is>
          <t>01 Ⅲ장: 종업원 수·최근 3년 매출액·2023~2025 물동량·인증업무 담당자 [ ]</t>
        </is>
      </c>
      <c r="D23" s="29" t="inlineStr">
        <is>
          <t>① 신청서 기재안: 실무담당자·전화·팩스·E-mail [ ]</t>
        </is>
      </c>
      <c r="E23" s="30" t="inlineStr">
        <is>
          <t>인사·재무팀 확정값 입력, 담당자는 01·① 동일하게</t>
        </is>
      </c>
      <c r="F23" s="39" t="inlineStr">
        <is>
          <t>높음</t>
        </is>
      </c>
    </row>
    <row r="24">
      <c r="A24" s="29" t="n">
        <v>21</v>
      </c>
      <c r="B24" s="30" t="inlineStr">
        <is>
          <t>본점 주소</t>
        </is>
      </c>
      <c r="C24" s="29" t="inlineStr">
        <is>
          <t>① 신청서 기재안·승계동의서: 서울 강서구 강서로 463, 7층(새싹타워)</t>
        </is>
      </c>
      <c r="D24" s="29" t="inlineStr">
        <is>
          <t>법인등기: 2026.06.01 「서울 강서구 마곡중앙8로7길 57, 비동 905~907호」로 이전(06.08 등기)</t>
        </is>
      </c>
      <c r="E24" s="30" t="inlineStr">
        <is>
          <t>① 신청서 기재안 수정 완료(10.15, 사업자등록증 표기 기준). 소개자료 등 나머지 문서 주소 확인</t>
        </is>
      </c>
      <c r="F24" s="39" t="inlineStr">
        <is>
          <t>높음</t>
        </is>
      </c>
    </row>
    <row r="25">
      <c r="A25" s="29" t="n">
        <v>22</v>
      </c>
      <c r="B25" s="30" t="inlineStr">
        <is>
          <t>창고업 등록 면적</t>
        </is>
      </c>
      <c r="C25" s="29" t="inlineStr">
        <is>
          <t>5-1 창고업 등록증: 보관시설 19,412.63㎡</t>
        </is>
      </c>
      <c r="D25" s="29" t="inlineStr">
        <is>
          <t>16-3 해지 통지: 2026.07.15부 2,398.07평 해지 → 잔여 3,474.25평</t>
        </is>
      </c>
      <c r="E25" s="30" t="inlineStr">
        <is>
          <t>물류창고업 변경등록 필요 여부 확인(관할 중구청)</t>
        </is>
      </c>
      <c r="F25" s="39" t="inlineStr">
        <is>
          <t>높음</t>
        </is>
      </c>
    </row>
    <row r="26">
      <c r="A26" s="29" t="n">
        <v>23</v>
      </c>
      <c r="B26" s="30" t="inlineStr">
        <is>
          <t>설계변경 이력</t>
        </is>
      </c>
      <c r="C26" s="29" t="inlineStr">
        <is>
          <t>03 설계변경 확인서: "해당 없음"</t>
        </is>
      </c>
      <c r="D26" s="29" t="inlineStr">
        <is>
          <t>건축물대장 변동: 2022.08.18 3층 방화구획 관련 대수선, 2024.03.12 증축(1층 전기실 57.48㎡)</t>
        </is>
      </c>
      <c r="E26" s="30" t="inlineStr">
        <is>
          <t>임차구역(3층) 관련 변경인지 확인 후 03 작성 방향 결정</t>
        </is>
      </c>
      <c r="F26" s="39" t="inlineStr">
        <is>
          <t>중간</t>
        </is>
      </c>
    </row>
    <row r="27">
      <c r="A27" s="29" t="n">
        <v>24</v>
      </c>
      <c r="B27" s="30" t="inlineStr">
        <is>
          <t>캡션·이미지</t>
        </is>
      </c>
      <c r="C27" s="29" t="inlineStr">
        <is>
          <t>01 1.1.5 [사진 2] 캡션: Smartship 입고신청 목록</t>
        </is>
      </c>
      <c r="D27" s="29" t="inlineStr">
        <is>
          <t>삽입 이미지는 [사진 1](SW 입고 확정)과 동일 파일</t>
        </is>
      </c>
      <c r="E27" s="30" t="inlineStr">
        <is>
          <t>Smartship 입고신청 목록 화면으로 이미지 교체</t>
        </is>
      </c>
      <c r="F27" s="39" t="inlineStr">
        <is>
          <t>중간</t>
        </is>
      </c>
    </row>
    <row r="28"/>
    <row r="29"/>
    <row r="30"/>
    <row r="31"/>
    <row r="32"/>
    <row r="33"/>
    <row r="34"/>
    <row r="35"/>
    <row r="36"/>
    <row r="37"/>
    <row r="38"/>
    <row r="39"/>
  </sheetData>
  <autoFilter ref="A3:F2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4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보관·피킹 겸용 셀 운영으로 보충 수요가 적고(최근 1년 보충 이동 2건), 필요 시 정보시스템에 수동 등록·추적하므로 4등급으로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  <col width="11" customWidth="1" style="24" min="10" max="10"/>
    <col width="40" customWidth="1" style="24" min="11" max="11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  <c r="J3" s="28" t="inlineStr">
        <is>
          <t>01 삽입(10.14)</t>
        </is>
      </c>
      <c r="K3" s="28" t="inlineStr">
        <is>
          <t>10.14 점검 비고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p.7~8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  <c r="J4" s="29" t="inlineStr">
        <is>
          <t>O</t>
        </is>
      </c>
      <c r="K4" s="29" t="n"/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p.7~8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  <c r="J5" s="29" t="inlineStr">
        <is>
          <t>O</t>
        </is>
      </c>
      <c r="K5" s="29" t="n"/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p.7~8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  <c r="J6" s="29" t="inlineStr">
        <is>
          <t>O</t>
        </is>
      </c>
      <c r="K6" s="29" t="n"/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p.9~10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  <c r="J7" s="29" t="n"/>
      <c r="K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p.9~10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  <c r="J8" s="29" t="n"/>
      <c r="K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p.9~10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  <c r="J9" s="29" t="inlineStr">
        <is>
          <t>O</t>
        </is>
      </c>
      <c r="K9" s="29" t="n"/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p.9~10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  <c r="J10" s="29" t="inlineStr">
        <is>
          <t>O</t>
        </is>
      </c>
      <c r="K10" s="29" t="n"/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p.9~10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  <c r="J11" s="29" t="inlineStr">
        <is>
          <t>O</t>
        </is>
      </c>
      <c r="K11" s="29" t="n"/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p.11~12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  <c r="J12" s="29" t="n"/>
      <c r="K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p.11~12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  <c r="J13" s="29" t="inlineStr">
        <is>
          <t>O</t>
        </is>
      </c>
      <c r="K13" s="29" t="n"/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p.11~12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  <c r="J14" s="29" t="inlineStr">
        <is>
          <t>O</t>
        </is>
      </c>
      <c r="K14" s="29" t="n"/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p.11~12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  <c r="J15" s="29" t="inlineStr">
        <is>
          <t>O</t>
        </is>
      </c>
      <c r="K15" s="29" t="n"/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p.13~14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  <c r="J16" s="29" t="inlineStr">
        <is>
          <t>O</t>
        </is>
      </c>
      <c r="K16" s="29" t="n"/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p.13~14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  <c r="J17" s="29" t="inlineStr">
        <is>
          <t>O</t>
        </is>
      </c>
      <c r="K17" s="29" t="n"/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p.13~14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사진</t>
        </is>
      </c>
      <c r="H18" s="29" t="n"/>
      <c r="I18" s="29" t="n"/>
      <c r="J18" s="29" t="n"/>
      <c r="K18" s="29" t="inlineStr">
        <is>
          <t>유형 정정(캡처→사진)</t>
        </is>
      </c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p.15~17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  <c r="J19" s="29" t="inlineStr">
        <is>
          <t>O</t>
        </is>
      </c>
      <c r="K19" s="29" t="n"/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p.15~17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  <c r="J20" s="29" t="inlineStr">
        <is>
          <t>O</t>
        </is>
      </c>
      <c r="K20" s="29" t="n"/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p.15~17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  <c r="J21" s="29" t="inlineStr">
        <is>
          <t>△</t>
        </is>
      </c>
      <c r="K21" s="29" t="inlineStr">
        <is>
          <t>삽입 이미지가 [사진 1](입고 확정)과 동일 파일 → Smartship 입고신청 목록 화면으로 교체 필요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p.15~17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  <c r="J22" s="29" t="inlineStr">
        <is>
          <t>O</t>
        </is>
      </c>
      <c r="K22" s="29" t="n"/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p.18~19</t>
        </is>
      </c>
      <c r="E23" s="29" t="inlineStr">
        <is>
          <t>[사진 1]</t>
        </is>
      </c>
      <c r="F23" s="29" t="inlineStr">
        <is>
          <t>SW 모바일(PDA) 적치 로케이션 지정 – 동일 SKU 기존 보관 위치 확인 → 배치 선반 할당</t>
        </is>
      </c>
      <c r="G23" s="30" t="inlineStr">
        <is>
          <t>캡처</t>
        </is>
      </c>
      <c r="H23" s="29" t="n"/>
      <c r="I23" s="29" t="inlineStr">
        <is>
          <t>O</t>
        </is>
      </c>
      <c r="J23" s="29" t="inlineStr">
        <is>
          <t>O</t>
        </is>
      </c>
      <c r="K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p.18~19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  <c r="J24" s="29" t="n"/>
      <c r="K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p.20~21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  <c r="J25" s="29" t="n"/>
      <c r="K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p.20~21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  <c r="J26" s="29" t="n"/>
      <c r="K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p.20~21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  <c r="J27" s="29" t="inlineStr">
        <is>
          <t>O</t>
        </is>
      </c>
      <c r="K27" s="29" t="inlineStr">
        <is>
          <t>10.15 01에 삽입(서약서 8매 모음 / 기관수료증 1~2쪽)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p.22</t>
        </is>
      </c>
      <c r="E28" s="29" t="inlineStr">
        <is>
          <t>[사진 1]</t>
        </is>
      </c>
      <c r="F28" s="30" t="inlineStr">
        <is>
          <t>SW(WMS) 3D 뷰어 – 보관 구역·랙·셀 배치 및 셀별 재고 상태</t>
        </is>
      </c>
      <c r="G28" s="30" t="inlineStr">
        <is>
          <t>캡처</t>
        </is>
      </c>
      <c r="H28" s="29" t="n"/>
      <c r="I28" s="29" t="inlineStr">
        <is>
          <t>O</t>
        </is>
      </c>
      <c r="J28" s="29" t="inlineStr">
        <is>
          <t>O</t>
        </is>
      </c>
      <c r="K28" s="29" t="n"/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p.22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  <c r="J29" s="29" t="n"/>
      <c r="K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p.23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  <c r="J30" s="29" t="n"/>
      <c r="K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p.23</t>
        </is>
      </c>
      <c r="E31" s="29" t="inlineStr">
        <is>
          <t>[사진 2]</t>
        </is>
      </c>
      <c r="F31" s="30" t="inlineStr">
        <is>
          <t>SW 모바일(PDA) 셀·SKU 스캔 – 로케이션별 SKU·수량 양방향 조회</t>
        </is>
      </c>
      <c r="G31" s="30" t="inlineStr">
        <is>
          <t>캡처</t>
        </is>
      </c>
      <c r="H31" s="29" t="n"/>
      <c r="I31" s="29" t="inlineStr">
        <is>
          <t>O</t>
        </is>
      </c>
      <c r="J31" s="29" t="inlineStr">
        <is>
          <t>O</t>
        </is>
      </c>
      <c r="K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p.24~25</t>
        </is>
      </c>
      <c r="E32" s="29" t="inlineStr">
        <is>
          <t>[사진 1]</t>
        </is>
      </c>
      <c r="F32" s="30" t="inlineStr">
        <is>
          <t>SW(WMS) 재고실사 관리 – 실사 생성(대상 유형·기간 지정) 및 실사 목록</t>
        </is>
      </c>
      <c r="G32" s="30" t="inlineStr">
        <is>
          <t>캡처</t>
        </is>
      </c>
      <c r="H32" s="29" t="n"/>
      <c r="I32" s="29" t="inlineStr">
        <is>
          <t>O</t>
        </is>
      </c>
      <c r="J32" s="29" t="inlineStr">
        <is>
          <t>O</t>
        </is>
      </c>
      <c r="K32" s="29" t="inlineStr">
        <is>
          <t>캡션 변경(기존: 재고실사 생성·수행 화면 캡처) / 01에 삽입 확인 → 수집 완료 처리</t>
        </is>
      </c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p.24~25</t>
        </is>
      </c>
      <c r="E33" s="29" t="inlineStr">
        <is>
          <t>[사진 2]</t>
        </is>
      </c>
      <c r="F33" s="30" t="inlineStr">
        <is>
          <t>SW(WMS) 재고실사 상세 – 창고·입고·선반·체크재고 비교 및 셀별 불일치 조정</t>
        </is>
      </c>
      <c r="G33" s="30" t="inlineStr">
        <is>
          <t>자료</t>
        </is>
      </c>
      <c r="H33" s="29" t="n"/>
      <c r="I33" s="29" t="inlineStr">
        <is>
          <t>O</t>
        </is>
      </c>
      <c r="J33" s="29" t="inlineStr">
        <is>
          <t>O</t>
        </is>
      </c>
      <c r="K33" s="29" t="inlineStr">
        <is>
          <t>캡션 변경(기존: 실사 결과 및 재고 조정 이력) / 01에 삽입 확인 → 수집 완료 처리</t>
        </is>
      </c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p.26</t>
        </is>
      </c>
      <c r="E34" s="29" t="inlineStr">
        <is>
          <t>[사진 1]</t>
        </is>
      </c>
      <c r="F34" s="30" t="inlineStr">
        <is>
          <t>SW(WMS) SKU 이동 처리 – 보충·이동 요청 등록 및 출발·도착 셀 지정</t>
        </is>
      </c>
      <c r="G34" s="30" t="inlineStr">
        <is>
          <t>캡처</t>
        </is>
      </c>
      <c r="H34" s="29" t="n"/>
      <c r="I34" s="29" t="inlineStr">
        <is>
          <t>O</t>
        </is>
      </c>
      <c r="J34" s="29" t="inlineStr">
        <is>
          <t>O</t>
        </is>
      </c>
      <c r="K34" s="29" t="inlineStr">
        <is>
          <t>01에 삽입 확인 → 수집 완료 처리</t>
        </is>
      </c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p.27</t>
        </is>
      </c>
      <c r="E35" s="29" t="inlineStr">
        <is>
          <t>[사진 1]</t>
        </is>
      </c>
      <c r="F35" s="30" t="inlineStr">
        <is>
          <t>SW(WMS) SKU 이동 관리 – 유형별 이동 요청·처리 실적(2026.01~10, 26,348건)</t>
        </is>
      </c>
      <c r="G35" s="30" t="inlineStr">
        <is>
          <t>캡처</t>
        </is>
      </c>
      <c r="H35" s="29" t="n"/>
      <c r="I35" s="29" t="inlineStr">
        <is>
          <t>O</t>
        </is>
      </c>
      <c r="J35" s="29" t="inlineStr">
        <is>
          <t>O</t>
        </is>
      </c>
      <c r="K35" s="29" t="inlineStr">
        <is>
          <t>캡션 변경(기존: SW(WMS) SKU 이동 관리 – 유형별 이동 요청·처리 실적(입고·회수·SKU 이동·보충 등)) / 01에 삽입 확인 → 수집 완료 처리</t>
        </is>
      </c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p.28~29</t>
        </is>
      </c>
      <c r="E36" s="29" t="inlineStr">
        <is>
          <t>[사진 1]</t>
        </is>
      </c>
      <c r="F36" s="30" t="inlineStr">
        <is>
          <t>SW(WMS) 전체 대시보드 – 공정별 실시간 처리 현황 및 피킹존 재고부족·미출고 모니터링</t>
        </is>
      </c>
      <c r="G36" s="30" t="inlineStr">
        <is>
          <t>캡처</t>
        </is>
      </c>
      <c r="H36" s="29" t="n"/>
      <c r="I36" s="29" t="inlineStr">
        <is>
          <t>O</t>
        </is>
      </c>
      <c r="J36" s="29" t="inlineStr">
        <is>
          <t>O</t>
        </is>
      </c>
      <c r="K36" s="29" t="inlineStr">
        <is>
          <t>캡션 변경(기존: 전체 대시보드·대시보드 모니터 화면 캡처) / 01에 삽입 확인 → 수집 완료 처리</t>
        </is>
      </c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p.28~29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  <c r="J37" s="29" t="n"/>
      <c r="K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p.28~29</t>
        </is>
      </c>
      <c r="E38" s="29" t="inlineStr">
        <is>
          <t>[사진 3]</t>
        </is>
      </c>
      <c r="F38" s="30" t="inlineStr">
        <is>
          <t>SW(WMS) 마감리포트 – 일·주·월 단위 재고·입출고 집계(2026년 9월)</t>
        </is>
      </c>
      <c r="G38" s="30" t="inlineStr">
        <is>
          <t>캡처</t>
        </is>
      </c>
      <c r="H38" s="29" t="n"/>
      <c r="I38" s="29" t="inlineStr">
        <is>
          <t>O</t>
        </is>
      </c>
      <c r="J38" s="29" t="inlineStr">
        <is>
          <t>O</t>
        </is>
      </c>
      <c r="K38" s="29" t="n"/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p.30</t>
        </is>
      </c>
      <c r="E39" s="29" t="inlineStr">
        <is>
          <t>[사진 1]</t>
        </is>
      </c>
      <c r="F39" s="30" t="inlineStr">
        <is>
          <t>SW(WMS) SKU 입출고 이력 – 동일 SKU 로트별 유통기한 순 출고(FEFO)</t>
        </is>
      </c>
      <c r="G39" s="30" t="inlineStr">
        <is>
          <t>캡처</t>
        </is>
      </c>
      <c r="H39" s="29" t="n"/>
      <c r="I39" s="29" t="inlineStr">
        <is>
          <t>O</t>
        </is>
      </c>
      <c r="J39" s="29" t="inlineStr">
        <is>
          <t>O</t>
        </is>
      </c>
      <c r="K39" s="29" t="inlineStr">
        <is>
          <t>캡션 변경(기존: 유통기한·로트 그룹핑 화면 및 자동 할당 결과 캡처) / 01에 삽입 확인 → 수집 완료 처리</t>
        </is>
      </c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p.31~32</t>
        </is>
      </c>
      <c r="E40" s="29" t="inlineStr">
        <is>
          <t>[사진 1]</t>
        </is>
      </c>
      <c r="F40" s="30" t="inlineStr">
        <is>
          <t>SW(WMS) 픽킹 리스트 생성 – 선택 주문 기준 생성(패킹장비 타입·정렬 기준·피킹 시작 지점 지정)</t>
        </is>
      </c>
      <c r="G40" s="30" t="inlineStr">
        <is>
          <t>캡처</t>
        </is>
      </c>
      <c r="H40" s="29" t="n"/>
      <c r="I40" s="29" t="inlineStr">
        <is>
          <t>O</t>
        </is>
      </c>
      <c r="J40" s="29" t="inlineStr">
        <is>
          <t>O</t>
        </is>
      </c>
      <c r="K40" s="29" t="inlineStr">
        <is>
          <t>캡션 변경(기존: 픽킹 리스트 생성·관리 화면 캡처) / 01에 삽입 확인 → 수집 완료 처리</t>
        </is>
      </c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p.31~32</t>
        </is>
      </c>
      <c r="E41" s="29" t="inlineStr">
        <is>
          <t>[사진 2]</t>
        </is>
      </c>
      <c r="F41" s="29" t="inlineStr">
        <is>
          <t>SW 모바일(PDA) 피킹 리스트 관리 – 타입별 피킹 현황 및 작업자 피킹 지시 목록</t>
        </is>
      </c>
      <c r="G41" s="30" t="inlineStr">
        <is>
          <t>캡처</t>
        </is>
      </c>
      <c r="H41" s="29" t="n"/>
      <c r="I41" s="29" t="inlineStr">
        <is>
          <t>O</t>
        </is>
      </c>
      <c r="J41" s="29" t="inlineStr">
        <is>
          <t>O</t>
        </is>
      </c>
      <c r="K41" s="29" t="inlineStr">
        <is>
          <t>캡션 변경(기존: PDA 피킹 지시 화면) / 01에 삽입 확인 → 수집 완료 처리</t>
        </is>
      </c>
    </row>
    <row r="42" ht="15" customHeight="1" s="24">
      <c r="A42" s="29" t="n">
        <v>39</v>
      </c>
      <c r="B42" s="29" t="inlineStr">
        <is>
          <t>1.4.1</t>
        </is>
      </c>
      <c r="C42" s="30" t="inlineStr">
        <is>
          <t>작업정보의 생성 및 지시</t>
        </is>
      </c>
      <c r="D42" s="29" t="inlineStr">
        <is>
          <t>p.31~32</t>
        </is>
      </c>
      <c r="E42" s="29" t="inlineStr">
        <is>
          <t>[사진 3]</t>
        </is>
      </c>
      <c r="F42" s="29" t="inlineStr">
        <is>
          <t>SW(WMS) 픽킹 리스트 관리 – 주문 구성별 피킹 방식 구분</t>
        </is>
      </c>
      <c r="G42" s="30" t="inlineStr">
        <is>
          <t>캡처</t>
        </is>
      </c>
      <c r="H42" s="29" t="n"/>
      <c r="I42" s="29" t="inlineStr">
        <is>
          <t>O</t>
        </is>
      </c>
      <c r="J42" s="29" t="inlineStr">
        <is>
          <t>O</t>
        </is>
      </c>
      <c r="K42" s="29" t="n"/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p.33~34</t>
        </is>
      </c>
      <c r="E43" s="29" t="inlineStr">
        <is>
          <t>[사진 1]</t>
        </is>
      </c>
      <c r="F43" s="29" t="inlineStr">
        <is>
          <t>SW 모바일(PDA) 피킹 화면 – SKU별 로케이션·지시수량 확인 및 스캔 수량 입력</t>
        </is>
      </c>
      <c r="G43" s="30" t="inlineStr">
        <is>
          <t>캡처</t>
        </is>
      </c>
      <c r="H43" s="29" t="n"/>
      <c r="I43" s="29" t="inlineStr">
        <is>
          <t>O</t>
        </is>
      </c>
      <c r="J43" s="29" t="inlineStr">
        <is>
          <t>O</t>
        </is>
      </c>
      <c r="K43" s="29" t="inlineStr">
        <is>
          <t>캡션 변경(기존: PDA 피킹 화면) / 01에 삽입 확인 → 수집 완료 처리</t>
        </is>
      </c>
    </row>
    <row r="44" ht="15" customHeight="1" s="24">
      <c r="A44" s="29" t="n">
        <v>41</v>
      </c>
      <c r="B44" s="29" t="inlineStr">
        <is>
          <t>1.4.2</t>
        </is>
      </c>
      <c r="C44" s="30" t="inlineStr">
        <is>
          <t>작업정보의 확인 방법</t>
        </is>
      </c>
      <c r="D44" s="29" t="inlineStr">
        <is>
          <t>p.33~34</t>
        </is>
      </c>
      <c r="E44" s="29" t="inlineStr">
        <is>
          <t>[사진 2]</t>
        </is>
      </c>
      <c r="F44" s="29" t="inlineStr">
        <is>
          <t>PTL 점등 사진</t>
        </is>
      </c>
      <c r="G44" s="30" t="inlineStr">
        <is>
          <t>사진</t>
        </is>
      </c>
      <c r="H44" s="29" t="n"/>
      <c r="I44" s="29" t="n"/>
      <c r="J44" s="29" t="n"/>
      <c r="K44" s="29" t="n"/>
    </row>
    <row r="45" ht="15" customHeight="1" s="24">
      <c r="A45" s="29" t="n">
        <v>42</v>
      </c>
      <c r="B45" s="29" t="inlineStr">
        <is>
          <t>1.4.3</t>
        </is>
      </c>
      <c r="C45" s="30" t="inlineStr">
        <is>
          <t>작업경로의 실시간 관리</t>
        </is>
      </c>
      <c r="D45" s="29" t="inlineStr">
        <is>
          <t>p.35</t>
        </is>
      </c>
      <c r="E45" s="29" t="inlineStr">
        <is>
          <t>[사진 1]</t>
        </is>
      </c>
      <c r="F45" s="30" t="inlineStr">
        <is>
          <t>SW(WMS) 픽킹 리스트 출력 – 로케이션 순 피킹 순서 자동 정렬</t>
        </is>
      </c>
      <c r="G45" s="30" t="inlineStr">
        <is>
          <t>캡처</t>
        </is>
      </c>
      <c r="H45" s="29" t="n"/>
      <c r="I45" s="29" t="inlineStr">
        <is>
          <t>O</t>
        </is>
      </c>
      <c r="J45" s="29" t="inlineStr">
        <is>
          <t>O</t>
        </is>
      </c>
      <c r="K45" s="29" t="n"/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p.36~37</t>
        </is>
      </c>
      <c r="E46" s="29" t="inlineStr">
        <is>
          <t>[사진 1]</t>
        </is>
      </c>
      <c r="F46" s="30" t="inlineStr">
        <is>
          <t>카트피킹 작업 사진</t>
        </is>
      </c>
      <c r="G46" s="30" t="inlineStr">
        <is>
          <t>사진</t>
        </is>
      </c>
      <c r="H46" s="29" t="n"/>
      <c r="I46" s="29" t="n"/>
      <c r="J46" s="29" t="n"/>
      <c r="K46" s="29" t="n"/>
    </row>
    <row r="47" ht="15" customHeight="1" s="24">
      <c r="A47" s="29" t="n">
        <v>44</v>
      </c>
      <c r="B47" s="29" t="inlineStr">
        <is>
          <t>1.4.4</t>
        </is>
      </c>
      <c r="C47" s="30" t="inlineStr">
        <is>
          <t>피킹 장소의 확인 및 작업</t>
        </is>
      </c>
      <c r="D47" s="29" t="inlineStr">
        <is>
          <t>p.36~37</t>
        </is>
      </c>
      <c r="E47" s="29" t="inlineStr">
        <is>
          <t>[사진 2]</t>
        </is>
      </c>
      <c r="F47" s="29" t="inlineStr">
        <is>
          <t>SW 모바일(PDA) 피킹 스캔 검증 – 지시에 없는 SKU 스캔 시 경고·진행 차단</t>
        </is>
      </c>
      <c r="G47" s="30" t="inlineStr">
        <is>
          <t>캡처</t>
        </is>
      </c>
      <c r="H47" s="29" t="n"/>
      <c r="I47" s="29" t="inlineStr">
        <is>
          <t>O</t>
        </is>
      </c>
      <c r="J47" s="29" t="inlineStr">
        <is>
          <t>O</t>
        </is>
      </c>
      <c r="K47" s="29" t="inlineStr">
        <is>
          <t>캡션 변경(기존: PDA 스캔 검증 화면) / 01에 삽입 확인 → 수집 완료 처리</t>
        </is>
      </c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p.38</t>
        </is>
      </c>
      <c r="E48" s="29" t="inlineStr">
        <is>
          <t>[사진 1]</t>
        </is>
      </c>
      <c r="F48" s="30" t="inlineStr">
        <is>
          <t>SW(WMS) 슈트 설정 – 슈트번호별 라우트·소트코드 매핑</t>
        </is>
      </c>
      <c r="G48" s="30" t="inlineStr">
        <is>
          <t>캡처</t>
        </is>
      </c>
      <c r="H48" s="29" t="n"/>
      <c r="I48" s="29" t="inlineStr">
        <is>
          <t>O</t>
        </is>
      </c>
      <c r="J48" s="29" t="inlineStr">
        <is>
          <t>O</t>
        </is>
      </c>
      <c r="K48" s="29" t="inlineStr">
        <is>
          <t>캡션 변경(기존: 슈트 설정 화면 캡처) / 01에 삽입 확인 → 수집 완료 처리</t>
        </is>
      </c>
    </row>
    <row r="49" ht="15" customHeight="1" s="24">
      <c r="A49" s="29" t="n">
        <v>46</v>
      </c>
      <c r="B49" s="29" t="inlineStr">
        <is>
          <t>1.4.5</t>
        </is>
      </c>
      <c r="C49" s="30" t="inlineStr">
        <is>
          <t>분류정보의 생성 및 지시</t>
        </is>
      </c>
      <c r="D49" s="29" t="inlineStr">
        <is>
          <t>p.38</t>
        </is>
      </c>
      <c r="E49" s="29" t="inlineStr">
        <is>
          <t>[사진 2]</t>
        </is>
      </c>
      <c r="F49" s="30" t="inlineStr">
        <is>
          <t>분류 영역 전경 사진</t>
        </is>
      </c>
      <c r="G49" s="30" t="inlineStr">
        <is>
          <t>사진</t>
        </is>
      </c>
      <c r="H49" s="29" t="n"/>
      <c r="I49" s="29" t="n"/>
      <c r="J49" s="29" t="n"/>
      <c r="K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p.39</t>
        </is>
      </c>
      <c r="E50" s="29" t="inlineStr">
        <is>
          <t>[사진 1]</t>
        </is>
      </c>
      <c r="F50" s="30" t="inlineStr">
        <is>
          <t>휠소터·3D 소터·싱귤레이터 사진</t>
        </is>
      </c>
      <c r="G50" s="30" t="inlineStr">
        <is>
          <t>사진</t>
        </is>
      </c>
      <c r="H50" s="29" t="n"/>
      <c r="I50" s="29" t="n"/>
      <c r="J50" s="29" t="n"/>
      <c r="K50" s="29" t="n"/>
    </row>
    <row r="51" ht="15" customHeight="1" s="24">
      <c r="A51" s="29" t="n">
        <v>48</v>
      </c>
      <c r="B51" s="29" t="inlineStr">
        <is>
          <t>1.4.6</t>
        </is>
      </c>
      <c r="C51" s="30" t="inlineStr">
        <is>
          <t>분류 작업</t>
        </is>
      </c>
      <c r="D51" s="29" t="inlineStr">
        <is>
          <t>p.39</t>
        </is>
      </c>
      <c r="E51" s="29" t="inlineStr">
        <is>
          <t>[사진 2]</t>
        </is>
      </c>
      <c r="F51" s="30" t="inlineStr">
        <is>
          <t>SW(WMS) 소터 모니터링 – 투입구(DWS)별·시간대별 분류 처리 건수</t>
        </is>
      </c>
      <c r="G51" s="30" t="inlineStr">
        <is>
          <t>캡처</t>
        </is>
      </c>
      <c r="H51" s="29" t="n"/>
      <c r="I51" s="29" t="inlineStr">
        <is>
          <t>O</t>
        </is>
      </c>
      <c r="J51" s="29" t="inlineStr">
        <is>
          <t>O</t>
        </is>
      </c>
      <c r="K51" s="29" t="inlineStr">
        <is>
          <t>캡션 변경(기존: 소터 모니터링 화면 캡처) / 01에 삽입 확인 → 수집 완료 처리</t>
        </is>
      </c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p.40</t>
        </is>
      </c>
      <c r="E52" s="29" t="inlineStr">
        <is>
          <t>[사진 1]</t>
        </is>
      </c>
      <c r="F52" s="30" t="inlineStr">
        <is>
          <t>SW(WMS) 픽킹 리스트 관리 – 피킹·패킹 진행 현황 및 패킹 대기 작업 실시간 조회</t>
        </is>
      </c>
      <c r="G52" s="30" t="inlineStr">
        <is>
          <t>캡처</t>
        </is>
      </c>
      <c r="H52" s="29" t="n"/>
      <c r="I52" s="29" t="inlineStr">
        <is>
          <t>O</t>
        </is>
      </c>
      <c r="J52" s="29" t="inlineStr">
        <is>
          <t>O</t>
        </is>
      </c>
      <c r="K52" s="29" t="inlineStr">
        <is>
          <t>캡션 변경(기존: 패킹 리스트 화면 캡처) / 01에 삽입 확인 → 수집 완료 처리</t>
        </is>
      </c>
    </row>
    <row r="53" ht="15" customHeight="1" s="24">
      <c r="A53" s="29" t="n">
        <v>50</v>
      </c>
      <c r="B53" s="29" t="inlineStr">
        <is>
          <t>1.5.1</t>
        </is>
      </c>
      <c r="C53" s="30" t="inlineStr">
        <is>
          <t>포장장소로의 정보 제공 및 이동</t>
        </is>
      </c>
      <c r="D53" s="29" t="inlineStr">
        <is>
          <t>p.40</t>
        </is>
      </c>
      <c r="E53" s="29" t="inlineStr">
        <is>
          <t>[사진 2]</t>
        </is>
      </c>
      <c r="F53" s="30" t="inlineStr">
        <is>
          <t>포장대 전경 사진</t>
        </is>
      </c>
      <c r="G53" s="30" t="inlineStr">
        <is>
          <t>사진</t>
        </is>
      </c>
      <c r="H53" s="29" t="n"/>
      <c r="I53" s="29" t="n"/>
      <c r="J53" s="29" t="n"/>
      <c r="K53" s="29" t="n"/>
    </row>
    <row r="54" ht="15" customHeight="1" s="24">
      <c r="A54" s="29" t="n">
        <v>51</v>
      </c>
      <c r="B54" s="29" t="inlineStr">
        <is>
          <t>1.5.2</t>
        </is>
      </c>
      <c r="C54" s="30" t="inlineStr">
        <is>
          <t>포장재 및 포장물품 관리</t>
        </is>
      </c>
      <c r="D54" s="29" t="inlineStr">
        <is>
          <t>p.41</t>
        </is>
      </c>
      <c r="E54" s="29" t="inlineStr">
        <is>
          <t>[사진 1]</t>
        </is>
      </c>
      <c r="F54" s="30" t="inlineStr">
        <is>
          <t>포장재 보관 구역 사진</t>
        </is>
      </c>
      <c r="G54" s="30" t="inlineStr">
        <is>
          <t>사진</t>
        </is>
      </c>
      <c r="H54" s="29" t="n"/>
      <c r="I54" s="29" t="n"/>
      <c r="J54" s="29" t="n"/>
      <c r="K54" s="29" t="n"/>
    </row>
    <row r="55" ht="15" customHeight="1" s="24">
      <c r="A55" s="29" t="n">
        <v>52</v>
      </c>
      <c r="B55" s="29" t="inlineStr">
        <is>
          <t>1.5.2</t>
        </is>
      </c>
      <c r="C55" s="30" t="inlineStr">
        <is>
          <t>포장재 및 포장물품 관리</t>
        </is>
      </c>
      <c r="D55" s="29" t="inlineStr">
        <is>
          <t>p.41</t>
        </is>
      </c>
      <c r="E55" s="29" t="inlineStr">
        <is>
          <t>[사진 2]</t>
        </is>
      </c>
      <c r="F55" s="30" t="inlineStr">
        <is>
          <t>SW(WMS) SKU 관리 – 부자재(포장재) 품목별 재고 관리</t>
        </is>
      </c>
      <c r="G55" s="30" t="inlineStr">
        <is>
          <t>캡처</t>
        </is>
      </c>
      <c r="H55" s="29" t="n"/>
      <c r="I55" s="29" t="inlineStr">
        <is>
          <t>O</t>
        </is>
      </c>
      <c r="J55" s="29" t="inlineStr">
        <is>
          <t>O</t>
        </is>
      </c>
      <c r="K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p.42~43</t>
        </is>
      </c>
      <c r="E56" s="29" t="inlineStr">
        <is>
          <t>[사진 1]</t>
        </is>
      </c>
      <c r="F56" s="30" t="inlineStr">
        <is>
          <t>SW(WMS) 출고 검품 – SKU 스캔 검품·녹화 시작·박스/완충재 자동 선택·출고 처리</t>
        </is>
      </c>
      <c r="G56" s="30" t="inlineStr">
        <is>
          <t>캡처</t>
        </is>
      </c>
      <c r="H56" s="29" t="n"/>
      <c r="I56" s="29" t="inlineStr">
        <is>
          <t>O</t>
        </is>
      </c>
      <c r="J56" s="29" t="inlineStr">
        <is>
          <t>O</t>
        </is>
      </c>
      <c r="K56" s="29" t="inlineStr">
        <is>
          <t>캡션 변경(기존: 검품 스캔 화면) / 01에 삽입 확인 → 수집 완료 처리</t>
        </is>
      </c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p.42~43</t>
        </is>
      </c>
      <c r="E57" s="29" t="inlineStr">
        <is>
          <t>[사진 2]</t>
        </is>
      </c>
      <c r="F57" s="30" t="inlineStr">
        <is>
          <t>SW(WMS) 주문 상세 – 패킹 녹화 영상(카메라 2대) 주문별 매핑</t>
        </is>
      </c>
      <c r="G57" s="30" t="inlineStr">
        <is>
          <t>캡처</t>
        </is>
      </c>
      <c r="H57" s="29" t="n"/>
      <c r="I57" s="29" t="inlineStr">
        <is>
          <t>O</t>
        </is>
      </c>
      <c r="J57" s="29" t="inlineStr">
        <is>
          <t>O</t>
        </is>
      </c>
      <c r="K57" s="29" t="inlineStr">
        <is>
          <t>캡션 변경(기존: 녹화 영상 조회 화면 캡처) / 01에 삽입 확인 → 수집 완료 처리</t>
        </is>
      </c>
    </row>
    <row r="58" ht="15" customHeight="1" s="24">
      <c r="A58" s="29" t="n">
        <v>55</v>
      </c>
      <c r="B58" s="29" t="inlineStr">
        <is>
          <t>1.5.3</t>
        </is>
      </c>
      <c r="C58" s="30" t="inlineStr">
        <is>
          <t>검품/검수 및 오류관리(인식 및 처리)</t>
        </is>
      </c>
      <c r="D58" s="29" t="inlineStr">
        <is>
          <t>p.42~43</t>
        </is>
      </c>
      <c r="E58" s="29" t="inlineStr">
        <is>
          <t>[사진 3]</t>
        </is>
      </c>
      <c r="F58" s="29" t="inlineStr">
        <is>
          <t>DWS 계측 사진</t>
        </is>
      </c>
      <c r="G58" s="30" t="inlineStr">
        <is>
          <t>사진</t>
        </is>
      </c>
      <c r="H58" s="29" t="n"/>
      <c r="I58" s="29" t="n"/>
      <c r="J58" s="29" t="n"/>
      <c r="K58" s="29" t="n"/>
    </row>
    <row r="59" ht="15" customHeight="1" s="24">
      <c r="A59" s="29" t="n">
        <v>56</v>
      </c>
      <c r="B59" s="29" t="inlineStr">
        <is>
          <t>1.5.3</t>
        </is>
      </c>
      <c r="C59" s="30" t="inlineStr">
        <is>
          <t>검품/검수 및 오류관리(인식 및 처리)</t>
        </is>
      </c>
      <c r="D59" s="29" t="inlineStr">
        <is>
          <t>p.42~43</t>
        </is>
      </c>
      <c r="E59" s="29" t="inlineStr">
        <is>
          <t>[사진 4]</t>
        </is>
      </c>
      <c r="F59" s="30" t="inlineStr">
        <is>
          <t>이상/클레임 보고서 양식</t>
        </is>
      </c>
      <c r="G59" s="30" t="inlineStr">
        <is>
          <t>자료</t>
        </is>
      </c>
      <c r="H59" s="29" t="n"/>
      <c r="I59" s="29" t="n"/>
      <c r="J59" s="29" t="n"/>
      <c r="K59" s="29" t="n"/>
    </row>
    <row r="60" ht="15" customHeight="1" s="24">
      <c r="A60" s="29" t="n">
        <v>57</v>
      </c>
      <c r="B60" s="29" t="inlineStr">
        <is>
          <t>1.5.4</t>
        </is>
      </c>
      <c r="C60" s="30" t="inlineStr">
        <is>
          <t>포장 작업</t>
        </is>
      </c>
      <c r="D60" s="29" t="inlineStr">
        <is>
          <t>p.44</t>
        </is>
      </c>
      <c r="E60" s="29" t="inlineStr">
        <is>
          <t>[사진 1]</t>
        </is>
      </c>
      <c r="F60" s="30" t="inlineStr">
        <is>
          <t>포장대·봉함기 사진</t>
        </is>
      </c>
      <c r="G60" s="30" t="inlineStr">
        <is>
          <t>사진</t>
        </is>
      </c>
      <c r="H60" s="29" t="n"/>
      <c r="I60" s="29" t="n"/>
      <c r="J60" s="29" t="n"/>
      <c r="K60" s="29" t="n"/>
    </row>
    <row r="61" ht="15" customHeight="1" s="24">
      <c r="A61" s="29" t="n">
        <v>58</v>
      </c>
      <c r="B61" s="29" t="inlineStr">
        <is>
          <t>1.5.5</t>
        </is>
      </c>
      <c r="C61" s="30" t="inlineStr">
        <is>
          <t>배송정보 표시(라벨) 및 부착</t>
        </is>
      </c>
      <c r="D61" s="29" t="inlineStr">
        <is>
          <t>p.45</t>
        </is>
      </c>
      <c r="E61" s="29" t="inlineStr">
        <is>
          <t>[사진 1]</t>
        </is>
      </c>
      <c r="F61" s="30" t="inlineStr">
        <is>
          <t>오토라벨러 사진</t>
        </is>
      </c>
      <c r="G61" s="30" t="inlineStr">
        <is>
          <t>사진</t>
        </is>
      </c>
      <c r="H61" s="29" t="n"/>
      <c r="I61" s="29" t="n"/>
      <c r="J61" s="29" t="n"/>
      <c r="K61" s="29" t="n"/>
    </row>
    <row r="62" ht="15" customHeight="1" s="24">
      <c r="A62" s="29" t="n">
        <v>59</v>
      </c>
      <c r="B62" s="29" t="inlineStr">
        <is>
          <t>1.5.5</t>
        </is>
      </c>
      <c r="C62" s="30" t="inlineStr">
        <is>
          <t>배송정보 표시(라벨) 및 부착</t>
        </is>
      </c>
      <c r="D62" s="29" t="inlineStr">
        <is>
          <t>p.45</t>
        </is>
      </c>
      <c r="E62" s="29" t="inlineStr">
        <is>
          <t>[사진 2]</t>
        </is>
      </c>
      <c r="F62" s="30" t="inlineStr">
        <is>
          <t>SW(WMS) 주문 상세 – 택배사·송장번호 자동 매칭 및 박스·완충재·무게 기록</t>
        </is>
      </c>
      <c r="G62" s="30" t="inlineStr">
        <is>
          <t>캡처</t>
        </is>
      </c>
      <c r="H62" s="29" t="n"/>
      <c r="I62" s="29" t="inlineStr">
        <is>
          <t>O</t>
        </is>
      </c>
      <c r="J62" s="29" t="inlineStr">
        <is>
          <t>O</t>
        </is>
      </c>
      <c r="K62" s="29" t="inlineStr">
        <is>
          <t>캡션 변경(기존: 송장 출력 화면) / 01에 삽입 확인 → 수집 완료 처리</t>
        </is>
      </c>
    </row>
    <row r="63" ht="15" customHeight="1" s="24">
      <c r="A63" s="29" t="n">
        <v>60</v>
      </c>
      <c r="B63" s="29" t="inlineStr">
        <is>
          <t>1.6.1</t>
        </is>
      </c>
      <c r="C63" s="30" t="inlineStr">
        <is>
          <t>발주처별 분류</t>
        </is>
      </c>
      <c r="D63" s="29" t="inlineStr">
        <is>
          <t>p.46~47</t>
        </is>
      </c>
      <c r="E63" s="29" t="inlineStr">
        <is>
          <t>[사진 1]</t>
        </is>
      </c>
      <c r="F63" s="30" t="inlineStr">
        <is>
          <t>슈트별 분류 사진</t>
        </is>
      </c>
      <c r="G63" s="30" t="inlineStr">
        <is>
          <t>사진</t>
        </is>
      </c>
      <c r="H63" s="29" t="n"/>
      <c r="I63" s="29" t="n"/>
      <c r="J63" s="29" t="n"/>
      <c r="K63" s="29" t="n"/>
    </row>
    <row r="64" ht="15" customHeight="1" s="24">
      <c r="A64" s="29" t="n">
        <v>61</v>
      </c>
      <c r="B64" s="29" t="inlineStr">
        <is>
          <t>1.6.1</t>
        </is>
      </c>
      <c r="C64" s="30" t="inlineStr">
        <is>
          <t>발주처별 분류</t>
        </is>
      </c>
      <c r="D64" s="29" t="inlineStr">
        <is>
          <t>p.46~47</t>
        </is>
      </c>
      <c r="E64" s="29" t="inlineStr">
        <is>
          <t>[사진 2]</t>
        </is>
      </c>
      <c r="F64" s="30" t="inlineStr">
        <is>
          <t>SW 모바일(PDA) 번들 작업 – MAWB·Route 확인 및 Route 불일치 화물 스캔 차단</t>
        </is>
      </c>
      <c r="G64" s="30" t="inlineStr">
        <is>
          <t>캡처</t>
        </is>
      </c>
      <c r="H64" s="29" t="n"/>
      <c r="I64" s="29" t="inlineStr">
        <is>
          <t>O</t>
        </is>
      </c>
      <c r="J64" s="29" t="inlineStr">
        <is>
          <t>O</t>
        </is>
      </c>
      <c r="K64" s="29" t="inlineStr">
        <is>
          <t>캡션 변경(기존: 번들 검증 PDA 화면) / 01에 삽입 확인 → 수집 완료 처리</t>
        </is>
      </c>
    </row>
    <row r="65" ht="15" customHeight="1" s="24">
      <c r="A65" s="29" t="n">
        <v>62</v>
      </c>
      <c r="B65" s="29" t="inlineStr">
        <is>
          <t>1.6.2</t>
        </is>
      </c>
      <c r="C65" s="30" t="inlineStr">
        <is>
          <t>차량입차정보의 인식</t>
        </is>
      </c>
      <c r="D65" s="29" t="inlineStr">
        <is>
          <t>p.48</t>
        </is>
      </c>
      <c r="E65" s="29" t="inlineStr">
        <is>
          <t>[사진 1]</t>
        </is>
      </c>
      <c r="F65" s="30" t="inlineStr">
        <is>
          <t>상차 도크 사진</t>
        </is>
      </c>
      <c r="G65" s="30" t="inlineStr">
        <is>
          <t>사진</t>
        </is>
      </c>
      <c r="H65" s="29" t="n"/>
      <c r="I65" s="29" t="n"/>
      <c r="J65" s="29" t="n"/>
      <c r="K65" s="29" t="n"/>
    </row>
    <row r="66" ht="15" customHeight="1" s="24">
      <c r="A66" s="29" t="n">
        <v>63</v>
      </c>
      <c r="B66" s="29" t="inlineStr">
        <is>
          <t>1.6.2</t>
        </is>
      </c>
      <c r="C66" s="30" t="inlineStr">
        <is>
          <t>차량입차정보의 인식</t>
        </is>
      </c>
      <c r="D66" s="29" t="inlineStr">
        <is>
          <t>p.48</t>
        </is>
      </c>
      <c r="E66" s="29" t="inlineStr">
        <is>
          <t>[사진 2]</t>
        </is>
      </c>
      <c r="F66" s="29" t="inlineStr">
        <is>
          <t>TMS MAWB 상세 – 항공편 출항·입항 일정 및 Flight Confirm 관리</t>
        </is>
      </c>
      <c r="G66" s="30" t="inlineStr">
        <is>
          <t>캡처</t>
        </is>
      </c>
      <c r="H66" s="29" t="n"/>
      <c r="I66" s="29" t="inlineStr">
        <is>
          <t>O</t>
        </is>
      </c>
      <c r="J66" s="29" t="inlineStr">
        <is>
          <t>O</t>
        </is>
      </c>
      <c r="K66" s="29" t="inlineStr">
        <is>
          <t>캡션 변경(기존: TLPS 인계 일정 화면) / 01에 삽입 확인 → 수집 완료 처리</t>
        </is>
      </c>
    </row>
    <row r="67" ht="15" customHeight="1" s="24">
      <c r="A67" s="29" t="n">
        <v>64</v>
      </c>
      <c r="B67" s="29" t="inlineStr">
        <is>
          <t>1.6.3</t>
        </is>
      </c>
      <c r="C67" s="30" t="inlineStr">
        <is>
          <t>상차순서 관리 및 작업</t>
        </is>
      </c>
      <c r="D67" s="29" t="inlineStr">
        <is>
          <t>p.49~50</t>
        </is>
      </c>
      <c r="E67" s="29" t="inlineStr">
        <is>
          <t>[사진 1]</t>
        </is>
      </c>
      <c r="F67" s="30" t="inlineStr">
        <is>
          <t>상차 작업 사진</t>
        </is>
      </c>
      <c r="G67" s="30" t="inlineStr">
        <is>
          <t>사진</t>
        </is>
      </c>
      <c r="H67" s="29" t="n"/>
      <c r="I67" s="29" t="n"/>
      <c r="J67" s="29" t="n"/>
      <c r="K67" s="29" t="n"/>
    </row>
    <row r="68" ht="15" customHeight="1" s="24">
      <c r="A68" s="29" t="n">
        <v>65</v>
      </c>
      <c r="B68" s="29" t="inlineStr">
        <is>
          <t>1.6.3</t>
        </is>
      </c>
      <c r="C68" s="30" t="inlineStr">
        <is>
          <t>상차순서 관리 및 작업</t>
        </is>
      </c>
      <c r="D68" s="29" t="inlineStr">
        <is>
          <t>p.49~50</t>
        </is>
      </c>
      <c r="E68" s="29" t="inlineStr">
        <is>
          <t>[사진 2]</t>
        </is>
      </c>
      <c r="F68" s="30" t="inlineStr">
        <is>
          <t>SW 모바일(PDA) MAWB·번들팩 조회 – 출발 일정별 MAWB 확정 및 번들팩별 수량·무게 확인</t>
        </is>
      </c>
      <c r="G68" s="30" t="inlineStr">
        <is>
          <t>캡처</t>
        </is>
      </c>
      <c r="H68" s="29" t="n"/>
      <c r="I68" s="29" t="inlineStr">
        <is>
          <t>O</t>
        </is>
      </c>
      <c r="J68" s="29" t="inlineStr">
        <is>
          <t>O</t>
        </is>
      </c>
      <c r="K68" s="29" t="inlineStr">
        <is>
          <t>캡션 변경(기존: 인계 확인(스캔) 화면) / 01에 삽입 확인 → 수집 완료 처리</t>
        </is>
      </c>
    </row>
    <row r="69" ht="15" customHeight="1" s="24">
      <c r="A69" s="29" t="n">
        <v>66</v>
      </c>
      <c r="B69" s="29" t="inlineStr">
        <is>
          <t>1.6.4</t>
        </is>
      </c>
      <c r="C69" s="30" t="inlineStr">
        <is>
          <t>출고정보의 전달</t>
        </is>
      </c>
      <c r="D69" s="29" t="inlineStr">
        <is>
          <t>p.51~52</t>
        </is>
      </c>
      <c r="E69" s="29" t="inlineStr">
        <is>
          <t>[사진 1]</t>
        </is>
      </c>
      <c r="F69" s="30" t="inlineStr">
        <is>
          <t>TX 어드민 배송 추적 – 포장번호별 출고·DPC 입고·간선 이동 이력 실시간 조회</t>
        </is>
      </c>
      <c r="G69" s="30" t="inlineStr">
        <is>
          <t>캡처</t>
        </is>
      </c>
      <c r="H69" s="29" t="n"/>
      <c r="I69" s="29" t="inlineStr">
        <is>
          <t>O</t>
        </is>
      </c>
      <c r="J69" s="29" t="inlineStr">
        <is>
          <t>O</t>
        </is>
      </c>
      <c r="K69" s="29" t="inlineStr">
        <is>
          <t>캡션 변경(기존: 출고 확정·송장 조회 화면) / 01에 삽입 확인 → 수집 완료 처리</t>
        </is>
      </c>
    </row>
    <row r="70" ht="15" customHeight="1" s="24">
      <c r="A70" s="29" t="n">
        <v>67</v>
      </c>
      <c r="B70" s="29" t="inlineStr">
        <is>
          <t>1.6.4</t>
        </is>
      </c>
      <c r="C70" s="30" t="inlineStr">
        <is>
          <t>출고정보의 전달</t>
        </is>
      </c>
      <c r="D70" s="29" t="inlineStr">
        <is>
          <t>p.51~52</t>
        </is>
      </c>
      <c r="E70" s="29" t="inlineStr">
        <is>
          <t>[사진 2]</t>
        </is>
      </c>
      <c r="F70" s="30" t="inlineStr">
        <is>
          <t>Smartship(OMS) 배송 현황 – 출고 후 배송 단계·배송사·송장번호 자동 연동</t>
        </is>
      </c>
      <c r="G70" s="30" t="inlineStr">
        <is>
          <t>캡처</t>
        </is>
      </c>
      <c r="H70" s="29" t="n"/>
      <c r="I70" s="29" t="inlineStr">
        <is>
          <t>O</t>
        </is>
      </c>
      <c r="J70" s="29" t="inlineStr">
        <is>
          <t>O</t>
        </is>
      </c>
      <c r="K70" s="29" t="inlineStr">
        <is>
          <t>캡션 변경(기존: 출고 영상 매핑 화면) / 01에 삽입 확인 → 수집 완료 처리</t>
        </is>
      </c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p.53~54</t>
        </is>
      </c>
      <c r="E71" s="29" t="inlineStr">
        <is>
          <t>[사진 1]</t>
        </is>
      </c>
      <c r="F71" s="30" t="inlineStr">
        <is>
          <t>도크·레벨러·차양 사진</t>
        </is>
      </c>
      <c r="G71" s="30" t="inlineStr">
        <is>
          <t>사진</t>
        </is>
      </c>
      <c r="H71" s="29" t="n"/>
      <c r="I71" s="29" t="n"/>
      <c r="J71" s="29" t="n"/>
      <c r="K71" s="29" t="inlineStr">
        <is>
          <t>실내 접안(트럭이 건물 안에 접안 + 천장) 보이게 촬영 — 차양·쉘터 V 판단 근거</t>
        </is>
      </c>
    </row>
    <row r="72" ht="15" customHeight="1" s="24">
      <c r="A72" s="29" t="n">
        <v>69</v>
      </c>
      <c r="B72" s="29" t="inlineStr">
        <is>
          <t>2.1.1</t>
        </is>
      </c>
      <c r="C72" s="30" t="inlineStr">
        <is>
          <t>도크 및 바닥성능(재질, 평탄도 및 하중)</t>
        </is>
      </c>
      <c r="D72" s="29" t="inlineStr">
        <is>
          <t>p.53~54</t>
        </is>
      </c>
      <c r="E72" s="29" t="inlineStr">
        <is>
          <t>[사진 2]</t>
        </is>
      </c>
      <c r="F72" s="30" t="inlineStr">
        <is>
          <t>바닥 평탄도·하중 근거(건축 설계도서 또는 임대인 제원표)</t>
        </is>
      </c>
      <c r="G72" s="30" t="inlineStr">
        <is>
          <t>자료</t>
        </is>
      </c>
      <c r="H72" s="29" t="n"/>
      <c r="I72" s="29" t="n"/>
      <c r="J72" s="29" t="n"/>
      <c r="K72" s="29" t="n"/>
    </row>
    <row r="73" ht="29.25" customHeight="1" s="24">
      <c r="A73" s="29" t="n">
        <v>70</v>
      </c>
      <c r="B73" s="29" t="inlineStr">
        <is>
          <t>2.1.1</t>
        </is>
      </c>
      <c r="C73" s="30" t="inlineStr">
        <is>
          <t>도크 및 바닥성능(재질, 평탄도 및 하중)</t>
        </is>
      </c>
      <c r="D73" s="29" t="inlineStr">
        <is>
          <t>p.53~54</t>
        </is>
      </c>
      <c r="E73" s="29" t="inlineStr">
        <is>
          <t>[사진 3]</t>
        </is>
      </c>
      <c r="F73" s="30" t="inlineStr">
        <is>
          <t>바닥 라인 표시 사진</t>
        </is>
      </c>
      <c r="G73" s="30" t="inlineStr">
        <is>
          <t>사진</t>
        </is>
      </c>
      <c r="H73" s="29" t="n"/>
      <c r="I73" s="29" t="n"/>
      <c r="J73" s="29" t="n"/>
      <c r="K73" s="29" t="n"/>
    </row>
    <row r="74" ht="29.25" customHeight="1" s="24">
      <c r="A74" s="29" t="n">
        <v>71</v>
      </c>
      <c r="B74" s="29" t="inlineStr">
        <is>
          <t>2.1.2</t>
        </is>
      </c>
      <c r="C74" s="30" t="inlineStr">
        <is>
          <t>내부구조(층고 및 기둥의 배치구조)</t>
        </is>
      </c>
      <c r="D74" s="29" t="inlineStr">
        <is>
          <t>p.55</t>
        </is>
      </c>
      <c r="E74" s="29" t="inlineStr">
        <is>
          <t>[사진 1]</t>
        </is>
      </c>
      <c r="F74" s="30" t="inlineStr">
        <is>
          <t>평면도(기둥 격자 치수)</t>
        </is>
      </c>
      <c r="G74" s="30" t="inlineStr">
        <is>
          <t>자료</t>
        </is>
      </c>
      <c r="H74" s="29" t="n"/>
      <c r="I74" s="29" t="n"/>
      <c r="J74" s="29" t="n"/>
      <c r="K74" s="29" t="inlineStr">
        <is>
          <t>유형 정정(사진→자료)</t>
        </is>
      </c>
    </row>
    <row r="75" ht="29.25" customHeight="1" s="24">
      <c r="A75" s="29" t="n">
        <v>72</v>
      </c>
      <c r="B75" s="29" t="inlineStr">
        <is>
          <t>2.1.2</t>
        </is>
      </c>
      <c r="C75" s="30" t="inlineStr">
        <is>
          <t>내부구조(층고 및 기둥의 배치구조)</t>
        </is>
      </c>
      <c r="D75" s="29" t="inlineStr">
        <is>
          <t>p.55</t>
        </is>
      </c>
      <c r="E75" s="29" t="inlineStr">
        <is>
          <t>[사진 2]</t>
        </is>
      </c>
      <c r="F75" s="30" t="inlineStr">
        <is>
          <t>보관 영역 전경(층고) 사진</t>
        </is>
      </c>
      <c r="G75" s="30" t="inlineStr">
        <is>
          <t>사진</t>
        </is>
      </c>
      <c r="H75" s="29" t="n"/>
      <c r="I75" s="29" t="n"/>
      <c r="J75" s="29" t="n"/>
      <c r="K75" s="29" t="n"/>
    </row>
    <row r="76" ht="29.25" customHeight="1" s="24">
      <c r="A76" s="29" t="n">
        <v>73</v>
      </c>
      <c r="B76" s="29" t="inlineStr">
        <is>
          <t>2.1.3</t>
        </is>
      </c>
      <c r="C76" s="30" t="inlineStr">
        <is>
          <t>배치 및 동선 관리</t>
        </is>
      </c>
      <c r="D76" s="29" t="inlineStr">
        <is>
          <t>p.56</t>
        </is>
      </c>
      <c r="E76" s="29" t="inlineStr">
        <is>
          <t>[사진 1]</t>
        </is>
      </c>
      <c r="F76" s="30" t="inlineStr">
        <is>
          <t>운영 Lay-out 도면</t>
        </is>
      </c>
      <c r="G76" s="30" t="inlineStr">
        <is>
          <t>자료</t>
        </is>
      </c>
      <c r="H76" s="29" t="n"/>
      <c r="I76" s="29" t="n"/>
      <c r="J76" s="29" t="n"/>
      <c r="K76" s="29" t="n"/>
    </row>
    <row r="77" ht="15" customHeight="1" s="24">
      <c r="A77" s="29" t="n">
        <v>74</v>
      </c>
      <c r="B77" s="29" t="inlineStr">
        <is>
          <t>2.1.3</t>
        </is>
      </c>
      <c r="C77" s="30" t="inlineStr">
        <is>
          <t>배치 및 동선 관리</t>
        </is>
      </c>
      <c r="D77" s="29" t="inlineStr">
        <is>
          <t>p.56</t>
        </is>
      </c>
      <c r="E77" s="29" t="inlineStr">
        <is>
          <t>[사진 2]</t>
        </is>
      </c>
      <c r="F77" s="30" t="inlineStr">
        <is>
          <t>램프웨이·동선 표시 사진</t>
        </is>
      </c>
      <c r="G77" s="30" t="inlineStr">
        <is>
          <t>사진</t>
        </is>
      </c>
      <c r="H77" s="29" t="n"/>
      <c r="I77" s="29" t="n"/>
      <c r="J77" s="29" t="n"/>
      <c r="K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p.57</t>
        </is>
      </c>
      <c r="E78" s="29" t="inlineStr">
        <is>
          <t>[사진 1]</t>
        </is>
      </c>
      <c r="F78" s="30" t="inlineStr">
        <is>
          <t>조도·온습도 측정 기록</t>
        </is>
      </c>
      <c r="G78" s="30" t="inlineStr">
        <is>
          <t>자료</t>
        </is>
      </c>
      <c r="H78" s="29" t="n"/>
      <c r="I78" s="29" t="n"/>
      <c r="J78" s="29" t="n"/>
      <c r="K78" s="29" t="n"/>
    </row>
    <row r="79" ht="15" customHeight="1" s="24">
      <c r="A79" s="29" t="n">
        <v>76</v>
      </c>
      <c r="B79" s="29" t="inlineStr">
        <is>
          <t>2.1.4</t>
        </is>
      </c>
      <c r="C79" s="30" t="inlineStr">
        <is>
          <t>작업환경 관리(공조, 온도, 습도 등)</t>
        </is>
      </c>
      <c r="D79" s="29" t="inlineStr">
        <is>
          <t>p.57</t>
        </is>
      </c>
      <c r="E79" s="29" t="inlineStr">
        <is>
          <t>[사진 2]</t>
        </is>
      </c>
      <c r="F79" s="30" t="inlineStr">
        <is>
          <t>방충·방서 관리 기록</t>
        </is>
      </c>
      <c r="G79" s="30" t="inlineStr">
        <is>
          <t>자료</t>
        </is>
      </c>
      <c r="H79" s="29" t="n"/>
      <c r="I79" s="29" t="n"/>
      <c r="J79" s="29" t="n"/>
      <c r="K79" s="29" t="n"/>
    </row>
    <row r="80" ht="15" customHeight="1" s="24">
      <c r="A80" s="29" t="n">
        <v>77</v>
      </c>
      <c r="B80" s="29" t="inlineStr">
        <is>
          <t>2.1.4</t>
        </is>
      </c>
      <c r="C80" s="30" t="inlineStr">
        <is>
          <t>작업환경 관리(공조, 온도, 습도 등)</t>
        </is>
      </c>
      <c r="D80" s="29" t="inlineStr">
        <is>
          <t>p.57</t>
        </is>
      </c>
      <c r="E80" s="29" t="inlineStr">
        <is>
          <t>[사진 3]</t>
        </is>
      </c>
      <c r="F80" s="30" t="inlineStr">
        <is>
          <t>휴게실 사진</t>
        </is>
      </c>
      <c r="G80" s="30" t="inlineStr">
        <is>
          <t>사진</t>
        </is>
      </c>
      <c r="H80" s="29" t="n"/>
      <c r="I80" s="29" t="n"/>
      <c r="J80" s="29" t="n"/>
      <c r="K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p.58~60</t>
        </is>
      </c>
      <c r="E81" s="29" t="inlineStr">
        <is>
          <t>[사진 1]</t>
        </is>
      </c>
      <c r="F81" s="30" t="inlineStr">
        <is>
          <t>소방시설 자체점검 결과보고서</t>
        </is>
      </c>
      <c r="G81" s="30" t="inlineStr">
        <is>
          <t>자료</t>
        </is>
      </c>
      <c r="H81" s="29" t="n"/>
      <c r="I81" s="29" t="n"/>
      <c r="J81" s="29" t="n"/>
      <c r="K81" s="29" t="n"/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p.58~60</t>
        </is>
      </c>
      <c r="E82" s="29" t="inlineStr">
        <is>
          <t>[사진 2]</t>
        </is>
      </c>
      <c r="F82" s="30" t="inlineStr">
        <is>
          <t>비상구·소화설비 사진</t>
        </is>
      </c>
      <c r="G82" s="30" t="inlineStr">
        <is>
          <t>사진</t>
        </is>
      </c>
      <c r="H82" s="29" t="n"/>
      <c r="I82" s="29" t="n"/>
      <c r="J82" s="29" t="n"/>
      <c r="K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p.58~60</t>
        </is>
      </c>
      <c r="E83" s="29" t="inlineStr">
        <is>
          <t>[사진 3]</t>
        </is>
      </c>
      <c r="F83" s="30" t="inlineStr">
        <is>
          <t>2025 근로자 안전보건교육 수료증(분기별 정기교육 1~4차, 올윈에듀)</t>
        </is>
      </c>
      <c r="G83" s="30" t="inlineStr">
        <is>
          <t>자료</t>
        </is>
      </c>
      <c r="H83" s="29" t="n"/>
      <c r="I83" s="29" t="inlineStr">
        <is>
          <t>O</t>
        </is>
      </c>
      <c r="J83" s="29" t="inlineStr">
        <is>
          <t>O</t>
        </is>
      </c>
      <c r="K83" s="29" t="inlineStr">
        <is>
          <t>10.15 01에 삽입(서약서 8매 모음 / 기관수료증 1~2쪽)</t>
        </is>
      </c>
    </row>
    <row r="84" ht="29.25" customHeight="1" s="24">
      <c r="A84" s="29" t="n">
        <v>81</v>
      </c>
      <c r="B84" s="29" t="inlineStr">
        <is>
          <t>2.1.5</t>
        </is>
      </c>
      <c r="C84" s="30" t="inlineStr">
        <is>
          <t>재해 및 안전관리(방화, 내진, 소방·대피시설, 안전사고관리 등)</t>
        </is>
      </c>
      <c r="D84" s="29" t="inlineStr">
        <is>
          <t>p.58~60</t>
        </is>
      </c>
      <c r="E84" s="29" t="inlineStr">
        <is>
          <t>[사진 4]</t>
        </is>
      </c>
      <c r="F84" s="30" t="inlineStr">
        <is>
          <t>SW(WMS) 공정별 인원관리 – 공정별 현재 투입 인원 실시간 파악(비상 시 인원 확인)</t>
        </is>
      </c>
      <c r="G84" s="30" t="inlineStr">
        <is>
          <t>캡처</t>
        </is>
      </c>
      <c r="H84" s="29" t="n"/>
      <c r="I84" s="29" t="inlineStr">
        <is>
          <t>O</t>
        </is>
      </c>
      <c r="J84" s="29" t="inlineStr">
        <is>
          <t>O</t>
        </is>
      </c>
      <c r="K84" s="29" t="inlineStr">
        <is>
          <t>캡션 변경(기존: 작업자 추적(QR) 화면) / 01에 삽입 확인 → 수집 완료 처리</t>
        </is>
      </c>
    </row>
    <row r="85" ht="29.25" customHeight="1" s="24">
      <c r="A85" s="29" t="n">
        <v>82</v>
      </c>
      <c r="B85" s="29" t="inlineStr">
        <is>
          <t>2.1.5</t>
        </is>
      </c>
      <c r="C85" s="30" t="inlineStr">
        <is>
          <t>재해 및 안전관리(방화, 내진, 소방·대피시설, 안전사고관리 등)</t>
        </is>
      </c>
      <c r="D85" s="29" t="inlineStr">
        <is>
          <t>p.58~60</t>
        </is>
      </c>
      <c r="E85" s="29" t="inlineStr">
        <is>
          <t>[사진 5]</t>
        </is>
      </c>
      <c r="F85" s="30" t="inlineStr">
        <is>
          <t>지게차 안전작업 실천 서약서(2026.06.23, 영종센터 운전자 8명)</t>
        </is>
      </c>
      <c r="G85" s="30" t="inlineStr">
        <is>
          <t>자료</t>
        </is>
      </c>
      <c r="H85" s="29" t="n"/>
      <c r="I85" s="29" t="inlineStr">
        <is>
          <t>O</t>
        </is>
      </c>
      <c r="J85" s="29" t="inlineStr">
        <is>
          <t>O</t>
        </is>
      </c>
      <c r="K85" s="29" t="inlineStr">
        <is>
          <t>10.15 01에 삽입(서약서 8매 모음 / 기관수료증 1~2쪽)</t>
        </is>
      </c>
    </row>
    <row r="86" ht="29.25" customHeight="1" s="24">
      <c r="A86" s="29" t="n">
        <v>83</v>
      </c>
      <c r="B86" s="29" t="inlineStr">
        <is>
          <t>2.2.1</t>
        </is>
      </c>
      <c r="C86" s="30" t="inlineStr">
        <is>
          <t>비용 절감</t>
        </is>
      </c>
      <c r="D86" s="29" t="inlineStr">
        <is>
          <t>p.61</t>
        </is>
      </c>
      <c r="E86" s="29" t="inlineStr">
        <is>
          <t>[사진 1]</t>
        </is>
      </c>
      <c r="F86" s="30" t="inlineStr">
        <is>
          <t>최근 3년 물류비·절감률 실적표</t>
        </is>
      </c>
      <c r="G86" s="30" t="inlineStr">
        <is>
          <t>자료</t>
        </is>
      </c>
      <c r="H86" s="29" t="n"/>
      <c r="I86" s="29" t="n"/>
      <c r="J86" s="29" t="n"/>
      <c r="K86" s="29" t="n"/>
    </row>
    <row r="87" ht="15" customHeight="1" s="24">
      <c r="A87" s="29" t="n">
        <v>84</v>
      </c>
      <c r="B87" s="29" t="inlineStr">
        <is>
          <t>2.2.1</t>
        </is>
      </c>
      <c r="C87" s="30" t="inlineStr">
        <is>
          <t>비용 절감</t>
        </is>
      </c>
      <c r="D87" s="29" t="inlineStr">
        <is>
          <t>p.61</t>
        </is>
      </c>
      <c r="E87" s="29" t="inlineStr">
        <is>
          <t>[사진 2]</t>
        </is>
      </c>
      <c r="F87" s="30" t="inlineStr">
        <is>
          <t>월간 성과보고 자료</t>
        </is>
      </c>
      <c r="G87" s="30" t="inlineStr">
        <is>
          <t>자료</t>
        </is>
      </c>
      <c r="H87" s="29" t="n"/>
      <c r="I87" s="29" t="n"/>
      <c r="J87" s="29" t="n"/>
      <c r="K87" s="29" t="n"/>
    </row>
    <row r="88" ht="15" customHeight="1" s="24">
      <c r="A88" s="29" t="n">
        <v>85</v>
      </c>
      <c r="B88" s="29" t="inlineStr">
        <is>
          <t>2.2.2</t>
        </is>
      </c>
      <c r="C88" s="30" t="inlineStr">
        <is>
          <t>생산성 향상</t>
        </is>
      </c>
      <c r="D88" s="29" t="inlineStr">
        <is>
          <t>p.62</t>
        </is>
      </c>
      <c r="E88" s="29" t="inlineStr">
        <is>
          <t>[사진 1]</t>
        </is>
      </c>
      <c r="F88" s="30" t="inlineStr">
        <is>
          <t>SW(WMS) 공정별 인원 관리 – 공정별·인원별 작업자 수·처리량·작업시간 집계</t>
        </is>
      </c>
      <c r="G88" s="30" t="inlineStr">
        <is>
          <t>캡처</t>
        </is>
      </c>
      <c r="H88" s="29" t="n"/>
      <c r="I88" s="29" t="inlineStr">
        <is>
          <t>O</t>
        </is>
      </c>
      <c r="J88" s="29" t="inlineStr">
        <is>
          <t>O</t>
        </is>
      </c>
      <c r="K88" s="29" t="inlineStr">
        <is>
          <t>캡션 변경(기존: 작업자 추적 화면·리포트 캡처) / 01에 삽입 확인 → 수집 완료 처리</t>
        </is>
      </c>
    </row>
    <row r="89" ht="15" customHeight="1" s="24">
      <c r="A89" s="29" t="n">
        <v>86</v>
      </c>
      <c r="B89" s="29" t="inlineStr">
        <is>
          <t>2.2.2</t>
        </is>
      </c>
      <c r="C89" s="30" t="inlineStr">
        <is>
          <t>생산성 향상</t>
        </is>
      </c>
      <c r="D89" s="29" t="inlineStr">
        <is>
          <t>p.62</t>
        </is>
      </c>
      <c r="E89" s="29" t="inlineStr">
        <is>
          <t>[사진 2]</t>
        </is>
      </c>
      <c r="F89" s="30" t="inlineStr">
        <is>
          <t>최근 3년 UPH 실적표</t>
        </is>
      </c>
      <c r="G89" s="30" t="inlineStr">
        <is>
          <t>자료</t>
        </is>
      </c>
      <c r="H89" s="29" t="n"/>
      <c r="I89" s="29" t="n"/>
      <c r="J89" s="29" t="n"/>
      <c r="K89" s="29" t="n"/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p.63~64</t>
        </is>
      </c>
      <c r="E90" s="29" t="inlineStr">
        <is>
          <t>[사진 1]</t>
        </is>
      </c>
      <c r="F90" s="30" t="inlineStr">
        <is>
          <t>최근 3년 오출고율·정확도 실적</t>
        </is>
      </c>
      <c r="G90" s="30" t="inlineStr">
        <is>
          <t>자료</t>
        </is>
      </c>
      <c r="H90" s="29" t="n"/>
      <c r="I90" s="29" t="n"/>
      <c r="J90" s="29" t="n"/>
      <c r="K90" s="29" t="n"/>
    </row>
    <row r="91" ht="15" customHeight="1" s="24">
      <c r="A91" s="29" t="n">
        <v>88</v>
      </c>
      <c r="B91" s="29" t="inlineStr">
        <is>
          <t>2.2.3</t>
        </is>
      </c>
      <c r="C91" s="30" t="inlineStr">
        <is>
          <t>품질 및 안전관리</t>
        </is>
      </c>
      <c r="D91" s="29" t="inlineStr">
        <is>
          <t>p.63~64</t>
        </is>
      </c>
      <c r="E91" s="29" t="inlineStr">
        <is>
          <t>[사진 2]</t>
        </is>
      </c>
      <c r="F91" s="30" t="inlineStr">
        <is>
          <t>클레임 처리 이력</t>
        </is>
      </c>
      <c r="G91" s="30" t="inlineStr">
        <is>
          <t>자료</t>
        </is>
      </c>
      <c r="H91" s="29" t="n"/>
      <c r="I91" s="29" t="n"/>
      <c r="J91" s="29" t="n"/>
      <c r="K91" s="29" t="n"/>
    </row>
    <row r="92" ht="15" customHeight="1" s="24">
      <c r="A92" s="29" t="n">
        <v>89</v>
      </c>
      <c r="B92" s="29" t="inlineStr">
        <is>
          <t>2.2.3</t>
        </is>
      </c>
      <c r="C92" s="30" t="inlineStr">
        <is>
          <t>품질 및 안전관리</t>
        </is>
      </c>
      <c r="D92" s="29" t="inlineStr">
        <is>
          <t>p.63~64</t>
        </is>
      </c>
      <c r="E92" s="29" t="inlineStr">
        <is>
          <t>[사진 3]</t>
        </is>
      </c>
      <c r="F92" s="30" t="inlineStr">
        <is>
          <t>2025 근로자 안전보건교육 수료증(분기별 정기교육 1~4차)</t>
        </is>
      </c>
      <c r="G92" s="30" t="inlineStr">
        <is>
          <t>자료</t>
        </is>
      </c>
      <c r="H92" s="29" t="n"/>
      <c r="I92" s="29" t="inlineStr">
        <is>
          <t>O</t>
        </is>
      </c>
      <c r="J92" s="29" t="inlineStr">
        <is>
          <t>O</t>
        </is>
      </c>
      <c r="K92" s="29" t="inlineStr">
        <is>
          <t>10.15 01에 삽입(서약서 8매 모음 / 기관수료증 1~2쪽)</t>
        </is>
      </c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p.65</t>
        </is>
      </c>
      <c r="E93" s="29" t="inlineStr">
        <is>
          <t>[사진 1]</t>
        </is>
      </c>
      <c r="F93" s="30" t="inlineStr">
        <is>
          <t>친환경 포장재 적용률 실적</t>
        </is>
      </c>
      <c r="G93" s="30" t="inlineStr">
        <is>
          <t>자료</t>
        </is>
      </c>
      <c r="H93" s="29" t="n"/>
      <c r="I93" s="29" t="n"/>
      <c r="J93" s="29" t="n"/>
      <c r="K93" s="29" t="n"/>
    </row>
    <row r="94" ht="15" customHeight="1" s="24">
      <c r="A94" s="29" t="n">
        <v>91</v>
      </c>
      <c r="B94" s="29" t="inlineStr">
        <is>
          <t>2.2.4</t>
        </is>
      </c>
      <c r="C94" s="30" t="inlineStr">
        <is>
          <t>친환경관리(절수, 절전, 폐기물, 재활용, 조명 등)</t>
        </is>
      </c>
      <c r="D94" s="29" t="inlineStr">
        <is>
          <t>p.65</t>
        </is>
      </c>
      <c r="E94" s="29" t="inlineStr">
        <is>
          <t>[사진 2]</t>
        </is>
      </c>
      <c r="F94" s="30" t="inlineStr">
        <is>
          <t>폐기물 재활용 실적</t>
        </is>
      </c>
      <c r="G94" s="30" t="inlineStr">
        <is>
          <t>자료</t>
        </is>
      </c>
      <c r="H94" s="29" t="n"/>
      <c r="I94" s="29" t="n"/>
      <c r="J94" s="29" t="n"/>
      <c r="K94" s="29" t="n"/>
    </row>
    <row r="95" ht="15" customHeight="1" s="24">
      <c r="A95" s="29" t="n">
        <v>92</v>
      </c>
      <c r="B95" s="29" t="inlineStr">
        <is>
          <t>2.2.4</t>
        </is>
      </c>
      <c r="C95" s="30" t="inlineStr">
        <is>
          <t>친환경관리(절수, 절전, 폐기물, 재활용, 조명 등)</t>
        </is>
      </c>
      <c r="D95" s="29" t="inlineStr">
        <is>
          <t>p.65</t>
        </is>
      </c>
      <c r="E95" s="29" t="inlineStr">
        <is>
          <t>[사진 3]</t>
        </is>
      </c>
      <c r="F95" s="29" t="inlineStr">
        <is>
          <t>LED 조명 등 설비 사진</t>
        </is>
      </c>
      <c r="G95" s="30" t="inlineStr">
        <is>
          <t>사진</t>
        </is>
      </c>
      <c r="H95" s="29" t="n"/>
      <c r="I95" s="29" t="n"/>
      <c r="J95" s="29" t="n"/>
      <c r="K95" s="29" t="n"/>
    </row>
    <row r="96" ht="15" customHeight="1" s="24">
      <c r="A96" s="29" t="n">
        <v>93</v>
      </c>
      <c r="B96" s="29" t="inlineStr">
        <is>
          <t>2.3.1-1</t>
        </is>
      </c>
      <c r="C96" s="30" t="inlineStr">
        <is>
          <t>수발주시스템/상품분류시스템</t>
        </is>
      </c>
      <c r="D96" s="29" t="inlineStr">
        <is>
          <t>p.66~67</t>
        </is>
      </c>
      <c r="E96" s="29" t="inlineStr">
        <is>
          <t>[사진 1]</t>
        </is>
      </c>
      <c r="F96" s="29" t="inlineStr">
        <is>
          <t>Smartship(OMS) 주문 관리 – 판매채널 API 주문 자동 수집 및 풀필먼트 출고 상태 관리</t>
        </is>
      </c>
      <c r="G96" s="30" t="inlineStr">
        <is>
          <t>캡처</t>
        </is>
      </c>
      <c r="H96" s="29" t="n"/>
      <c r="I96" s="29" t="inlineStr">
        <is>
          <t>O</t>
        </is>
      </c>
      <c r="J96" s="29" t="inlineStr">
        <is>
          <t>O</t>
        </is>
      </c>
      <c r="K96" s="29" t="inlineStr">
        <is>
          <t>캡션 변경(기존: Smartship 주문 수집·검증 화면) / 01에 삽입 확인 → 수집 완료 처리</t>
        </is>
      </c>
    </row>
    <row r="97" ht="15" customHeight="1" s="24">
      <c r="A97" s="29" t="n">
        <v>94</v>
      </c>
      <c r="B97" s="29" t="inlineStr">
        <is>
          <t>2.3.1-1</t>
        </is>
      </c>
      <c r="C97" s="30" t="inlineStr">
        <is>
          <t>수발주시스템/상품분류시스템</t>
        </is>
      </c>
      <c r="D97" s="29" t="inlineStr">
        <is>
          <t>p.66~67</t>
        </is>
      </c>
      <c r="E97" s="29" t="inlineStr">
        <is>
          <t>[사진 2]</t>
        </is>
      </c>
      <c r="F97" s="30" t="inlineStr">
        <is>
          <t>Smartship(OMS) 쇼핑몰 주문 연동 – 판매채널별 API 자동 수집 결과</t>
        </is>
      </c>
      <c r="G97" s="30" t="inlineStr">
        <is>
          <t>캡처</t>
        </is>
      </c>
      <c r="H97" s="29" t="n"/>
      <c r="I97" s="29" t="inlineStr">
        <is>
          <t>O</t>
        </is>
      </c>
      <c r="J97" s="29" t="inlineStr">
        <is>
          <t>O</t>
        </is>
      </c>
      <c r="K97" s="29" t="inlineStr">
        <is>
          <t>캡션 변경(기존: 채널 연동 현황 화면) / 01에 삽입 확인 → 수집 완료 처리</t>
        </is>
      </c>
    </row>
    <row r="98" ht="15" customHeight="1" s="24">
      <c r="A98" s="29" t="n">
        <v>95</v>
      </c>
      <c r="B98" s="29" t="inlineStr">
        <is>
          <t>2.3.1-2</t>
        </is>
      </c>
      <c r="C98" s="30" t="inlineStr">
        <is>
          <t>입출고 및 배차배송시스템</t>
        </is>
      </c>
      <c r="D98" s="29" t="inlineStr">
        <is>
          <t>p.68~69</t>
        </is>
      </c>
      <c r="E98" s="29" t="inlineStr">
        <is>
          <t>[사진 1]</t>
        </is>
      </c>
      <c r="F98" s="30" t="inlineStr">
        <is>
          <t>SW(WMS) 입고 확정 – 도착완료·입고완료 처리 및 재고 반영</t>
        </is>
      </c>
      <c r="G98" s="30" t="inlineStr">
        <is>
          <t>캡처</t>
        </is>
      </c>
      <c r="H98" s="29" t="n"/>
      <c r="I98" s="29" t="inlineStr">
        <is>
          <t>O</t>
        </is>
      </c>
      <c r="J98" s="29" t="inlineStr">
        <is>
          <t>O</t>
        </is>
      </c>
      <c r="K98" s="29" t="inlineStr">
        <is>
          <t>10.14 Word 캡션 수정(이미지 속 캡션과 불일치였음)</t>
        </is>
      </c>
    </row>
    <row r="99">
      <c r="A99" s="29" t="n">
        <v>96</v>
      </c>
      <c r="B99" s="29" t="inlineStr">
        <is>
          <t>2.3.1-2</t>
        </is>
      </c>
      <c r="C99" s="30" t="inlineStr">
        <is>
          <t>입출고 및 배차배송시스템</t>
        </is>
      </c>
      <c r="D99" s="29" t="inlineStr">
        <is>
          <t>p.68~69</t>
        </is>
      </c>
      <c r="E99" s="29" t="inlineStr">
        <is>
          <t>[사진 2]</t>
        </is>
      </c>
      <c r="F99" s="29" t="inlineStr">
        <is>
          <t>TMS MAWB 상세 – 항공편 출항·입항 일정 및 Flight Confirm 관리</t>
        </is>
      </c>
      <c r="G99" s="30" t="inlineStr">
        <is>
          <t>캡처</t>
        </is>
      </c>
      <c r="H99" s="29" t="n"/>
      <c r="I99" s="29" t="inlineStr">
        <is>
          <t>O</t>
        </is>
      </c>
      <c r="J99" s="29" t="inlineStr">
        <is>
          <t>O</t>
        </is>
      </c>
      <c r="K99" s="29" t="inlineStr">
        <is>
          <t>10.14 Word 캡션 수정(이미지 속 캡션과 불일치였음)</t>
        </is>
      </c>
    </row>
    <row r="100">
      <c r="A100" s="29" t="n">
        <v>97</v>
      </c>
      <c r="B100" s="29" t="inlineStr">
        <is>
          <t>2.3.1-3</t>
        </is>
      </c>
      <c r="C100" s="30" t="inlineStr">
        <is>
          <t>재고관리시스템</t>
        </is>
      </c>
      <c r="D100" s="29" t="inlineStr">
        <is>
          <t>p.70</t>
        </is>
      </c>
      <c r="E100" s="29" t="inlineStr">
        <is>
          <t>[사진 1]</t>
        </is>
      </c>
      <c r="F100" s="30" t="inlineStr">
        <is>
          <t>SW(WMS) 재고실사 관리 – 실사 생성(대상 유형·기간 지정) 및 실사 목록</t>
        </is>
      </c>
      <c r="G100" s="30" t="inlineStr">
        <is>
          <t>캡처</t>
        </is>
      </c>
      <c r="H100" s="29" t="n"/>
      <c r="I100" s="29" t="inlineStr">
        <is>
          <t>O</t>
        </is>
      </c>
      <c r="J100" s="29" t="inlineStr">
        <is>
          <t>O</t>
        </is>
      </c>
      <c r="K100" s="29" t="inlineStr">
        <is>
          <t>10.14 Word 캡션 수정(이미지 속 캡션과 불일치였음)</t>
        </is>
      </c>
    </row>
    <row r="101">
      <c r="A101" s="29" t="n">
        <v>98</v>
      </c>
      <c r="B101" s="29" t="inlineStr">
        <is>
          <t>2.3.1-4</t>
        </is>
      </c>
      <c r="C101" s="30" t="inlineStr">
        <is>
          <t>자원관리시스템</t>
        </is>
      </c>
      <c r="D101" s="29" t="inlineStr">
        <is>
          <t>p.71</t>
        </is>
      </c>
      <c r="E101" s="29" t="inlineStr">
        <is>
          <t>[사진 1]</t>
        </is>
      </c>
      <c r="F101" s="30" t="inlineStr">
        <is>
          <t>SW(WMS) 창고 레이아웃 관리 – Zone·Block·설비(소터·DWS) 배치 등록</t>
        </is>
      </c>
      <c r="G101" s="30" t="inlineStr">
        <is>
          <t>캡처</t>
        </is>
      </c>
      <c r="H101" s="29" t="n"/>
      <c r="I101" s="29" t="inlineStr">
        <is>
          <t>O</t>
        </is>
      </c>
      <c r="J101" s="29" t="inlineStr">
        <is>
          <t>O</t>
        </is>
      </c>
      <c r="K101" s="29" t="inlineStr">
        <is>
          <t>캡션 변경(기존: 레이아웃관리·디바이스·작업자 추적 화면) / 01에 삽입 확인 → 수집 완료 처리</t>
        </is>
      </c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p.72~73</t>
        </is>
      </c>
      <c r="E102" s="29" t="inlineStr">
        <is>
          <t>[사진 1]</t>
        </is>
      </c>
      <c r="F102" s="30" t="inlineStr">
        <is>
          <t>SW(WMS) 전체 대시보드 – 풀필먼트 공정별 처리 현황</t>
        </is>
      </c>
      <c r="G102" s="30" t="inlineStr">
        <is>
          <t>캡처</t>
        </is>
      </c>
      <c r="H102" s="29" t="n"/>
      <c r="I102" s="29" t="inlineStr">
        <is>
          <t>O</t>
        </is>
      </c>
      <c r="J102" s="29" t="inlineStr">
        <is>
          <t>O</t>
        </is>
      </c>
      <c r="K102" s="29" t="inlineStr">
        <is>
          <t>유형 정정(사진→캡처) / 캡션 변경(기존: 풀필먼트 주문관리 대시보드) / 01에 삽입 확인 → 수집 완료 처리</t>
        </is>
      </c>
    </row>
    <row r="103">
      <c r="A103" s="29" t="n">
        <v>100</v>
      </c>
      <c r="B103" s="29" t="inlineStr">
        <is>
          <t>2.3.1-5</t>
        </is>
      </c>
      <c r="C103" s="30" t="inlineStr">
        <is>
          <t>물류지원시스템</t>
        </is>
      </c>
      <c r="D103" s="29" t="inlineStr">
        <is>
          <t>p.72~73</t>
        </is>
      </c>
      <c r="E103" s="29" t="inlineStr">
        <is>
          <t>[사진 2]</t>
        </is>
      </c>
      <c r="F103" s="30" t="inlineStr">
        <is>
          <t>SW(WMS) 고객반품 관리 – 반품 주문 등록·DPC 도착·검품·셀러 확인·최종 완료 단계 관리</t>
        </is>
      </c>
      <c r="G103" s="30" t="inlineStr">
        <is>
          <t>캡처</t>
        </is>
      </c>
      <c r="H103" s="29" t="n"/>
      <c r="I103" s="29" t="inlineStr">
        <is>
          <t>O</t>
        </is>
      </c>
      <c r="J103" s="29" t="inlineStr">
        <is>
          <t>O</t>
        </is>
      </c>
      <c r="K103" s="29" t="inlineStr">
        <is>
          <t>캡션 변경(기존: 반품 출고 관리 화면) / 01에 삽입 확인 → 수집 완료 처리</t>
        </is>
      </c>
    </row>
    <row r="104">
      <c r="A104" s="29" t="n">
        <v>101</v>
      </c>
      <c r="B104" s="29" t="inlineStr">
        <is>
          <t>2.3.1-5</t>
        </is>
      </c>
      <c r="C104" s="30" t="inlineStr">
        <is>
          <t>물류지원시스템</t>
        </is>
      </c>
      <c r="D104" s="29" t="inlineStr">
        <is>
          <t>p.72~73</t>
        </is>
      </c>
      <c r="E104" s="29" t="inlineStr">
        <is>
          <t>[사진 3]</t>
        </is>
      </c>
      <c r="F104" s="30" t="inlineStr">
        <is>
          <t>SW(WMS) 오류화물(펜딩) 관리 – SKU 미정의·재고 부족·통관 품목·경로 검증 등 유형별 보류 처리</t>
        </is>
      </c>
      <c r="G104" s="30" t="inlineStr">
        <is>
          <t>캡처</t>
        </is>
      </c>
      <c r="H104" s="29" t="n"/>
      <c r="I104" s="29" t="inlineStr">
        <is>
          <t>O</t>
        </is>
      </c>
      <c r="J104" s="29" t="inlineStr">
        <is>
          <t>O</t>
        </is>
      </c>
      <c r="K104" s="29" t="inlineStr">
        <is>
          <t>캡션 변경(기존: 오류화물 관리 화면) / 01에 삽입 확인 → 수집 완료 처리</t>
        </is>
      </c>
    </row>
    <row r="105">
      <c r="A105" s="29" t="n">
        <v>102</v>
      </c>
      <c r="B105" s="29" t="inlineStr">
        <is>
          <t>2.3.2</t>
        </is>
      </c>
      <c r="C105" s="30" t="inlineStr">
        <is>
          <t>창고제어시스템(WCS, MCS)</t>
        </is>
      </c>
      <c r="D105" s="29" t="inlineStr">
        <is>
          <t>p.74</t>
        </is>
      </c>
      <c r="E105" s="29" t="inlineStr">
        <is>
          <t>[사진 1]</t>
        </is>
      </c>
      <c r="F105" s="30" t="inlineStr">
        <is>
          <t>SW(WMS) 소터 모니터링 – 투입구(DWS)별·시간대별 분류 처리 건수</t>
        </is>
      </c>
      <c r="G105" s="30" t="inlineStr">
        <is>
          <t>캡처</t>
        </is>
      </c>
      <c r="H105" s="29" t="n"/>
      <c r="I105" s="29" t="inlineStr">
        <is>
          <t>O</t>
        </is>
      </c>
      <c r="J105" s="29" t="inlineStr">
        <is>
          <t>O</t>
        </is>
      </c>
      <c r="K105" s="29" t="inlineStr">
        <is>
          <t>10.14 Word 캡션 수정(이미지 속 캡션과 불일치였음)</t>
        </is>
      </c>
    </row>
    <row r="106">
      <c r="A106" s="29" t="n">
        <v>103</v>
      </c>
      <c r="B106" s="29" t="inlineStr">
        <is>
          <t>2.3.2</t>
        </is>
      </c>
      <c r="C106" s="30" t="inlineStr">
        <is>
          <t>창고제어시스템(WCS, MCS)</t>
        </is>
      </c>
      <c r="D106" s="29" t="inlineStr">
        <is>
          <t>p.74</t>
        </is>
      </c>
      <c r="E106" s="29" t="inlineStr">
        <is>
          <t>[사진 2]</t>
        </is>
      </c>
      <c r="F106" s="30" t="inlineStr">
        <is>
          <t>설비 구성도</t>
        </is>
      </c>
      <c r="G106" s="30" t="inlineStr">
        <is>
          <t>자료</t>
        </is>
      </c>
      <c r="H106" s="29" t="n"/>
      <c r="I106" s="29" t="n"/>
      <c r="J106" s="29" t="n"/>
      <c r="K106" s="29" t="n"/>
    </row>
    <row r="108">
      <c r="B108" s="48" t="inlineStr">
        <is>
          <t>집계 (2026.10.14, Ⅳ장 사진 2칸 별도)</t>
        </is>
      </c>
    </row>
    <row r="109">
      <c r="B109" s="23" t="inlineStr">
        <is>
          <t>전체 증빙 칸</t>
        </is>
      </c>
      <c r="C109" s="23">
        <f>COUNTA(F4:F106)</f>
        <v/>
      </c>
    </row>
    <row r="110">
      <c r="B110" s="23" t="inlineStr">
        <is>
          <t>수집 완료(O)</t>
        </is>
      </c>
      <c r="C110" s="23">
        <f>COUNTIF(I4:I106,"O")</f>
        <v/>
      </c>
    </row>
    <row r="111">
      <c r="B111" s="23" t="inlineStr">
        <is>
          <t>01 삽입(O)</t>
        </is>
      </c>
      <c r="C111" s="23">
        <f>COUNTIF(J4:J106,"O")</f>
        <v/>
      </c>
    </row>
    <row r="112">
      <c r="B112" s="23" t="inlineStr">
        <is>
          <t>미삽입 – 현장사진</t>
        </is>
      </c>
      <c r="C112" s="23">
        <f>COUNTIFS(G4:G106,"사진",J4:J106,"&lt;&gt;O")</f>
        <v/>
      </c>
    </row>
    <row r="113">
      <c r="B113" s="23" t="inlineStr">
        <is>
          <t>미삽입 – 시스템 캡처</t>
        </is>
      </c>
      <c r="C113" s="23">
        <f>COUNTIFS(G4:G106,"캡처",J4:J106,"&lt;&gt;O")</f>
        <v/>
      </c>
    </row>
    <row r="114">
      <c r="B114" s="23" t="inlineStr">
        <is>
          <t>미삽입 – 자료</t>
        </is>
      </c>
      <c r="C114" s="23">
        <f>COUNTIFS(G4:G106,"자료",J4:J106,"&lt;&gt;O")</f>
        <v/>
      </c>
    </row>
  </sheetData>
  <autoFilter ref="A3:K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2</v>
      </c>
      <c r="D4" s="30" t="inlineStr">
        <is>
          <t>도크레벨러 수량 확인 필요: 02 설계설명서는 1개소, Lay-out(2026.07.27)에는 2개소 표기. (10.06 조정으로 현재 2등급)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도크 10개 모두 적용(10.15, 실내 접안 구조로 차양·날씨 대응 확보). 바닥 ⑥ 적용. 남은 "확인": 바닥 ⑧ AGV·⑨ 자동창고 평탄도 → 임대인(아레나스) 제원 확보 시 2등급(+2.0점), 미적용이면 4등급.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 (참고: 건축물대장상 건물 내진설계 적용·내진능력 VII-0.170g 확인 — 랙 내진은 별도 자료 필요)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2026-10-15T00:57:10Z</dcterms:modified>
  <cp:revision>0</cp:revision>
</cp:coreProperties>
</file>