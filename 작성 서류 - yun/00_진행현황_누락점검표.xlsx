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_제출서류 현황" sheetId="1" state="visible" r:id="rId1"/>
    <sheet xmlns:r="http://schemas.openxmlformats.org/officeDocument/2006/relationships" name="2_불일치·확인 필요" sheetId="2" state="visible" r:id="rId2"/>
    <sheet xmlns:r="http://schemas.openxmlformats.org/officeDocument/2006/relationships" name="3_등급 조정 내역" sheetId="3" state="visible" r:id="rId3"/>
    <sheet xmlns:r="http://schemas.openxmlformats.org/officeDocument/2006/relationships" name="4_증빙자료 수집 목록" sheetId="4" state="visible" r:id="rId4"/>
    <sheet xmlns:r="http://schemas.openxmlformats.org/officeDocument/2006/relationships" name="5_확인 후 등급 변동" sheetId="5" state="visible" r:id="rId5"/>
  </sheets>
  <definedNames>
    <definedName name="_xlnm._FilterDatabase" localSheetId="0" hidden="1">'1_제출서류 현황'!$A$3:$G$25</definedName>
    <definedName name="_xlnm._FilterDatabase" localSheetId="1" hidden="1">'2_불일치·확인 필요'!$A$3:$F$21</definedName>
    <definedName name="_xlnm._FilterDatabase" localSheetId="2" hidden="1">'3_등급 조정 내역'!$A$3:$J$47</definedName>
    <definedName name="_xlnm._FilterDatabase" localSheetId="3" hidden="1">'4_증빙자료 수집 목록'!$A$3:$I$106</definedName>
    <definedName name="_xlnm._FilterDatabase" localSheetId="4" hidden="1">'5_확인 후 등급 변동'!$A$3:$D$25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1F3864"/>
      <sz val="14"/>
    </font>
    <font>
      <name val="Noto Sans CJK SC"/>
      <charset val="1"/>
      <family val="2"/>
      <color rgb="FF595959"/>
      <sz val="9"/>
    </font>
    <font>
      <name val="맑은 고딕"/>
      <charset val="1"/>
      <family val="0"/>
      <b val="1"/>
      <color rgb="FFFFFFFF"/>
      <sz val="10"/>
    </font>
    <font>
      <name val="Noto Sans CJK SC"/>
      <charset val="1"/>
      <family val="2"/>
      <b val="1"/>
      <color rgb="FFFFFFFF"/>
      <sz val="10"/>
    </font>
    <font>
      <name val="맑은 고딕"/>
      <charset val="1"/>
      <family val="0"/>
      <sz val="10"/>
    </font>
    <font>
      <name val="Noto Sans CJK SC"/>
      <charset val="1"/>
      <family val="2"/>
      <sz val="10"/>
    </font>
    <font>
      <name val="Noto Sans CJK SC"/>
      <family val="2"/>
      <sz val="10"/>
    </font>
    <font>
      <name val="Noto Sans CJK SC"/>
      <charset val="1"/>
      <family val="2"/>
      <b val="1"/>
      <sz val="11"/>
    </font>
    <font>
      <name val="Noto Sans CJK SC"/>
      <charset val="1"/>
      <family val="2"/>
      <sz val="11"/>
    </font>
    <font>
      <name val="맑은 고딕"/>
      <charset val="1"/>
      <family val="0"/>
      <b val="1"/>
      <sz val="11"/>
    </font>
  </fonts>
  <fills count="11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B9C"/>
        <bgColor rgb="FFFCE4D6"/>
      </patternFill>
    </fill>
    <fill>
      <patternFill patternType="solid">
        <fgColor rgb="FFDDEBF7"/>
        <bgColor rgb="FFEDEDED"/>
      </patternFill>
    </fill>
    <fill>
      <patternFill patternType="solid">
        <fgColor rgb="FFF8CBAD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EDEDED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center" vertical="top"/>
    </xf>
    <xf numFmtId="0" fontId="9" fillId="3" borderId="1" applyAlignment="1" pivotButton="0" quotePrefix="0" xfId="0">
      <alignment horizontal="center" vertical="top"/>
    </xf>
    <xf numFmtId="0" fontId="9" fillId="8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8" fillId="9" borderId="1" applyAlignment="1" pivotButton="0" quotePrefix="0" xfId="0">
      <alignment horizontal="center" vertical="top"/>
    </xf>
    <xf numFmtId="164" fontId="8" fillId="0" borderId="1" applyAlignment="1" pivotButton="0" quotePrefix="0" xfId="0">
      <alignment horizontal="center" vertical="top"/>
    </xf>
    <xf numFmtId="164" fontId="13" fillId="0" borderId="0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center" vertical="top"/>
    </xf>
    <xf numFmtId="0" fontId="9" fillId="3" borderId="1" applyAlignment="1" pivotButton="0" quotePrefix="0" xfId="0">
      <alignment horizontal="center" vertical="top"/>
    </xf>
    <xf numFmtId="0" fontId="9" fillId="8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8" fillId="9" borderId="1" applyAlignment="1" pivotButton="0" quotePrefix="0" xfId="0">
      <alignment horizontal="center" vertical="top"/>
    </xf>
    <xf numFmtId="164" fontId="8" fillId="0" borderId="1" applyAlignment="1" pivotButton="0" quotePrefix="0" xfId="0">
      <alignment horizontal="center" vertical="top"/>
    </xf>
    <xf numFmtId="0" fontId="8" fillId="10" borderId="1" applyAlignment="1" pivotButton="0" quotePrefix="0" xfId="0">
      <alignment horizontal="center" vertical="top"/>
    </xf>
    <xf numFmtId="164" fontId="13" fillId="0" borderId="0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3" min="1" max="1"/>
    <col width="30" customWidth="1" style="23" min="2" max="2"/>
    <col width="16" customWidth="1" style="23" min="3" max="3"/>
    <col width="34" customWidth="1" style="23" min="4" max="4"/>
    <col width="13" customWidth="1" style="23" min="5" max="5"/>
    <col width="58" customWidth="1" style="23" min="6" max="6"/>
    <col width="34" customWidth="1" style="23" min="7" max="7"/>
  </cols>
  <sheetData>
    <row r="1" ht="21" customHeight="1" s="24">
      <c r="A1" s="25" t="inlineStr">
        <is>
          <t>스마트물류센터 인증 제출서류 진행현황 (영종센터, 기준 2026.09.30)</t>
        </is>
      </c>
    </row>
    <row r="2" ht="15" customHeight="1" s="24">
      <c r="A2" s="26" t="inlineStr">
        <is>
          <t>상태: 완료 / 초안 완료(이번에 작성, 검토·사진 삽입 필요) / 보완 필요 / 발급·수집 필요 / 결정 필요 / 해당 없음</t>
        </is>
      </c>
    </row>
    <row r="3" ht="15" customHeight="1" s="24">
      <c r="A3" s="27" t="inlineStr">
        <is>
          <t>No</t>
        </is>
      </c>
      <c r="B3" s="28" t="inlineStr">
        <is>
          <t>제출서류</t>
        </is>
      </c>
      <c r="C3" s="28" t="inlineStr">
        <is>
          <t>담당</t>
        </is>
      </c>
      <c r="D3" s="28" t="inlineStr">
        <is>
          <t>현재 파일</t>
        </is>
      </c>
      <c r="E3" s="28" t="inlineStr">
        <is>
          <t>상태</t>
        </is>
      </c>
      <c r="F3" s="28" t="inlineStr">
        <is>
          <t>남은 작업</t>
        </is>
      </c>
      <c r="G3" s="28" t="inlineStr">
        <is>
          <t>이번 작성본</t>
        </is>
      </c>
    </row>
    <row r="4" ht="29.25" customHeight="1" s="24">
      <c r="A4" s="29" t="inlineStr">
        <is>
          <t>①</t>
        </is>
      </c>
      <c r="B4" s="30" t="inlineStr">
        <is>
          <t>인증 신청서 (별지 제8호의6서식)</t>
        </is>
      </c>
      <c r="C4" s="30" t="inlineStr">
        <is>
          <t>유재완·장윤진</t>
        </is>
      </c>
      <c r="D4" s="29" t="inlineStr">
        <is>
          <t>2.+[별지…]신청서.hwp</t>
        </is>
      </c>
      <c r="E4" s="31" t="inlineStr">
        <is>
          <t>보완 필요</t>
        </is>
      </c>
      <c r="F4" s="29" t="inlineStr">
        <is>
          <t>HWP 서식 미기재. 「신청서_기재안」 내용을 한글에서 입력, 대표자 승인·날인</t>
        </is>
      </c>
      <c r="G4" s="30" t="inlineStr">
        <is>
          <t>신청서_기재안.docx</t>
        </is>
      </c>
    </row>
    <row r="5" ht="29.25" customHeight="1" s="24">
      <c r="A5" s="29" t="inlineStr">
        <is>
          <t>②-1</t>
        </is>
      </c>
      <c r="B5" s="30" t="inlineStr">
        <is>
          <t>자체평가서 및 증명자료</t>
        </is>
      </c>
      <c r="C5" s="30" t="inlineStr">
        <is>
          <t>박상혁</t>
        </is>
      </c>
      <c r="D5" s="29" t="inlineStr">
        <is>
          <t>01_자체평가서 및 증명자료.docx (빈 양식)</t>
        </is>
      </c>
      <c r="E5" s="32" t="inlineStr">
        <is>
          <t>초안 완료</t>
        </is>
      </c>
      <c r="F5" s="29" t="inlineStr">
        <is>
          <t>44개 세부항목 서술 완료(787.5점). 항목별 사진·캡처 삽입, 작성 메모 확인 후 삭제</t>
        </is>
      </c>
      <c r="G5" s="29" t="inlineStr">
        <is>
          <t>01_자체평가서 및 증명자료(완성본).docx</t>
        </is>
      </c>
    </row>
    <row r="6" ht="29.25" customHeight="1" s="24">
      <c r="A6" s="29" t="inlineStr">
        <is>
          <t>②-2</t>
        </is>
      </c>
      <c r="B6" s="30" t="inlineStr">
        <is>
          <t>설계도면 및 분야별 설계설명서</t>
        </is>
      </c>
      <c r="C6" s="30" t="inlineStr">
        <is>
          <t>유재완·장윤진</t>
        </is>
      </c>
      <c r="D6" s="29" t="inlineStr">
        <is>
          <t>02_…(1차작성)_서우혁회신.docx</t>
        </is>
      </c>
      <c r="E6" s="32" t="inlineStr">
        <is>
          <t>초안 완료</t>
        </is>
      </c>
      <c r="F6" s="29" t="inlineStr">
        <is>
          <t>XXXX 값 채움, 도면 목록을 실제 보유 도면으로 정리. 단면도 확보, 면적 수치 확정</t>
        </is>
      </c>
      <c r="G6" s="29" t="inlineStr">
        <is>
          <t>02_설계도면 및 분야별 설계설명서(완성본).docx</t>
        </is>
      </c>
    </row>
    <row r="7" ht="15" customHeight="1" s="24">
      <c r="A7" s="29" t="inlineStr">
        <is>
          <t>②-3</t>
        </is>
      </c>
      <c r="B7" s="30" t="inlineStr">
        <is>
          <t>설계변경 확인서</t>
        </is>
      </c>
      <c r="C7" s="30" t="inlineStr">
        <is>
          <t>박상혁</t>
        </is>
      </c>
      <c r="D7" s="29" t="inlineStr">
        <is>
          <t>03_설계변경 확인서.docx (빈 양식)</t>
        </is>
      </c>
      <c r="E7" s="33" t="inlineStr">
        <is>
          <t>결정 필요</t>
        </is>
      </c>
      <c r="F7" s="29" t="inlineStr">
        <is>
          <t>"해당 없음"으로 작성. 건축물대장 변경 이력 확인 → 해당 없으면 미제출 가능</t>
        </is>
      </c>
      <c r="G7" s="29" t="inlineStr">
        <is>
          <t>03_설계변경 확인서(완성본).docx</t>
        </is>
      </c>
    </row>
    <row r="8" ht="29.25" customHeight="1" s="24">
      <c r="A8" s="29" t="inlineStr">
        <is>
          <t>②-4</t>
        </is>
      </c>
      <c r="B8" s="30" t="inlineStr">
        <is>
          <t>도입설비 및 장비 명세서</t>
        </is>
      </c>
      <c r="C8" s="30" t="inlineStr">
        <is>
          <t>박상혁</t>
        </is>
      </c>
      <c r="D8" s="29" t="inlineStr">
        <is>
          <t>04_도입설비 및 장비 명세서.docx</t>
        </is>
      </c>
      <c r="E8" s="31" t="inlineStr">
        <is>
          <t>보완 필요</t>
        </is>
      </c>
      <c r="F8" s="29" t="inlineStr">
        <is>
          <t>PDA 수량 [ ]대 공란, DWS 수량 불일치, 지게차·봉함기·휠소터·싱귤레이터 항목 추가, 설비 사진 삽입, "오분류율 0%" 근거 확인</t>
        </is>
      </c>
      <c r="G8" s="29" t="inlineStr">
        <is>
          <t>-</t>
        </is>
      </c>
    </row>
    <row r="9" ht="29.25" customHeight="1" s="24">
      <c r="A9" s="29" t="inlineStr">
        <is>
          <t>②-5</t>
        </is>
      </c>
      <c r="B9" s="30" t="inlineStr">
        <is>
          <t>물류센터 운영 매뉴얼</t>
        </is>
      </c>
      <c r="C9" s="30" t="inlineStr">
        <is>
          <t>유재완·장윤진</t>
        </is>
      </c>
      <c r="D9" s="29" t="inlineStr">
        <is>
          <t>05_물류센터 운영 매뉴얼.docx</t>
        </is>
      </c>
      <c r="E9" s="31" t="inlineStr">
        <is>
          <t>보완 필요</t>
        </is>
      </c>
      <c r="F9" s="29" t="inlineStr">
        <is>
          <t>3.2절 최근 3년 실적·물동량·RTO/RPO가 "예시" 수치 → 실제 값 교체, [작성 양식] 표 삭제</t>
        </is>
      </c>
      <c r="G9" s="29" t="inlineStr">
        <is>
          <t>-</t>
        </is>
      </c>
    </row>
    <row r="10" ht="29.25" customHeight="1" s="24">
      <c r="A10" s="29" t="inlineStr">
        <is>
          <t>②-6</t>
        </is>
      </c>
      <c r="B10" s="30" t="inlineStr">
        <is>
          <t>품질·안전·환경관리 매뉴얼</t>
        </is>
      </c>
      <c r="C10" s="30" t="inlineStr">
        <is>
          <t>유재완·장윤진</t>
        </is>
      </c>
      <c r="D10" s="29" t="inlineStr">
        <is>
          <t>06_품질안전환경관리 매뉴얼.docx (목차만)</t>
        </is>
      </c>
      <c r="E10" s="32" t="inlineStr">
        <is>
          <t>초안 완료</t>
        </is>
      </c>
      <c r="F10" s="30" t="inlineStr">
        <is>
          <t>본문 작성 완료. [ ] 항목(소방설비·교육 이력·친환경 실적) 입력 후 사내 제정·승인</t>
        </is>
      </c>
      <c r="G10" s="29" t="inlineStr">
        <is>
          <t>06_품질안전환경관리 매뉴얼(완성본).docx</t>
        </is>
      </c>
    </row>
    <row r="11" ht="29.25" customHeight="1" s="24">
      <c r="A11" s="29" t="inlineStr">
        <is>
          <t>②-7</t>
        </is>
      </c>
      <c r="B11" s="30" t="inlineStr">
        <is>
          <t>물류정보시스템 기술서</t>
        </is>
      </c>
      <c r="C11" s="30" t="inlineStr">
        <is>
          <t>윤일환</t>
        </is>
      </c>
      <c r="D11" s="29" t="inlineStr">
        <is>
          <t>07_물류정보시스템 기술서.docx</t>
        </is>
      </c>
      <c r="E11" s="31" t="inlineStr">
        <is>
          <t>보완 필요</t>
        </is>
      </c>
      <c r="F11" s="30" t="inlineStr">
        <is>
          <t>작성일 공란, 아키텍처 개요도 미삽입, 연동 채널 목록 확정, "▷ 필요한 내용"·[작성 양식] 안내문 삭제, 화면 캡처 삽입</t>
        </is>
      </c>
      <c r="G11" s="29" t="inlineStr">
        <is>
          <t>-</t>
        </is>
      </c>
    </row>
    <row r="12" ht="15" customHeight="1" s="24">
      <c r="A12" s="29" t="inlineStr">
        <is>
          <t>②-8</t>
        </is>
      </c>
      <c r="B12" s="30" t="inlineStr">
        <is>
          <t>업무-시스템 연계기술서</t>
        </is>
      </c>
      <c r="C12" s="30" t="inlineStr">
        <is>
          <t>윤일환</t>
        </is>
      </c>
      <c r="D12" s="29" t="inlineStr">
        <is>
          <t>08_업무-시스템 연계기술서.docx</t>
        </is>
      </c>
      <c r="E12" s="31" t="inlineStr">
        <is>
          <t>보완 필요</t>
        </is>
      </c>
      <c r="F12" s="30" t="inlineStr">
        <is>
          <t>작성일 공란, 데이터 흐름 도식 추가, "▷ 필요한 내용" 안내문 삭제</t>
        </is>
      </c>
      <c r="G12" s="29" t="inlineStr">
        <is>
          <t>-</t>
        </is>
      </c>
    </row>
    <row r="13" ht="15" customHeight="1" s="24">
      <c r="A13" s="29" t="inlineStr">
        <is>
          <t>②-9</t>
        </is>
      </c>
      <c r="B13" s="30" t="inlineStr">
        <is>
          <t>예비인증서 사본</t>
        </is>
      </c>
      <c r="C13" s="29" t="inlineStr">
        <is>
          <t>-</t>
        </is>
      </c>
      <c r="D13" s="29" t="inlineStr">
        <is>
          <t>09_예비인증서 사본(안내·표지).docx</t>
        </is>
      </c>
      <c r="E13" s="34" t="inlineStr">
        <is>
          <t>해당 없음</t>
        </is>
      </c>
      <c r="F13" s="30" t="inlineStr">
        <is>
          <t>예비인증 이력 없음 → 제출 제외</t>
        </is>
      </c>
      <c r="G13" s="29" t="inlineStr">
        <is>
          <t>-</t>
        </is>
      </c>
    </row>
    <row r="14" ht="29.25" customHeight="1" s="24">
      <c r="A14" s="29" t="inlineStr">
        <is>
          <t>②-10</t>
        </is>
      </c>
      <c r="B14" s="30" t="inlineStr">
        <is>
          <t>법인등기부등본(말소사항 포함)</t>
        </is>
      </c>
      <c r="C14" s="30" t="inlineStr">
        <is>
          <t>유재완(GA)</t>
        </is>
      </c>
      <c r="D14" s="30" t="inlineStr">
        <is>
          <t>공유 받은 서류/4 법인등기사항증명서.pdf</t>
        </is>
      </c>
      <c r="E14" s="33" t="inlineStr">
        <is>
          <t>발급·수집 필요</t>
        </is>
      </c>
      <c r="F14" s="30" t="inlineStr">
        <is>
          <t>신청일 기준 최근본으로 재발급(말소사항 포함). 현 파일 36MB — 제출용 압축본 준비</t>
        </is>
      </c>
      <c r="G14" s="29" t="inlineStr">
        <is>
          <t>-</t>
        </is>
      </c>
    </row>
    <row r="15" ht="15" customHeight="1" s="24">
      <c r="A15" s="29" t="inlineStr">
        <is>
          <t>②-11</t>
        </is>
      </c>
      <c r="B15" s="30" t="inlineStr">
        <is>
          <t>사업자등록증</t>
        </is>
      </c>
      <c r="C15" s="30" t="inlineStr">
        <is>
          <t>유재완(GA)</t>
        </is>
      </c>
      <c r="D15" s="30" t="inlineStr">
        <is>
          <t>없음</t>
        </is>
      </c>
      <c r="E15" s="33" t="inlineStr">
        <is>
          <t>발급·수집 필요</t>
        </is>
      </c>
      <c r="F15" s="30" t="inlineStr">
        <is>
          <t>사업자등록증 사본(또는 사업자등록증명) 확보</t>
        </is>
      </c>
      <c r="G15" s="29" t="inlineStr">
        <is>
          <t>-</t>
        </is>
      </c>
    </row>
    <row r="16" ht="29.25" customHeight="1" s="24">
      <c r="A16" s="29" t="inlineStr">
        <is>
          <t>③</t>
        </is>
      </c>
      <c r="B16" s="30" t="inlineStr">
        <is>
          <t>물류사업 허가증·등록증 사본</t>
        </is>
      </c>
      <c r="C16" s="30" t="inlineStr">
        <is>
          <t>유재완(GA)</t>
        </is>
      </c>
      <c r="D16" s="29" t="inlineStr">
        <is>
          <t>5-1~5-4 (창고업·국제물류주선·화물운송주선·상업서류송달)</t>
        </is>
      </c>
      <c r="E16" s="35" t="inlineStr">
        <is>
          <t>완료</t>
        </is>
      </c>
      <c r="F16" s="30" t="inlineStr">
        <is>
          <t>수령 완료(2026.07.10). 창고업 등록증 상호 오기(트렉스) 확인</t>
        </is>
      </c>
      <c r="G16" s="29" t="inlineStr">
        <is>
          <t>-</t>
        </is>
      </c>
    </row>
    <row r="17" ht="15" customHeight="1" s="24">
      <c r="A17" s="29" t="inlineStr">
        <is>
          <t>④</t>
        </is>
      </c>
      <c r="B17" s="30" t="inlineStr">
        <is>
          <t>사본=원본 확인서</t>
        </is>
      </c>
      <c r="C17" s="30" t="inlineStr">
        <is>
          <t>박상혁</t>
        </is>
      </c>
      <c r="D17" s="29" t="inlineStr">
        <is>
          <t>④_사본=원본 확인서.docx</t>
        </is>
      </c>
      <c r="E17" s="31" t="inlineStr">
        <is>
          <t>보완 필요</t>
        </is>
      </c>
      <c r="F17" s="30" t="inlineStr">
        <is>
          <t>작성일 공란, 공동대표 병기 여부 결정, 대표이사 직인</t>
        </is>
      </c>
      <c r="G17" s="29" t="inlineStr">
        <is>
          <t>-</t>
        </is>
      </c>
    </row>
    <row r="18" ht="15" customHeight="1" s="24">
      <c r="A18" s="29" t="inlineStr">
        <is>
          <t>⑤</t>
        </is>
      </c>
      <c r="B18" s="30" t="inlineStr">
        <is>
          <t>자체평가점수표(일반)</t>
        </is>
      </c>
      <c r="C18" s="30" t="inlineStr">
        <is>
          <t>박상혁</t>
        </is>
      </c>
      <c r="D18" s="30" t="inlineStr">
        <is>
          <t>자체평가점수표(일반).xlsx (855.5점)</t>
        </is>
      </c>
      <c r="E18" s="32" t="inlineStr">
        <is>
          <t>초안 완료</t>
        </is>
      </c>
      <c r="F18" s="30" t="inlineStr">
        <is>
          <t>근거 기준 조정본(787.5점) 작성. ②-1과 동일 등급으로 제출</t>
        </is>
      </c>
      <c r="G18" s="30" t="inlineStr">
        <is>
          <t>자체평가점수표(일반)_근거기준.xlsx</t>
        </is>
      </c>
    </row>
    <row r="19" ht="15" customHeight="1" s="24">
      <c r="A19" s="29" t="inlineStr">
        <is>
          <t>⑥</t>
        </is>
      </c>
      <c r="B19" s="30" t="inlineStr">
        <is>
          <t>조견표</t>
        </is>
      </c>
      <c r="C19" s="30" t="inlineStr">
        <is>
          <t>박상혁</t>
        </is>
      </c>
      <c r="D19" s="30" t="inlineStr">
        <is>
          <t>없음</t>
        </is>
      </c>
      <c r="E19" s="32" t="inlineStr">
        <is>
          <t>초안 완료</t>
        </is>
      </c>
      <c r="F19" s="29" t="inlineStr">
        <is>
          <t>44개 항목 × 수록 쪽·증명자료 매핑 완료. 사진 삽입 후 쪽번호 재확인</t>
        </is>
      </c>
      <c r="G19" s="29" t="inlineStr">
        <is>
          <t>⑥_조견표.docx</t>
        </is>
      </c>
    </row>
    <row r="20" ht="29.25" customHeight="1" s="24">
      <c r="A20" s="29" t="inlineStr">
        <is>
          <t>⑦</t>
        </is>
      </c>
      <c r="B20" s="30" t="inlineStr">
        <is>
          <t>신청기업 소개자료</t>
        </is>
      </c>
      <c r="C20" s="30" t="inlineStr">
        <is>
          <t>유재완·장윤진(마케팅)</t>
        </is>
      </c>
      <c r="D20" s="29" t="inlineStr">
        <is>
          <t>⑦_신청기업 소개자료.docx</t>
        </is>
      </c>
      <c r="E20" s="31" t="inlineStr">
        <is>
          <t>보완 필요</t>
        </is>
      </c>
      <c r="F20" s="30" t="inlineStr">
        <is>
          <t>작성일 공란, 설립일 확인, 상호 통일, 오출고율 0.0001% 기준 확인(05와 상충)</t>
        </is>
      </c>
      <c r="G20" s="29" t="inlineStr">
        <is>
          <t>-</t>
        </is>
      </c>
    </row>
    <row r="21" ht="29.25" customHeight="1" s="24">
      <c r="A21" s="29" t="inlineStr">
        <is>
          <t>⑧</t>
        </is>
      </c>
      <c r="B21" s="30" t="inlineStr">
        <is>
          <t>신청대상 물류센터 소개자료</t>
        </is>
      </c>
      <c r="C21" s="30" t="inlineStr">
        <is>
          <t>유재완·장윤진(마케팅)</t>
        </is>
      </c>
      <c r="D21" s="29" t="inlineStr">
        <is>
          <t>⑧_신청대상 물류센터 소개자료.docx</t>
        </is>
      </c>
      <c r="E21" s="31" t="inlineStr">
        <is>
          <t>보완 필요</t>
        </is>
      </c>
      <c r="F21" s="30" t="inlineStr">
        <is>
          <t>사용승인일, 인력 규모, 출고 처리능력(35,000 예시) 확정</t>
        </is>
      </c>
      <c r="G21" s="29" t="inlineStr">
        <is>
          <t>-</t>
        </is>
      </c>
    </row>
    <row r="22" ht="29.25" customHeight="1" s="24">
      <c r="A22" s="29" t="inlineStr">
        <is>
          <t>⑨</t>
        </is>
      </c>
      <c r="B22" s="30" t="inlineStr">
        <is>
          <t>건축물대장 및 임대차계약서</t>
        </is>
      </c>
      <c r="C22" s="30" t="inlineStr">
        <is>
          <t>유재완·장윤진</t>
        </is>
      </c>
      <c r="D22" s="30" t="inlineStr">
        <is>
          <t>없음</t>
        </is>
      </c>
      <c r="E22" s="33" t="inlineStr">
        <is>
          <t>발급·수집 필요</t>
        </is>
      </c>
      <c r="F22" s="30" t="inlineStr">
        <is>
          <t>건축물대장(총괄·일반) 발급, 임대차계약서 사본 확보 — 사용승인일·연면적·용도 확인의 근거</t>
        </is>
      </c>
      <c r="G22" s="29" t="inlineStr">
        <is>
          <t>-</t>
        </is>
      </c>
    </row>
    <row r="23" ht="15" customHeight="1" s="24">
      <c r="A23" s="29" t="inlineStr">
        <is>
          <t>⑩</t>
        </is>
      </c>
      <c r="B23" s="30" t="inlineStr">
        <is>
          <t>중소기업 확인서</t>
        </is>
      </c>
      <c r="C23" s="30" t="inlineStr">
        <is>
          <t>유재완(GA)</t>
        </is>
      </c>
      <c r="D23" s="30" t="inlineStr">
        <is>
          <t>공유 받은 서류/17 중소기업 확인서.pdf</t>
        </is>
      </c>
      <c r="E23" s="35" t="inlineStr">
        <is>
          <t>완료</t>
        </is>
      </c>
      <c r="F23" s="30" t="inlineStr">
        <is>
          <t>중기업, 유효기간 2026.04.01~2027.03.31 — 수수료 면제 근거</t>
        </is>
      </c>
      <c r="G23" s="29" t="inlineStr">
        <is>
          <t>-</t>
        </is>
      </c>
    </row>
    <row r="24" ht="29.25" customHeight="1" s="24">
      <c r="A24" s="29" t="inlineStr">
        <is>
          <t>⑪</t>
        </is>
      </c>
      <c r="B24" s="30" t="inlineStr">
        <is>
          <t>심사수수료 납부영수증</t>
        </is>
      </c>
      <c r="C24" s="30" t="inlineStr">
        <is>
          <t>유재완·장윤진</t>
        </is>
      </c>
      <c r="D24" s="30" t="inlineStr">
        <is>
          <t>없음</t>
        </is>
      </c>
      <c r="E24" s="33" t="inlineStr">
        <is>
          <t>결정 필요</t>
        </is>
      </c>
      <c r="F24" s="30" t="inlineStr">
        <is>
          <t>중소기업 면제 대상. 면제 시 영수증 대체 서류를 인증센터(044-211-3256)에 확인</t>
        </is>
      </c>
      <c r="G24" s="29" t="inlineStr">
        <is>
          <t>-</t>
        </is>
      </c>
    </row>
    <row r="25" ht="15" customHeight="1" s="24">
      <c r="A25" s="30" t="inlineStr">
        <is>
          <t>기타</t>
        </is>
      </c>
      <c r="B25" s="29" t="inlineStr">
        <is>
          <t>USB 저장매체 / 바인더 1부</t>
        </is>
      </c>
      <c r="C25" s="30" t="inlineStr">
        <is>
          <t>유재완·장윤진</t>
        </is>
      </c>
      <c r="D25" s="29" t="inlineStr">
        <is>
          <t>-</t>
        </is>
      </c>
      <c r="E25" s="33" t="inlineStr">
        <is>
          <t>발급·수집 필요</t>
        </is>
      </c>
      <c r="F25" s="30" t="inlineStr">
        <is>
          <t>전 서류 원본 파일 USB 저장, 바인더(책자) 1부 제본</t>
        </is>
      </c>
      <c r="G25" s="29" t="inlineStr">
        <is>
          <t>-</t>
        </is>
      </c>
    </row>
    <row r="27" ht="15" customHeight="1" s="24">
      <c r="B27" s="36" t="inlineStr">
        <is>
          <t>상태별 건수</t>
        </is>
      </c>
    </row>
    <row r="28" ht="15" customHeight="1" s="24">
      <c r="B28" s="37" t="inlineStr">
        <is>
          <t>보완 필요</t>
        </is>
      </c>
      <c r="C28" s="37">
        <f>COUNTIF(E4:E25,"보완 필요")</f>
        <v/>
      </c>
    </row>
    <row r="29" ht="15" customHeight="1" s="24">
      <c r="B29" s="37" t="inlineStr">
        <is>
          <t>초안 완료</t>
        </is>
      </c>
      <c r="C29" s="37">
        <f>COUNTIF(E4:E25,"초안 완료")</f>
        <v/>
      </c>
    </row>
    <row r="30" ht="15" customHeight="1" s="24">
      <c r="B30" s="37" t="inlineStr">
        <is>
          <t>결정 필요</t>
        </is>
      </c>
      <c r="C30" s="37">
        <f>COUNTIF(E4:E25,"결정 필요")</f>
        <v/>
      </c>
    </row>
    <row r="31" ht="15" customHeight="1" s="24">
      <c r="B31" s="37" t="inlineStr">
        <is>
          <t>해당 없음</t>
        </is>
      </c>
      <c r="C31" s="37">
        <f>COUNTIF(E4:E25,"해당 없음")</f>
        <v/>
      </c>
    </row>
    <row r="32" ht="16.5" customHeight="1" s="24">
      <c r="B32" s="37" t="inlineStr">
        <is>
          <t>발급·수집 필요</t>
        </is>
      </c>
      <c r="C32" s="37">
        <f>COUNTIF(E4:E25,"발급·수집 필요")</f>
        <v/>
      </c>
    </row>
    <row r="33" ht="15" customHeight="1" s="24">
      <c r="B33" s="37" t="inlineStr">
        <is>
          <t>완료</t>
        </is>
      </c>
      <c r="C33" s="37">
        <f>COUNTIF(E4:E25,"완료")</f>
        <v/>
      </c>
    </row>
  </sheetData>
  <autoFilter ref="A3:G2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23" min="1" max="1"/>
    <col width="16" customWidth="1" style="23" min="2" max="2"/>
    <col width="42" customWidth="1" style="23" min="3" max="3"/>
    <col width="48" customWidth="1" style="23" min="4" max="5"/>
    <col width="9" customWidth="1" style="23" min="6" max="6"/>
  </cols>
  <sheetData>
    <row r="1" ht="17.25" customHeight="1" s="24">
      <c r="A1" s="25" t="inlineStr">
        <is>
          <t>문서 간 불일치 및 확인 필요 사항</t>
        </is>
      </c>
    </row>
    <row r="3" ht="15" customHeight="1" s="24">
      <c r="A3" s="27" t="inlineStr">
        <is>
          <t>#</t>
        </is>
      </c>
      <c r="B3" s="28" t="inlineStr">
        <is>
          <t>항목</t>
        </is>
      </c>
      <c r="C3" s="28" t="inlineStr">
        <is>
          <t>문서 A</t>
        </is>
      </c>
      <c r="D3" s="28" t="inlineStr">
        <is>
          <t>문서 B / 근거</t>
        </is>
      </c>
      <c r="E3" s="28" t="inlineStr">
        <is>
          <t>조치</t>
        </is>
      </c>
      <c r="F3" s="28" t="inlineStr">
        <is>
          <t>중요도</t>
        </is>
      </c>
    </row>
    <row r="4" ht="29.25" customHeight="1" s="24">
      <c r="A4" s="29" t="n">
        <v>1</v>
      </c>
      <c r="B4" s="30" t="inlineStr">
        <is>
          <t>상호</t>
        </is>
      </c>
      <c r="C4" s="30" t="inlineStr">
        <is>
          <t>기존 초안 전체: (주)트랙스로지스</t>
        </is>
      </c>
      <c r="D4" s="30" t="inlineStr">
        <is>
          <t>법인등기·중소기업 확인서: 트랙스로지스코리아(주) / 창고업 등록증: 트렉스로지스코리아(주)</t>
        </is>
      </c>
      <c r="E4" s="30" t="inlineStr">
        <is>
          <t>전 문서 "트랙스로지스코리아(주)"로 통일. 창고업 등록증 오기는 중구청 정정 검토</t>
        </is>
      </c>
      <c r="F4" s="38" t="inlineStr">
        <is>
          <t>높음</t>
        </is>
      </c>
    </row>
    <row r="5" ht="15" customHeight="1" s="24">
      <c r="A5" s="29" t="n">
        <v>2</v>
      </c>
      <c r="B5" s="30" t="inlineStr">
        <is>
          <t>대표자</t>
        </is>
      </c>
      <c r="C5" s="29" t="inlineStr">
        <is>
          <t>④·⑦: 김양훈 단독 또는 공동대표 병기 미정</t>
        </is>
      </c>
      <c r="D5" s="30" t="inlineStr">
        <is>
          <t>창고업 등록증: 김양훈 외 1명 / 확인서: 김양훈</t>
        </is>
      </c>
      <c r="E5" s="30" t="inlineStr">
        <is>
          <t>등기상 대표 방식 확인 → 신청서·확인서 표기 통일</t>
        </is>
      </c>
      <c r="F5" s="38" t="inlineStr">
        <is>
          <t>높음</t>
        </is>
      </c>
    </row>
    <row r="6" ht="29.25" customHeight="1" s="24">
      <c r="A6" s="29" t="n">
        <v>3</v>
      </c>
      <c r="B6" s="30" t="inlineStr">
        <is>
          <t>면적</t>
        </is>
      </c>
      <c r="C6" s="29" t="inlineStr">
        <is>
          <t>05·⑧: 6개 기능구역 합계 7,358.4㎡</t>
        </is>
      </c>
      <c r="D6" s="29" t="inlineStr">
        <is>
          <t>Lay-out: 운영면적 2,845평(≈9,405㎡), 구역 합계 8,214㎡ / 창고업 등록증 보관시설 19,412.63㎡</t>
        </is>
      </c>
      <c r="E6" s="30" t="inlineStr">
        <is>
          <t>임대차계약서 면적 기준으로 확정, 용어(임차면적·운영면적·기능구역 합계) 구분 표기</t>
        </is>
      </c>
      <c r="F6" s="38" t="inlineStr">
        <is>
          <t>높음</t>
        </is>
      </c>
    </row>
    <row r="7" ht="15" customHeight="1" s="24">
      <c r="A7" s="29" t="n">
        <v>4</v>
      </c>
      <c r="B7" s="30" t="inlineStr">
        <is>
          <t>면적(검수+맵핑)</t>
        </is>
      </c>
      <c r="C7" s="29" t="inlineStr">
        <is>
          <t>05·02: 해당 구역 없음</t>
        </is>
      </c>
      <c r="D7" s="29" t="inlineStr">
        <is>
          <t>Lay-out 3p: 검수+맵핑 877.5㎡</t>
        </is>
      </c>
      <c r="E7" s="30" t="inlineStr">
        <is>
          <t>분야 배정 결정(검품·포장 또는 상차·출고)</t>
        </is>
      </c>
      <c r="F7" s="39" t="inlineStr">
        <is>
          <t>중간</t>
        </is>
      </c>
    </row>
    <row r="8" ht="15" customHeight="1" s="24">
      <c r="A8" s="29" t="n">
        <v>5</v>
      </c>
      <c r="B8" s="30" t="inlineStr">
        <is>
          <t>피킹 면적</t>
        </is>
      </c>
      <c r="C8" s="29" t="inlineStr">
        <is>
          <t>02·05: 500㎡</t>
        </is>
      </c>
      <c r="D8" s="29" t="inlineStr">
        <is>
          <t>Lay-out: 292.5 + 185.625 = 478.1㎡</t>
        </is>
      </c>
      <c r="E8" s="29" t="inlineStr">
        <is>
          <t>Lay-out 값으로 통일(02 완성본은 478.1㎡ 적용)</t>
        </is>
      </c>
      <c r="F8" s="40" t="inlineStr">
        <is>
          <t>낮음</t>
        </is>
      </c>
    </row>
    <row r="9" ht="15" customHeight="1" s="24">
      <c r="A9" s="29" t="n">
        <v>6</v>
      </c>
      <c r="B9" s="29" t="inlineStr">
        <is>
          <t>DWS 수량</t>
        </is>
      </c>
      <c r="C9" s="29" t="inlineStr">
        <is>
          <t>04: 휴대용 DWS 6대</t>
        </is>
      </c>
      <c r="D9" s="29" t="inlineStr">
        <is>
          <t>02·05: DWS 2대 / 07: 입고용 2대 + 수동 DWS</t>
        </is>
      </c>
      <c r="E9" s="30" t="inlineStr">
        <is>
          <t>설비 대장 기준 종류별(휴대용·컨베이어·수동) 수량 확정</t>
        </is>
      </c>
      <c r="F9" s="38" t="inlineStr">
        <is>
          <t>높음</t>
        </is>
      </c>
    </row>
    <row r="10" ht="15" customHeight="1" s="24">
      <c r="A10" s="29" t="n">
        <v>7</v>
      </c>
      <c r="B10" s="29" t="inlineStr">
        <is>
          <t>PDA 수량</t>
        </is>
      </c>
      <c r="C10" s="29" t="inlineStr">
        <is>
          <t>04 개요표: [ ]대</t>
        </is>
      </c>
      <c r="D10" s="29" t="inlineStr">
        <is>
          <t>04 상세·02·05: 35대</t>
        </is>
      </c>
      <c r="E10" s="29" t="inlineStr">
        <is>
          <t>35대로 기재(확인)</t>
        </is>
      </c>
      <c r="F10" s="39" t="inlineStr">
        <is>
          <t>중간</t>
        </is>
      </c>
    </row>
    <row r="11" ht="15" customHeight="1" s="24">
      <c r="A11" s="29" t="n">
        <v>8</v>
      </c>
      <c r="B11" s="30" t="inlineStr">
        <is>
          <t>도크·도크레벨러</t>
        </is>
      </c>
      <c r="C11" s="29" t="inlineStr">
        <is>
          <t>02·05: 도크레벨러 1개소</t>
        </is>
      </c>
      <c r="D11" s="29" t="inlineStr">
        <is>
          <t>Lay-out: 도크레벨러 2곳 / ⑧: 입고 2 + 상차 2 도크</t>
        </is>
      </c>
      <c r="E11" s="30" t="inlineStr">
        <is>
          <t>현장 확인 후 통일</t>
        </is>
      </c>
      <c r="F11" s="39" t="inlineStr">
        <is>
          <t>중간</t>
        </is>
      </c>
    </row>
    <row r="12" ht="15" customHeight="1" s="24">
      <c r="A12" s="29" t="n">
        <v>9</v>
      </c>
      <c r="B12" s="30" t="inlineStr">
        <is>
          <t>출고 처리능력</t>
        </is>
      </c>
      <c r="C12" s="29" t="inlineStr">
        <is>
          <t>05·02: 일 최대 30,000박스</t>
        </is>
      </c>
      <c r="D12" s="29" t="inlineStr">
        <is>
          <t>⑧: 일 최대 35,000박스(예시)</t>
        </is>
      </c>
      <c r="E12" s="30" t="inlineStr">
        <is>
          <t>확정값으로 통일</t>
        </is>
      </c>
      <c r="F12" s="39" t="inlineStr">
        <is>
          <t>중간</t>
        </is>
      </c>
    </row>
    <row r="13" ht="29.25" customHeight="1" s="24">
      <c r="A13" s="29" t="n">
        <v>10</v>
      </c>
      <c r="B13" s="30" t="inlineStr">
        <is>
          <t>성과 실적</t>
        </is>
      </c>
      <c r="C13" s="29" t="inlineStr">
        <is>
          <t>05 3.2: 2023~2025 오출고율·UPH·절감률·친환경 포장률 "예시"</t>
        </is>
      </c>
      <c r="D13" s="30" t="inlineStr">
        <is>
          <t>실제 결산 자료 없음</t>
        </is>
      </c>
      <c r="E13" s="30" t="inlineStr">
        <is>
          <t>실적 확보 필수 — 없으면 2.2 성과관리 등급 하락(허위기재 시 인증 취소 사유)</t>
        </is>
      </c>
      <c r="F13" s="38" t="inlineStr">
        <is>
          <t>높음</t>
        </is>
      </c>
    </row>
    <row r="14" ht="15" customHeight="1" s="24">
      <c r="A14" s="29" t="n">
        <v>11</v>
      </c>
      <c r="B14" s="30" t="inlineStr">
        <is>
          <t>오출고율</t>
        </is>
      </c>
      <c r="C14" s="29" t="inlineStr">
        <is>
          <t>05(예시): 0.15%(2025)</t>
        </is>
      </c>
      <c r="D14" s="30" t="inlineStr">
        <is>
          <t>⑦ 회사소개서: 0.0001%</t>
        </is>
      </c>
      <c r="E14" s="30" t="inlineStr">
        <is>
          <t>산식·범위(전사/영종센터) 정의 후 한 값으로 통일</t>
        </is>
      </c>
      <c r="F14" s="38" t="inlineStr">
        <is>
          <t>높음</t>
        </is>
      </c>
    </row>
    <row r="15" ht="15" customHeight="1" s="24">
      <c r="A15" s="29" t="n">
        <v>12</v>
      </c>
      <c r="B15" s="30" t="inlineStr">
        <is>
          <t>시스템 목표치</t>
        </is>
      </c>
      <c r="C15" s="29" t="inlineStr">
        <is>
          <t>05 4.3: 가동률 99.9%, RTO 30분, RPO 5분 "예시"</t>
        </is>
      </c>
      <c r="D15" s="30" t="inlineStr">
        <is>
          <t>운영 실적 없음</t>
        </is>
      </c>
      <c r="E15" s="30" t="inlineStr">
        <is>
          <t>실측값 또는 "목표"로 명시</t>
        </is>
      </c>
      <c r="F15" s="39" t="inlineStr">
        <is>
          <t>중간</t>
        </is>
      </c>
    </row>
    <row r="16" ht="15" customHeight="1" s="24">
      <c r="A16" s="29" t="n">
        <v>13</v>
      </c>
      <c r="B16" s="29" t="inlineStr">
        <is>
          <t>PTL 용어</t>
        </is>
      </c>
      <c r="C16" s="29" t="inlineStr">
        <is>
          <t>04: Put-to-Light</t>
        </is>
      </c>
      <c r="D16" s="29" t="inlineStr">
        <is>
          <t>07: Pick to Light</t>
        </is>
      </c>
      <c r="E16" s="30" t="inlineStr">
        <is>
          <t>운영 방식에 맞게 통일(합포장 분류 = Put-to-Light)</t>
        </is>
      </c>
      <c r="F16" s="40" t="inlineStr">
        <is>
          <t>낮음</t>
        </is>
      </c>
    </row>
    <row r="17" ht="15" customHeight="1" s="24">
      <c r="A17" s="29" t="n">
        <v>14</v>
      </c>
      <c r="B17" s="29" t="inlineStr">
        <is>
          <t>3D 소터 효과</t>
        </is>
      </c>
      <c r="C17" s="29" t="inlineStr">
        <is>
          <t>04: "오분류율 0% 달성"</t>
        </is>
      </c>
      <c r="D17" s="30" t="inlineStr">
        <is>
          <t>근거 데이터 없음</t>
        </is>
      </c>
      <c r="E17" s="30" t="inlineStr">
        <is>
          <t>데이터 첨부 또는 표현 완화</t>
        </is>
      </c>
      <c r="F17" s="39" t="inlineStr">
        <is>
          <t>중간</t>
        </is>
      </c>
    </row>
    <row r="18" ht="15" customHeight="1" s="24">
      <c r="A18" s="29" t="n">
        <v>15</v>
      </c>
      <c r="B18" s="30" t="inlineStr">
        <is>
          <t>작성일</t>
        </is>
      </c>
      <c r="C18" s="29" t="inlineStr">
        <is>
          <t>01·03·06·07·08·⑦·⑧·④: 공란</t>
        </is>
      </c>
      <c r="D18" s="29" t="inlineStr">
        <is>
          <t>04·05: 2026년 8월 10일</t>
        </is>
      </c>
      <c r="E18" s="30" t="inlineStr">
        <is>
          <t>모든 서류 기준일자 통일(공고문: 기준일자 제시 필수)</t>
        </is>
      </c>
      <c r="F18" s="38" t="inlineStr">
        <is>
          <t>높음</t>
        </is>
      </c>
    </row>
    <row r="19" ht="29.25" customHeight="1" s="24">
      <c r="A19" s="29" t="n">
        <v>16</v>
      </c>
      <c r="B19" s="30" t="inlineStr">
        <is>
          <t>인증기관 명칭</t>
        </is>
      </c>
      <c r="C19" s="30" t="inlineStr">
        <is>
          <t>작성 서류(yjw91)/1_물류정보시스템 기술서 1.3: "한국통합물류협회 인증 공고"</t>
        </is>
      </c>
      <c r="D19" s="30" t="inlineStr">
        <is>
          <t>인증기관: 한국교통연구원 스마트물류시설인증센터</t>
        </is>
      </c>
      <c r="E19" s="30" t="inlineStr">
        <is>
          <t>해당 원고를 재사용할 경우 수정</t>
        </is>
      </c>
      <c r="F19" s="40" t="inlineStr">
        <is>
          <t>낮음</t>
        </is>
      </c>
    </row>
    <row r="20" ht="15" customHeight="1" s="24">
      <c r="A20" s="29" t="n">
        <v>17</v>
      </c>
      <c r="B20" s="30" t="inlineStr">
        <is>
          <t>사용승인일</t>
        </is>
      </c>
      <c r="C20" s="29" t="inlineStr">
        <is>
          <t>⑧: 2021년 1월 준공(확인 필요)</t>
        </is>
      </c>
      <c r="D20" s="30" t="inlineStr">
        <is>
          <t>건축물대장 미확보</t>
        </is>
      </c>
      <c r="E20" s="30" t="inlineStr">
        <is>
          <t>건축물대장 발급 후 신청서·⑧·03에 반영</t>
        </is>
      </c>
      <c r="F20" s="38" t="inlineStr">
        <is>
          <t>높음</t>
        </is>
      </c>
    </row>
    <row r="21" ht="29.25" customHeight="1" s="24">
      <c r="A21" s="29" t="n">
        <v>18</v>
      </c>
      <c r="B21" s="30" t="inlineStr">
        <is>
          <t>안내문 잔존</t>
        </is>
      </c>
      <c r="C21" s="29" t="inlineStr">
        <is>
          <t>07·08: "▷ 필요한 내용", [작성 양식] 표 / 05: [작성 양식] 표</t>
        </is>
      </c>
      <c r="D21" s="29" t="inlineStr">
        <is>
          <t>-</t>
        </is>
      </c>
      <c r="E21" s="30" t="inlineStr">
        <is>
          <t>제출 전 삭제</t>
        </is>
      </c>
      <c r="F21" s="39" t="inlineStr">
        <is>
          <t>중간</t>
        </is>
      </c>
    </row>
  </sheetData>
  <autoFilter ref="A3:F2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3" min="1" max="1"/>
    <col width="9" customWidth="1" style="23" min="2" max="2"/>
    <col width="32" customWidth="1" style="23" min="3" max="3"/>
    <col width="7" customWidth="1" style="23" min="4" max="4"/>
    <col width="9" customWidth="1" style="23" min="5" max="6"/>
    <col width="10" customWidth="1" style="23" min="7" max="8"/>
    <col width="8" customWidth="1" style="23" min="9" max="9"/>
    <col width="80" customWidth="1" style="23" min="10" max="10"/>
  </cols>
  <sheetData>
    <row r="1" ht="21" customHeight="1" s="24">
      <c r="A1" s="25" t="inlineStr">
        <is>
          <t>자체평가 등급: 기존 점수표 vs 근거 기준 조정</t>
        </is>
      </c>
    </row>
    <row r="3" ht="15" customHeight="1" s="24">
      <c r="A3" s="28" t="inlineStr">
        <is>
          <t>평가항목</t>
        </is>
      </c>
      <c r="B3" s="28" t="inlineStr">
        <is>
          <t>번호</t>
        </is>
      </c>
      <c r="C3" s="28" t="inlineStr">
        <is>
          <t>세부항목</t>
        </is>
      </c>
      <c r="D3" s="28" t="inlineStr">
        <is>
          <t>배점</t>
        </is>
      </c>
      <c r="E3" s="28" t="inlineStr">
        <is>
          <t>기존 등급</t>
        </is>
      </c>
      <c r="F3" s="28" t="inlineStr">
        <is>
          <t>조정 등급</t>
        </is>
      </c>
      <c r="G3" s="28" t="inlineStr">
        <is>
          <t>기존 득점</t>
        </is>
      </c>
      <c r="H3" s="28" t="inlineStr">
        <is>
          <t>조정 득점</t>
        </is>
      </c>
      <c r="I3" s="28" t="inlineStr">
        <is>
          <t>차이</t>
        </is>
      </c>
      <c r="J3" s="28" t="inlineStr">
        <is>
          <t>조정 판단근거(01 자체평가서)</t>
        </is>
      </c>
    </row>
    <row r="4" ht="43.5" customHeight="1" s="24">
      <c r="A4" s="29" t="inlineStr">
        <is>
          <t>1.1 하차 및 입고</t>
        </is>
      </c>
      <c r="B4" s="29" t="inlineStr">
        <is>
          <t>1.1.1</t>
        </is>
      </c>
      <c r="C4" s="30" t="inlineStr">
        <is>
          <t>입고예정정보의 확인</t>
        </is>
      </c>
      <c r="D4" s="41" t="n">
        <v>25</v>
      </c>
      <c r="E4" s="42" t="n">
        <v>2</v>
      </c>
      <c r="F4" s="42" t="n">
        <v>3</v>
      </c>
      <c r="G4" s="43">
        <f>0.5*D4+0.5*D4*(1-(E4-1)/5)</f>
        <v/>
      </c>
      <c r="H4" s="43">
        <f>0.5*D4+0.5*D4*(1-(F4-1)/5)</f>
        <v/>
      </c>
      <c r="I4" s="43">
        <f>H4-G4</f>
        <v/>
      </c>
      <c r="J4" s="30" t="inlineStr">
        <is>
          <t>입고예정정보가 Smartship→SW로 자동 연동되고 현장 PDA와 실시간 연동되므로 3등급. 입고 시간·도크 배정과 인력 배치는 현장 처리로 2등급(조업계획 연동) 미해당 (2026.10.06 조정)</t>
        </is>
      </c>
    </row>
    <row r="5" ht="29.25" customHeight="1" s="24">
      <c r="A5" s="29" t="inlineStr">
        <is>
          <t>1.1 하차 및 입고</t>
        </is>
      </c>
      <c r="B5" s="29" t="inlineStr">
        <is>
          <t>1.1.2</t>
        </is>
      </c>
      <c r="C5" s="30" t="inlineStr">
        <is>
          <t>하역 작업</t>
        </is>
      </c>
      <c r="D5" s="41" t="n">
        <v>20</v>
      </c>
      <c r="E5" s="42" t="n">
        <v>3</v>
      </c>
      <c r="F5" s="42" t="n">
        <v>2</v>
      </c>
      <c r="G5" s="43">
        <f>0.5*D5+0.5*D5*(1-(E5-1)/5)</f>
        <v/>
      </c>
      <c r="H5" s="43">
        <f>0.5*D5+0.5*D5*(1-(F5-1)/5)</f>
        <v/>
      </c>
      <c r="I5" s="43">
        <f>H5-G5</f>
        <v/>
      </c>
      <c r="J5" s="30" t="inlineStr">
        <is>
          <t>작업정보를 온라인·실시간 확인하고, 공정별 인원 관리(WMS-입고 공정)로 하역 투입 인원·작업시간을 실시간 확인·레포트 분석하므로 2등급 (2026.10.06 조정)</t>
        </is>
      </c>
    </row>
    <row r="6" ht="29.25" customHeight="1" s="24">
      <c r="A6" s="29" t="inlineStr">
        <is>
          <t>1.1 하차 및 입고</t>
        </is>
      </c>
      <c r="B6" s="29" t="inlineStr">
        <is>
          <t>1.1.3</t>
        </is>
      </c>
      <c r="C6" s="30" t="inlineStr">
        <is>
          <t>상품 검수/검품/분류</t>
        </is>
      </c>
      <c r="D6" s="41" t="n">
        <v>20</v>
      </c>
      <c r="E6" s="41" t="n">
        <v>4</v>
      </c>
      <c r="F6" s="41" t="n">
        <v>4</v>
      </c>
      <c r="G6" s="43">
        <f>0.5*D6+0.5*D6*(1-(E6-1)/5)</f>
        <v/>
      </c>
      <c r="H6" s="43">
        <f>0.5*D6+0.5*D6*(1-(F6-1)/5)</f>
        <v/>
      </c>
      <c r="I6" s="43">
        <f>H6-G6</f>
        <v/>
      </c>
      <c r="J6" s="30" t="inlineStr">
        <is>
          <t>검수 시 정보시스템과 실시간 연계하여 바코드 등 디지털 정보로 상품 식별·확인을 지원하므로 4등급으로 평가함. 외관 검사가 육안 중심이라 부분 자동화(3등급)는 보수적으로 적용하지 않음.</t>
        </is>
      </c>
    </row>
    <row r="7" ht="29.25" customHeight="1" s="24">
      <c r="A7" s="29" t="inlineStr">
        <is>
          <t>1.1 하차 및 입고</t>
        </is>
      </c>
      <c r="B7" s="29" t="inlineStr">
        <is>
          <t>1.1.4</t>
        </is>
      </c>
      <c r="C7" s="30" t="inlineStr">
        <is>
          <t>제품정보의 인식 및 등록</t>
        </is>
      </c>
      <c r="D7" s="41" t="n">
        <v>20</v>
      </c>
      <c r="E7" s="44" t="n">
        <v>2</v>
      </c>
      <c r="F7" s="44" t="n">
        <v>4</v>
      </c>
      <c r="G7" s="43">
        <f>0.5*D7+0.5*D7*(1-(E7-1)/5)</f>
        <v/>
      </c>
      <c r="H7" s="43">
        <f>0.5*D7+0.5*D7*(1-(F7-1)/5)</f>
        <v/>
      </c>
      <c r="I7" s="43">
        <f>H7-G7</f>
        <v/>
      </c>
      <c r="J7" s="30" t="inlineStr">
        <is>
          <t>상품정보가 바코드로 정보시스템과 실시간 연계되어 인식·등록되므로 4등급. 신규 SKU 등록 시 DWS 자동 측정 미사용 (2026.10.07)</t>
        </is>
      </c>
    </row>
    <row r="8" ht="15" customHeight="1" s="24">
      <c r="A8" s="29" t="inlineStr">
        <is>
          <t>1.1 하차 및 입고</t>
        </is>
      </c>
      <c r="B8" s="29" t="inlineStr">
        <is>
          <t>1.1.5</t>
        </is>
      </c>
      <c r="C8" s="30" t="inlineStr">
        <is>
          <t>입고 처리</t>
        </is>
      </c>
      <c r="D8" s="41" t="n">
        <v>15</v>
      </c>
      <c r="E8" s="41" t="n">
        <v>3</v>
      </c>
      <c r="F8" s="41" t="n">
        <v>3</v>
      </c>
      <c r="G8" s="43">
        <f>0.5*D8+0.5*D8*(1-(E8-1)/5)</f>
        <v/>
      </c>
      <c r="H8" s="43">
        <f>0.5*D8+0.5*D8*(1-(F8-1)/5)</f>
        <v/>
      </c>
      <c r="I8" s="43">
        <f>H8-G8</f>
        <v/>
      </c>
      <c r="J8" s="30" t="inlineStr">
        <is>
          <t>입고 처리가 정보시스템에서 실시간으로 확정·반영되므로 3등급으로 평가함.</t>
        </is>
      </c>
    </row>
    <row r="9" ht="29.25" customHeight="1" s="24">
      <c r="A9" s="29" t="inlineStr">
        <is>
          <t>1.2 운반 및 적치</t>
        </is>
      </c>
      <c r="B9" s="29" t="inlineStr">
        <is>
          <t>1.2.1</t>
        </is>
      </c>
      <c r="C9" s="30" t="inlineStr">
        <is>
          <t>작업정보의 정보제공</t>
        </is>
      </c>
      <c r="D9" s="41" t="n">
        <v>30</v>
      </c>
      <c r="E9" s="42" t="n">
        <v>2</v>
      </c>
      <c r="F9" s="42" t="n">
        <v>3</v>
      </c>
      <c r="G9" s="43">
        <f>0.5*D9+0.5*D9*(1-(E9-1)/5)</f>
        <v/>
      </c>
      <c r="H9" s="43">
        <f>0.5*D9+0.5*D9*(1-(F9-1)/5)</f>
        <v/>
      </c>
      <c r="I9" s="43">
        <f>H9-G9</f>
        <v/>
      </c>
      <c r="J9" s="30" t="inlineStr">
        <is>
          <t>작업정보를 정보시스템에서 실시간 온라인으로 제공하므로 3등급으로 평가함. 로케이션 추천 로직의 최적화(회전율·ABC 분석 등) 근거를 제시하면 2등급 검토 가능.</t>
        </is>
      </c>
    </row>
    <row r="10" ht="15" customHeight="1" s="24">
      <c r="A10" s="29" t="inlineStr">
        <is>
          <t>1.2 운반 및 적치</t>
        </is>
      </c>
      <c r="B10" s="29" t="inlineStr">
        <is>
          <t>1.2.2</t>
        </is>
      </c>
      <c r="C10" s="30" t="inlineStr">
        <is>
          <t>적치장소 이동</t>
        </is>
      </c>
      <c r="D10" s="41" t="n">
        <v>30</v>
      </c>
      <c r="E10" s="41" t="n">
        <v>3</v>
      </c>
      <c r="F10" s="41" t="n">
        <v>3</v>
      </c>
      <c r="G10" s="43">
        <f>0.5*D10+0.5*D10*(1-(E10-1)/5)</f>
        <v/>
      </c>
      <c r="H10" s="43">
        <f>0.5*D10+0.5*D10*(1-(F10-1)/5)</f>
        <v/>
      </c>
      <c r="I10" s="43">
        <f>H10-G10</f>
        <v/>
      </c>
      <c r="J10" s="30" t="inlineStr">
        <is>
          <t>물리적 이동은 지게차 수작업이나 이동 지시·확정이 실시간 시스템 연동되므로 3등급으로 평가함.</t>
        </is>
      </c>
    </row>
    <row r="11" ht="29.25" customHeight="1" s="24">
      <c r="A11" s="29" t="inlineStr">
        <is>
          <t>1.2 운반 및 적치</t>
        </is>
      </c>
      <c r="B11" s="29" t="inlineStr">
        <is>
          <t>1.2.3</t>
        </is>
      </c>
      <c r="C11" s="30" t="inlineStr">
        <is>
          <t>작업경로 관리</t>
        </is>
      </c>
      <c r="D11" s="41" t="n">
        <v>20</v>
      </c>
      <c r="E11" s="42" t="n">
        <v>3</v>
      </c>
      <c r="F11" s="42" t="n">
        <v>4</v>
      </c>
      <c r="G11" s="43">
        <f>0.5*D11+0.5*D11*(1-(E11-1)/5)</f>
        <v/>
      </c>
      <c r="H11" s="43">
        <f>0.5*D11+0.5*D11*(1-(F11-1)/5)</f>
        <v/>
      </c>
      <c r="I11" s="43">
        <f>H11-G11</f>
        <v/>
      </c>
      <c r="J11" s="30" t="inlineStr">
        <is>
          <t>작업경로 정보는 온라인으로 제공되나 실시간 경로 관리가 이루어지지 않아 4등급으로 평가함(기존 3등급에서 조정).</t>
        </is>
      </c>
    </row>
    <row r="12" ht="15" customHeight="1" s="24">
      <c r="A12" s="29" t="inlineStr">
        <is>
          <t>1.2 운반 및 적치</t>
        </is>
      </c>
      <c r="B12" s="29" t="inlineStr">
        <is>
          <t>1.2.4</t>
        </is>
      </c>
      <c r="C12" s="30" t="inlineStr">
        <is>
          <t>적치장소 식별 및 작업</t>
        </is>
      </c>
      <c r="D12" s="41" t="n">
        <v>20</v>
      </c>
      <c r="E12" s="41" t="n">
        <v>3</v>
      </c>
      <c r="F12" s="41" t="n">
        <v>3</v>
      </c>
      <c r="G12" s="43">
        <f>0.5*D12+0.5*D12*(1-(E12-1)/5)</f>
        <v/>
      </c>
      <c r="H12" s="43">
        <f>0.5*D12+0.5*D12*(1-(F12-1)/5)</f>
        <v/>
      </c>
      <c r="I12" s="43">
        <f>H12-G12</f>
        <v/>
      </c>
      <c r="J12" s="30" t="inlineStr">
        <is>
          <t>적치장소 식별과 확인이 실시간 시스템 연동으로 이루어지므로 3등급으로 평가함.</t>
        </is>
      </c>
    </row>
    <row r="13" ht="29.25" customHeight="1" s="24">
      <c r="A13" s="29" t="inlineStr">
        <is>
          <t>1.3 보관 및 재고관리</t>
        </is>
      </c>
      <c r="B13" s="29" t="inlineStr">
        <is>
          <t>1.3.1</t>
        </is>
      </c>
      <c r="C13" s="30" t="inlineStr">
        <is>
          <t>재고조사의 수행 및 방법</t>
        </is>
      </c>
      <c r="D13" s="41" t="n">
        <v>30</v>
      </c>
      <c r="E13" s="42" t="n">
        <v>2</v>
      </c>
      <c r="F13" s="42" t="n">
        <v>3</v>
      </c>
      <c r="G13" s="43">
        <f>0.5*D13+0.5*D13*(1-(E13-1)/5)</f>
        <v/>
      </c>
      <c r="H13" s="43">
        <f>0.5*D13+0.5*D13*(1-(F13-1)/5)</f>
        <v/>
      </c>
      <c r="I13" s="43">
        <f>H13-G13</f>
        <v/>
      </c>
      <c r="J13" s="30" t="inlineStr">
        <is>
          <t>재고조사가 정보시스템과 전사적으로 연계되어 수행·분석·피드백되므로 3등급으로 평가함. 차이 분석 자동화와 주기적 개선 실적을 제시하면 2등급 검토 가능.</t>
        </is>
      </c>
    </row>
    <row r="14" ht="15" customHeight="1" s="24">
      <c r="A14" s="29" t="inlineStr">
        <is>
          <t>1.3 보관 및 재고관리</t>
        </is>
      </c>
      <c r="B14" s="29" t="inlineStr">
        <is>
          <t>1.3.2</t>
        </is>
      </c>
      <c r="C14" s="30" t="inlineStr">
        <is>
          <t>재고보충정보의 생성 및 지시</t>
        </is>
      </c>
      <c r="D14" s="41" t="n">
        <v>25</v>
      </c>
      <c r="E14" s="42" t="n">
        <v>2</v>
      </c>
      <c r="F14" s="42" t="n">
        <v>4</v>
      </c>
      <c r="G14" s="43">
        <f>0.5*D14+0.5*D14*(1-(E14-1)/5)</f>
        <v/>
      </c>
      <c r="H14" s="43">
        <f>0.5*D14+0.5*D14*(1-(F14-1)/5)</f>
        <v/>
      </c>
      <c r="I14" s="43">
        <f>H14-G14</f>
        <v/>
      </c>
      <c r="J14" s="30" t="inlineStr">
        <is>
          <t>보관·피킹 겸용 셀 운영으로 보충 수요가 적고(최근 1년 보충 이동 2건), 필요 시 정보시스템에 수동 등록·추적하므로 4등급으로 평가함.</t>
        </is>
      </c>
    </row>
    <row r="15" ht="15" customHeight="1" s="24">
      <c r="A15" s="29" t="inlineStr">
        <is>
          <t>1.3 보관 및 재고관리</t>
        </is>
      </c>
      <c r="B15" s="29" t="inlineStr">
        <is>
          <t>1.3.3</t>
        </is>
      </c>
      <c r="C15" s="30" t="inlineStr">
        <is>
          <t>재고 보관위치의 조정</t>
        </is>
      </c>
      <c r="D15" s="41" t="n">
        <v>15</v>
      </c>
      <c r="E15" s="42" t="n">
        <v>2</v>
      </c>
      <c r="F15" s="42" t="n">
        <v>3</v>
      </c>
      <c r="G15" s="43">
        <f>0.5*D15+0.5*D15*(1-(E15-1)/5)</f>
        <v/>
      </c>
      <c r="H15" s="43">
        <f>0.5*D15+0.5*D15*(1-(F15-1)/5)</f>
        <v/>
      </c>
      <c r="I15" s="43">
        <f>H15-G15</f>
        <v/>
      </c>
      <c r="J15" s="30" t="inlineStr">
        <is>
          <t>보관위치 조정이 시스템에서 실시간 관리되므로 3등급으로 평가함.</t>
        </is>
      </c>
    </row>
    <row r="16" ht="15" customHeight="1" s="24">
      <c r="A16" s="29" t="inlineStr">
        <is>
          <t>1.3 보관 및 재고관리</t>
        </is>
      </c>
      <c r="B16" s="29" t="inlineStr">
        <is>
          <t>1.3.4</t>
        </is>
      </c>
      <c r="C16" s="30" t="inlineStr">
        <is>
          <t>보관장소의 모니터링 및 관리</t>
        </is>
      </c>
      <c r="D16" s="41" t="n">
        <v>15</v>
      </c>
      <c r="E16" s="41" t="n">
        <v>2</v>
      </c>
      <c r="F16" s="41" t="n">
        <v>2</v>
      </c>
      <c r="G16" s="43">
        <f>0.5*D16+0.5*D16*(1-(E16-1)/5)</f>
        <v/>
      </c>
      <c r="H16" s="43">
        <f>0.5*D16+0.5*D16*(1-(F16-1)/5)</f>
        <v/>
      </c>
      <c r="I16" s="43">
        <f>H16-G16</f>
        <v/>
      </c>
      <c r="J16" s="30" t="inlineStr">
        <is>
          <t>보관장소 모니터링이 실시간 연계되고 주기적 분석으로 통합 관리되므로 2등급으로 평가함.</t>
        </is>
      </c>
    </row>
    <row r="17" ht="15" customHeight="1" s="24">
      <c r="A17" s="29" t="inlineStr">
        <is>
          <t>1.3 보관 및 재고관리</t>
        </is>
      </c>
      <c r="B17" s="29" t="inlineStr">
        <is>
          <t>1.3.5</t>
        </is>
      </c>
      <c r="C17" s="30" t="inlineStr">
        <is>
          <t>재고 이력(선입선출 등) 및 품질관리</t>
        </is>
      </c>
      <c r="D17" s="41" t="n">
        <v>15</v>
      </c>
      <c r="E17" s="42" t="n">
        <v>2</v>
      </c>
      <c r="F17" s="42" t="n">
        <v>3</v>
      </c>
      <c r="G17" s="43">
        <f>0.5*D17+0.5*D17*(1-(E17-1)/5)</f>
        <v/>
      </c>
      <c r="H17" s="43">
        <f>0.5*D17+0.5*D17*(1-(F17-1)/5)</f>
        <v/>
      </c>
      <c r="I17" s="43">
        <f>H17-G17</f>
        <v/>
      </c>
      <c r="J17" s="30" t="inlineStr">
        <is>
          <t>재고 이력과 품질관리 정보가 정보시스템에 연계되어 관리되므로 3등급으로 평가함.</t>
        </is>
      </c>
    </row>
    <row r="18" ht="15" customHeight="1" s="24">
      <c r="A18" s="29" t="inlineStr">
        <is>
          <t>1.4 피킹 및 분류</t>
        </is>
      </c>
      <c r="B18" s="29" t="inlineStr">
        <is>
          <t>1.4.1</t>
        </is>
      </c>
      <c r="C18" s="30" t="inlineStr">
        <is>
          <t>작업정보의 생성 및 지시</t>
        </is>
      </c>
      <c r="D18" s="41" t="n">
        <v>20</v>
      </c>
      <c r="E18" s="44" t="n">
        <v>3</v>
      </c>
      <c r="F18" s="44" t="n">
        <v>2</v>
      </c>
      <c r="G18" s="43">
        <f>0.5*D18+0.5*D18*(1-(E18-1)/5)</f>
        <v/>
      </c>
      <c r="H18" s="43">
        <f>0.5*D18+0.5*D18*(1-(F18-1)/5)</f>
        <v/>
      </c>
      <c r="I18" s="43">
        <f>H18-G18</f>
        <v/>
      </c>
      <c r="J18" s="30" t="inlineStr">
        <is>
          <t>실시간 작업지시 생성·전달 + 주문 구성에 따른 피킹 방식 자동 결정(최적화)으로 2등급 (2026.10.07)</t>
        </is>
      </c>
    </row>
    <row r="19" ht="15" customHeight="1" s="24">
      <c r="A19" s="29" t="inlineStr">
        <is>
          <t>1.4 피킹 및 분류</t>
        </is>
      </c>
      <c r="B19" s="29" t="inlineStr">
        <is>
          <t>1.4.2</t>
        </is>
      </c>
      <c r="C19" s="30" t="inlineStr">
        <is>
          <t>작업정보의 확인 방법</t>
        </is>
      </c>
      <c r="D19" s="41" t="n">
        <v>10</v>
      </c>
      <c r="E19" s="41" t="n">
        <v>3</v>
      </c>
      <c r="F19" s="41" t="n">
        <v>3</v>
      </c>
      <c r="G19" s="43">
        <f>0.5*D19+0.5*D19*(1-(E19-1)/5)</f>
        <v/>
      </c>
      <c r="H19" s="43">
        <f>0.5*D19+0.5*D19*(1-(F19-1)/5)</f>
        <v/>
      </c>
      <c r="I19" s="43">
        <f>H19-G19</f>
        <v/>
      </c>
      <c r="J19" s="30" t="inlineStr">
        <is>
          <t>작업정보를 PDA·PTL로 실시간 확인하므로 3등급으로 평가함.</t>
        </is>
      </c>
    </row>
    <row r="20" ht="15" customHeight="1" s="24">
      <c r="A20" s="29" t="inlineStr">
        <is>
          <t>1.4 피킹 및 분류</t>
        </is>
      </c>
      <c r="B20" s="29" t="inlineStr">
        <is>
          <t>1.4.3</t>
        </is>
      </c>
      <c r="C20" s="30" t="inlineStr">
        <is>
          <t>작업경로의 실시간 관리</t>
        </is>
      </c>
      <c r="D20" s="41" t="n">
        <v>10</v>
      </c>
      <c r="E20" s="44" t="n">
        <v>3</v>
      </c>
      <c r="F20" s="44" t="n">
        <v>3</v>
      </c>
      <c r="G20" s="43">
        <f>0.5*D20+0.5*D20*(1-(E20-1)/5)</f>
        <v/>
      </c>
      <c r="H20" s="43">
        <f>0.5*D20+0.5*D20*(1-(F20-1)/5)</f>
        <v/>
      </c>
      <c r="I20" s="43">
        <f>H20-G20</f>
        <v/>
      </c>
      <c r="J20" s="30" t="inlineStr">
        <is>
          <t>픽킹 리스트를 로케이션 순으로 자동 정렬해 이동 경로를 시스템에서 생성·전달하므로 3등급 (2026.10.07)</t>
        </is>
      </c>
    </row>
    <row r="21" ht="15" customHeight="1" s="24">
      <c r="A21" s="29" t="inlineStr">
        <is>
          <t>1.4 피킹 및 분류</t>
        </is>
      </c>
      <c r="B21" s="29" t="inlineStr">
        <is>
          <t>1.4.4</t>
        </is>
      </c>
      <c r="C21" s="30" t="inlineStr">
        <is>
          <t>피킹 장소의 확인 및 작업</t>
        </is>
      </c>
      <c r="D21" s="41" t="n">
        <v>20</v>
      </c>
      <c r="E21" s="41" t="n">
        <v>3</v>
      </c>
      <c r="F21" s="41" t="n">
        <v>3</v>
      </c>
      <c r="G21" s="43">
        <f>0.5*D21+0.5*D21*(1-(E21-1)/5)</f>
        <v/>
      </c>
      <c r="H21" s="43">
        <f>0.5*D21+0.5*D21*(1-(F21-1)/5)</f>
        <v/>
      </c>
      <c r="I21" s="43">
        <f>H21-G21</f>
        <v/>
      </c>
      <c r="J21" s="30" t="inlineStr">
        <is>
          <t>피킹 장소 확인과 작업이 실시간 스캔 검증으로 이루어지므로 3등급으로 평가함.</t>
        </is>
      </c>
    </row>
    <row r="22" ht="15" customHeight="1" s="24">
      <c r="A22" s="29" t="inlineStr">
        <is>
          <t>1.4 피킹 및 분류</t>
        </is>
      </c>
      <c r="B22" s="29" t="inlineStr">
        <is>
          <t>1.4.5</t>
        </is>
      </c>
      <c r="C22" s="30" t="inlineStr">
        <is>
          <t>분류정보의 생성 및 지시</t>
        </is>
      </c>
      <c r="D22" s="41" t="n">
        <v>20</v>
      </c>
      <c r="E22" s="41" t="n">
        <v>3</v>
      </c>
      <c r="F22" s="41" t="n">
        <v>3</v>
      </c>
      <c r="G22" s="43">
        <f>0.5*D22+0.5*D22*(1-(E22-1)/5)</f>
        <v/>
      </c>
      <c r="H22" s="43">
        <f>0.5*D22+0.5*D22*(1-(F22-1)/5)</f>
        <v/>
      </c>
      <c r="I22" s="43">
        <f>H22-G22</f>
        <v/>
      </c>
      <c r="J22" s="30" t="inlineStr">
        <is>
          <t>정보시스템에서 실시간으로 분류지시를 생성·전달하므로 3등급으로 평가함.</t>
        </is>
      </c>
    </row>
    <row r="23" ht="29.25" customHeight="1" s="24">
      <c r="A23" s="29" t="inlineStr">
        <is>
          <t>1.4 피킹 및 분류</t>
        </is>
      </c>
      <c r="B23" s="29" t="inlineStr">
        <is>
          <t>1.4.6</t>
        </is>
      </c>
      <c r="C23" s="30" t="inlineStr">
        <is>
          <t>분류 작업</t>
        </is>
      </c>
      <c r="D23" s="41" t="n">
        <v>20</v>
      </c>
      <c r="E23" s="41" t="n">
        <v>3</v>
      </c>
      <c r="F23" s="41" t="n">
        <v>3</v>
      </c>
      <c r="G23" s="43">
        <f>0.5*D23+0.5*D23*(1-(E23-1)/5)</f>
        <v/>
      </c>
      <c r="H23" s="43">
        <f>0.5*D23+0.5*D23*(1-(F23-1)/5)</f>
        <v/>
      </c>
      <c r="I23" s="43">
        <f>H23-G23</f>
        <v/>
      </c>
      <c r="J23" s="30" t="inlineStr">
        <is>
          <t>분류 작업이 전사 정보시스템과 연계된 자동화 설비로 운영되므로 3등급으로 평가함. 분류 실적의 주기적 분석·개선 실적을 제시하면 2등급 검토 가능.</t>
        </is>
      </c>
    </row>
    <row r="24" ht="29.25" customHeight="1" s="24">
      <c r="A24" s="29" t="inlineStr">
        <is>
          <t>1.5 검품·검수 및 포장</t>
        </is>
      </c>
      <c r="B24" s="29" t="inlineStr">
        <is>
          <t>1.5.1</t>
        </is>
      </c>
      <c r="C24" s="30" t="inlineStr">
        <is>
          <t>포장장소로의 정보 제공 및 이동</t>
        </is>
      </c>
      <c r="D24" s="41" t="n">
        <v>20</v>
      </c>
      <c r="E24" s="42" t="n">
        <v>2</v>
      </c>
      <c r="F24" s="42" t="n">
        <v>3</v>
      </c>
      <c r="G24" s="43">
        <f>0.5*D24+0.5*D24*(1-(E24-1)/5)</f>
        <v/>
      </c>
      <c r="H24" s="43">
        <f>0.5*D24+0.5*D24*(1-(F24-1)/5)</f>
        <v/>
      </c>
      <c r="I24" s="43">
        <f>H24-G24</f>
        <v/>
      </c>
      <c r="J24" s="30" t="inlineStr">
        <is>
          <t>포장장소로의 작업정보가 실시간 온라인 제공되나 이동은 수작업이므로 3등급으로 평가함(기존 2등급에서 조정).</t>
        </is>
      </c>
    </row>
    <row r="25" ht="29.25" customHeight="1" s="24">
      <c r="A25" s="29" t="inlineStr">
        <is>
          <t>1.5 검품·검수 및 포장</t>
        </is>
      </c>
      <c r="B25" s="29" t="inlineStr">
        <is>
          <t>1.5.2</t>
        </is>
      </c>
      <c r="C25" s="30" t="inlineStr">
        <is>
          <t>포장재 및 포장물품 관리</t>
        </is>
      </c>
      <c r="D25" s="41" t="n">
        <v>15</v>
      </c>
      <c r="E25" s="44" t="n">
        <v>2</v>
      </c>
      <c r="F25" s="44" t="n">
        <v>3</v>
      </c>
      <c r="G25" s="43">
        <f>0.5*D25+0.5*D25*(1-(E25-1)/5)</f>
        <v/>
      </c>
      <c r="H25" s="43">
        <f>0.5*D25+0.5*D25*(1-(F25-1)/5)</f>
        <v/>
      </c>
      <c r="I25" s="43">
        <f>H25-G25</f>
        <v/>
      </c>
      <c r="J25" s="30" t="inlineStr">
        <is>
          <t>포장 물품과 포장재 재고를 정보시스템에서 관리하므로 3등급 (2026.10.07)</t>
        </is>
      </c>
    </row>
    <row r="26" ht="29.25" customHeight="1" s="24">
      <c r="A26" s="29" t="inlineStr">
        <is>
          <t>1.5 검품·검수 및 포장</t>
        </is>
      </c>
      <c r="B26" s="29" t="inlineStr">
        <is>
          <t>1.5.3</t>
        </is>
      </c>
      <c r="C26" s="30" t="inlineStr">
        <is>
          <t>검품/검수 및 오류관리(인식 및 처리)</t>
        </is>
      </c>
      <c r="D26" s="41" t="n">
        <v>25</v>
      </c>
      <c r="E26" s="42" t="n">
        <v>2</v>
      </c>
      <c r="F26" s="42" t="n">
        <v>3</v>
      </c>
      <c r="G26" s="43">
        <f>0.5*D26+0.5*D26*(1-(E26-1)/5)</f>
        <v/>
      </c>
      <c r="H26" s="43">
        <f>0.5*D26+0.5*D26*(1-(F26-1)/5)</f>
        <v/>
      </c>
      <c r="I26" s="43">
        <f>H26-G26</f>
        <v/>
      </c>
      <c r="J26" s="30" t="inlineStr">
        <is>
          <t>검품 오류를 정보시스템과 연계해 실시간 인식·처리하고 분석하므로 3등급으로 평가함. 오류 분석의 자동화·주기적 개선 실적을 제시하면 2등급 검토 가능.</t>
        </is>
      </c>
    </row>
    <row r="27" ht="15" customHeight="1" s="24">
      <c r="A27" s="29" t="inlineStr">
        <is>
          <t>1.5 검품·검수 및 포장</t>
        </is>
      </c>
      <c r="B27" s="29" t="inlineStr">
        <is>
          <t>1.5.4</t>
        </is>
      </c>
      <c r="C27" s="30" t="inlineStr">
        <is>
          <t>포장 작업</t>
        </is>
      </c>
      <c r="D27" s="41" t="n">
        <v>20</v>
      </c>
      <c r="E27" s="42" t="n">
        <v>2</v>
      </c>
      <c r="F27" s="42" t="n">
        <v>4</v>
      </c>
      <c r="G27" s="43">
        <f>0.5*D27+0.5*D27*(1-(E27-1)/5)</f>
        <v/>
      </c>
      <c r="H27" s="43">
        <f>0.5*D27+0.5*D27*(1-(F27-1)/5)</f>
        <v/>
      </c>
      <c r="I27" s="43">
        <f>H27-G27</f>
        <v/>
      </c>
      <c r="J27" s="30" t="inlineStr">
        <is>
          <t>포장 공정 중 봉함만 자동화되어 있고 포장 작업은 인력 중심이므로 4등급으로 평가함(기존 2등급에서 조정).</t>
        </is>
      </c>
    </row>
    <row r="28" ht="29.25" customHeight="1" s="24">
      <c r="A28" s="29" t="inlineStr">
        <is>
          <t>1.5 검품·검수 및 포장</t>
        </is>
      </c>
      <c r="B28" s="29" t="inlineStr">
        <is>
          <t>1.5.5</t>
        </is>
      </c>
      <c r="C28" s="30" t="inlineStr">
        <is>
          <t>배송정보 표시(라벨) 및 부착</t>
        </is>
      </c>
      <c r="D28" s="41" t="n">
        <v>20</v>
      </c>
      <c r="E28" s="42" t="n">
        <v>2</v>
      </c>
      <c r="F28" s="42" t="n">
        <v>3</v>
      </c>
      <c r="G28" s="43">
        <f>0.5*D28+0.5*D28*(1-(E28-1)/5)</f>
        <v/>
      </c>
      <c r="H28" s="43">
        <f>0.5*D28+0.5*D28*(1-(F28-1)/5)</f>
        <v/>
      </c>
      <c r="I28" s="43">
        <f>H28-G28</f>
        <v/>
      </c>
      <c r="J28" s="30" t="inlineStr">
        <is>
          <t>배송정보가 시스템에서 자동 발행되고 일부 공정은 자동 부착되므로 3등급으로 평가함(기존 2등급에서 조정).</t>
        </is>
      </c>
    </row>
    <row r="29" ht="15" customHeight="1" s="24">
      <c r="A29" s="29" t="inlineStr">
        <is>
          <t>1.6 상차 및 출고</t>
        </is>
      </c>
      <c r="B29" s="29" t="inlineStr">
        <is>
          <t>1.6.1</t>
        </is>
      </c>
      <c r="C29" s="30" t="inlineStr">
        <is>
          <t>발주처별 분류</t>
        </is>
      </c>
      <c r="D29" s="41" t="n">
        <v>30</v>
      </c>
      <c r="E29" s="41" t="n">
        <v>3</v>
      </c>
      <c r="F29" s="41" t="n">
        <v>3</v>
      </c>
      <c r="G29" s="43">
        <f>0.5*D29+0.5*D29*(1-(E29-1)/5)</f>
        <v/>
      </c>
      <c r="H29" s="43">
        <f>0.5*D29+0.5*D29*(1-(F29-1)/5)</f>
        <v/>
      </c>
      <c r="I29" s="43">
        <f>H29-G29</f>
        <v/>
      </c>
      <c r="J29" s="30" t="inlineStr">
        <is>
          <t>배송처별 분류가 시스템 연계 자동화 설비로 이루어지므로 3등급으로 평가함.</t>
        </is>
      </c>
    </row>
    <row r="30" ht="29.25" customHeight="1" s="24">
      <c r="A30" s="29" t="inlineStr">
        <is>
          <t>1.6 상차 및 출고</t>
        </is>
      </c>
      <c r="B30" s="29" t="inlineStr">
        <is>
          <t>1.6.2</t>
        </is>
      </c>
      <c r="C30" s="30" t="inlineStr">
        <is>
          <t>차량입차정보의 인식</t>
        </is>
      </c>
      <c r="D30" s="41" t="n">
        <v>20</v>
      </c>
      <c r="E30" s="42" t="n">
        <v>3</v>
      </c>
      <c r="F30" s="42" t="n">
        <v>5</v>
      </c>
      <c r="G30" s="43">
        <f>0.5*D30+0.5*D30*(1-(E30-1)/5)</f>
        <v/>
      </c>
      <c r="H30" s="43">
        <f>0.5*D30+0.5*D30*(1-(F30-1)/5)</f>
        <v/>
      </c>
      <c r="I30" s="43">
        <f>H30-G30</f>
        <v/>
      </c>
      <c r="J30" s="30" t="inlineStr">
        <is>
          <t>인계 일정은 시스템에서 관리되나 차량 입차 인식은 현장 확인에 의존하므로 5등급으로 평가함(기존 3등급에서 조정).</t>
        </is>
      </c>
    </row>
    <row r="31" ht="26.25" customHeight="1" s="24">
      <c r="A31" s="29" t="inlineStr">
        <is>
          <t>1.6 상차 및 출고</t>
        </is>
      </c>
      <c r="B31" s="29" t="inlineStr">
        <is>
          <t>1.6.3</t>
        </is>
      </c>
      <c r="C31" s="30" t="inlineStr">
        <is>
          <t>상차순서 관리 및 작업</t>
        </is>
      </c>
      <c r="D31" s="41" t="n">
        <v>20</v>
      </c>
      <c r="E31" s="42" t="n">
        <v>3</v>
      </c>
      <c r="F31" s="42" t="n">
        <v>4</v>
      </c>
      <c r="G31" s="43">
        <f>0.5*D31+0.5*D31*(1-(E31-1)/5)</f>
        <v/>
      </c>
      <c r="H31" s="43">
        <f>0.5*D31+0.5*D31*(1-(F31-1)/5)</f>
        <v/>
      </c>
      <c r="I31" s="43">
        <f>H31-G31</f>
        <v/>
      </c>
      <c r="J31" s="30" t="inlineStr">
        <is>
          <t>상차 정보는 온라인 확인되나 순서 관리가 실시간 시스템화되지 않아 4등급으로 평가함(기존 3등급에서 조정).</t>
        </is>
      </c>
    </row>
    <row r="32" ht="15" customHeight="1" s="24">
      <c r="A32" s="29" t="inlineStr">
        <is>
          <t>1.6 상차 및 출고</t>
        </is>
      </c>
      <c r="B32" s="29" t="inlineStr">
        <is>
          <t>1.6.4</t>
        </is>
      </c>
      <c r="C32" s="30" t="inlineStr">
        <is>
          <t>출고정보의 전달</t>
        </is>
      </c>
      <c r="D32" s="41" t="n">
        <v>30</v>
      </c>
      <c r="E32" s="41" t="n">
        <v>3</v>
      </c>
      <c r="F32" s="41" t="n">
        <v>3</v>
      </c>
      <c r="G32" s="43">
        <f>0.5*D32+0.5*D32*(1-(E32-1)/5)</f>
        <v/>
      </c>
      <c r="H32" s="43">
        <f>0.5*D32+0.5*D32*(1-(F32-1)/5)</f>
        <v/>
      </c>
      <c r="I32" s="43">
        <f>H32-G32</f>
        <v/>
      </c>
      <c r="J32" s="30" t="inlineStr">
        <is>
          <t>출고정보가 실시간으로 시스템 간 자동 전달되므로 3등급으로 평가함.</t>
        </is>
      </c>
    </row>
    <row r="33" ht="29.25" customHeight="1" s="24">
      <c r="A33" s="29" t="inlineStr">
        <is>
          <t>2.1 구조적 성능</t>
        </is>
      </c>
      <c r="B33" s="29" t="inlineStr">
        <is>
          <t>2.1.1</t>
        </is>
      </c>
      <c r="C33" s="30" t="inlineStr">
        <is>
          <t>도크 및 바닥성능(재질, 평탄도 및 하중)</t>
        </is>
      </c>
      <c r="D33" s="41" t="n">
        <v>20</v>
      </c>
      <c r="E33" s="42" t="n">
        <v>2</v>
      </c>
      <c r="F33" s="42" t="n">
        <v>3</v>
      </c>
      <c r="G33" s="43">
        <f>0.5*D33+0.5*D33*(1-(E33-1)/5)</f>
        <v/>
      </c>
      <c r="H33" s="43">
        <f>0.5*D33+0.5*D33*(1-(F33-1)/5)</f>
        <v/>
      </c>
      <c r="I33" s="43">
        <f>H33-G33</f>
        <v/>
      </c>
      <c r="J33" s="30" t="inlineStr">
        <is>
          <t>도크는 확인 항목 3개, 바닥은 미적용 1개·확인 4개로, 확인 항목의 결과에 따라 2~4등급 범위임. 보수적으로 3등급으로 평가함(기존 2등급에서 조정).</t>
        </is>
      </c>
    </row>
    <row r="34" ht="15" customHeight="1" s="24">
      <c r="A34" s="29" t="inlineStr">
        <is>
          <t>2.1 구조적 성능</t>
        </is>
      </c>
      <c r="B34" s="29" t="inlineStr">
        <is>
          <t>2.1.2</t>
        </is>
      </c>
      <c r="C34" s="30" t="inlineStr">
        <is>
          <t>내부구조(층고 및 기둥의 배치구조)</t>
        </is>
      </c>
      <c r="D34" s="41" t="n">
        <v>20</v>
      </c>
      <c r="E34" s="41" t="n">
        <v>2</v>
      </c>
      <c r="F34" s="44" t="n">
        <v>1</v>
      </c>
      <c r="G34" s="43">
        <f>0.5*D34+0.5*D34*(1-(E34-1)/5)</f>
        <v/>
      </c>
      <c r="H34" s="43">
        <f>0.5*D34+0.5*D34*(1-(F34-1)/5)</f>
        <v/>
      </c>
      <c r="I34" s="43">
        <f>H34-G34</f>
        <v/>
      </c>
      <c r="J34" s="29" t="inlineStr">
        <is>
          <t>10개 평가요소 모두 적용(주 통로 내 기둥 없음)으로 1등급 (2026.10.07)</t>
        </is>
      </c>
    </row>
    <row r="35" ht="15" customHeight="1" s="24">
      <c r="A35" s="29" t="inlineStr">
        <is>
          <t>2.1 구조적 성능</t>
        </is>
      </c>
      <c r="B35" s="29" t="inlineStr">
        <is>
          <t>2.1.3</t>
        </is>
      </c>
      <c r="C35" s="30" t="inlineStr">
        <is>
          <t>배치 및 동선 관리</t>
        </is>
      </c>
      <c r="D35" s="41" t="n">
        <v>10</v>
      </c>
      <c r="E35" s="42" t="n">
        <v>2</v>
      </c>
      <c r="F35" s="42" t="n">
        <v>3</v>
      </c>
      <c r="G35" s="43">
        <f>0.5*D35+0.5*D35*(1-(E35-1)/5)</f>
        <v/>
      </c>
      <c r="H35" s="43">
        <f>0.5*D35+0.5*D35*(1-(F35-1)/5)</f>
        <v/>
      </c>
      <c r="I35" s="43">
        <f>H35-G35</f>
        <v/>
      </c>
      <c r="J35" s="30" t="inlineStr">
        <is>
          <t>확인 대상 3개 항목의 결과에 따라 1~4등급 범위임. 보수적으로 3등급으로 평가함(기존 2등급에서 조정).</t>
        </is>
      </c>
    </row>
    <row r="36" ht="15" customHeight="1" s="24">
      <c r="A36" s="29" t="inlineStr">
        <is>
          <t>2.1 구조적 성능</t>
        </is>
      </c>
      <c r="B36" s="29" t="inlineStr">
        <is>
          <t>2.1.4</t>
        </is>
      </c>
      <c r="C36" s="30" t="inlineStr">
        <is>
          <t>작업환경 관리(공조, 온도, 습도 등)</t>
        </is>
      </c>
      <c r="D36" s="41" t="n">
        <v>20</v>
      </c>
      <c r="E36" s="42" t="n">
        <v>2</v>
      </c>
      <c r="F36" s="42" t="n">
        <v>3</v>
      </c>
      <c r="G36" s="43">
        <f>0.5*D36+0.5*D36*(1-(E36-1)/5)</f>
        <v/>
      </c>
      <c r="H36" s="43">
        <f>0.5*D36+0.5*D36*(1-(F36-1)/5)</f>
        <v/>
      </c>
      <c r="I36" s="43">
        <f>H36-G36</f>
        <v/>
      </c>
      <c r="J36" s="30" t="inlineStr">
        <is>
          <t>미적용 2개로, 나머지 확인 항목이 모두 적용되는 경우 3등급임. 3등급으로 평가함(기존 2등급에서 조정).</t>
        </is>
      </c>
    </row>
    <row r="37" ht="29.25" customHeight="1" s="24">
      <c r="A37" s="29" t="inlineStr">
        <is>
          <t>2.1 구조적 성능</t>
        </is>
      </c>
      <c r="B37" s="29" t="inlineStr">
        <is>
          <t>2.1.5</t>
        </is>
      </c>
      <c r="C37" s="30" t="inlineStr">
        <is>
          <t>재해 및 안전관리(방화, 내진, 소방·대피시설, 안전사고관리 등)</t>
        </is>
      </c>
      <c r="D37" s="41" t="n">
        <v>30</v>
      </c>
      <c r="E37" s="42" t="n">
        <v>2</v>
      </c>
      <c r="F37" s="42" t="n">
        <v>3</v>
      </c>
      <c r="G37" s="43">
        <f>0.5*D37+0.5*D37*(1-(E37-1)/5)</f>
        <v/>
      </c>
      <c r="H37" s="43">
        <f>0.5*D37+0.5*D37*(1-(F37-1)/5)</f>
        <v/>
      </c>
      <c r="I37" s="43">
        <f>H37-G37</f>
        <v/>
      </c>
      <c r="J37" s="30" t="inlineStr">
        <is>
          <t>미적용 2개, 확인 1개(랙 내진)로 3등급으로 평가함(기존 2등급에서 조정).</t>
        </is>
      </c>
    </row>
    <row r="38" ht="15" customHeight="1" s="24">
      <c r="A38" s="29" t="inlineStr">
        <is>
          <t>2.2 성과관리</t>
        </is>
      </c>
      <c r="B38" s="29" t="inlineStr">
        <is>
          <t>2.2.1</t>
        </is>
      </c>
      <c r="C38" s="30" t="inlineStr">
        <is>
          <t>비용 절감</t>
        </is>
      </c>
      <c r="D38" s="41" t="n">
        <v>30</v>
      </c>
      <c r="E38" s="41" t="n">
        <v>3</v>
      </c>
      <c r="F38" s="41" t="n">
        <v>3</v>
      </c>
      <c r="G38" s="43">
        <f>0.5*D38+0.5*D38*(1-(E38-1)/5)</f>
        <v/>
      </c>
      <c r="H38" s="43">
        <f>0.5*D38+0.5*D38*(1-(F38-1)/5)</f>
        <v/>
      </c>
      <c r="I38" s="43">
        <f>H38-G38</f>
        <v/>
      </c>
      <c r="J38" s="30" t="inlineStr">
        <is>
          <t>물류정보시스템과 연계해 비용 정보를 수집·모니터링·분석하고 피드백하므로 3등급으로 평가함.</t>
        </is>
      </c>
    </row>
    <row r="39" ht="15" customHeight="1" s="24">
      <c r="A39" s="29" t="inlineStr">
        <is>
          <t>2.2 성과관리</t>
        </is>
      </c>
      <c r="B39" s="29" t="inlineStr">
        <is>
          <t>2.2.2</t>
        </is>
      </c>
      <c r="C39" s="30" t="inlineStr">
        <is>
          <t>생산성 향상</t>
        </is>
      </c>
      <c r="D39" s="41" t="n">
        <v>30</v>
      </c>
      <c r="E39" s="41" t="n">
        <v>3</v>
      </c>
      <c r="F39" s="41" t="n">
        <v>3</v>
      </c>
      <c r="G39" s="43">
        <f>0.5*D39+0.5*D39*(1-(E39-1)/5)</f>
        <v/>
      </c>
      <c r="H39" s="43">
        <f>0.5*D39+0.5*D39*(1-(F39-1)/5)</f>
        <v/>
      </c>
      <c r="I39" s="43">
        <f>H39-G39</f>
        <v/>
      </c>
      <c r="J39" s="30" t="inlineStr">
        <is>
          <t>정보시스템과 연계해 생산성 정보를 수집·모니터링·분석·피드백하므로 3등급으로 평가함.</t>
        </is>
      </c>
    </row>
    <row r="40" ht="15" customHeight="1" s="24">
      <c r="A40" s="29" t="inlineStr">
        <is>
          <t>2.2 성과관리</t>
        </is>
      </c>
      <c r="B40" s="29" t="inlineStr">
        <is>
          <t>2.2.3</t>
        </is>
      </c>
      <c r="C40" s="30" t="inlineStr">
        <is>
          <t>품질 및 안전관리</t>
        </is>
      </c>
      <c r="D40" s="41" t="n">
        <v>20</v>
      </c>
      <c r="E40" s="41" t="n">
        <v>3</v>
      </c>
      <c r="F40" s="41" t="n">
        <v>3</v>
      </c>
      <c r="G40" s="43">
        <f>0.5*D40+0.5*D40*(1-(E40-1)/5)</f>
        <v/>
      </c>
      <c r="H40" s="43">
        <f>0.5*D40+0.5*D40*(1-(F40-1)/5)</f>
        <v/>
      </c>
      <c r="I40" s="43">
        <f>H40-G40</f>
        <v/>
      </c>
      <c r="J40" s="30" t="inlineStr">
        <is>
          <t>품질·안전 정보를 정보시스템과 연계해 수집·분석·피드백하므로 3등급으로 평가함.</t>
        </is>
      </c>
    </row>
    <row r="41" ht="29.25" customHeight="1" s="24">
      <c r="A41" s="29" t="inlineStr">
        <is>
          <t>2.2 성과관리</t>
        </is>
      </c>
      <c r="B41" s="29" t="inlineStr">
        <is>
          <t>2.2.4</t>
        </is>
      </c>
      <c r="C41" s="30" t="inlineStr">
        <is>
          <t>친환경관리(절수, 절전, 폐기물, 재활용, 조명 등)</t>
        </is>
      </c>
      <c r="D41" s="41" t="n">
        <v>20</v>
      </c>
      <c r="E41" s="42" t="n">
        <v>3</v>
      </c>
      <c r="F41" s="42" t="n">
        <v>4</v>
      </c>
      <c r="G41" s="43">
        <f>0.5*D41+0.5*D41*(1-(E41-1)/5)</f>
        <v/>
      </c>
      <c r="H41" s="43">
        <f>0.5*D41+0.5*D41*(1-(F41-1)/5)</f>
        <v/>
      </c>
      <c r="I41" s="43">
        <f>H41-G41</f>
        <v/>
      </c>
      <c r="J41" s="30" t="inlineStr">
        <is>
          <t>친환경 활동 정보가 전체적으로 수집·모니터링되나 시스템 연계 분석은 부족하여 4등급으로 평가함(기존 3등급에서 조정).</t>
        </is>
      </c>
    </row>
    <row r="42" ht="15" customHeight="1" s="24">
      <c r="A42" s="29" t="inlineStr">
        <is>
          <t>2.3 정보시스템</t>
        </is>
      </c>
      <c r="B42" s="29" t="inlineStr">
        <is>
          <t>2.3.1-1</t>
        </is>
      </c>
      <c r="C42" s="30" t="inlineStr">
        <is>
          <t>수발주시스템/상품분류시스템</t>
        </is>
      </c>
      <c r="D42" s="41" t="n">
        <v>20</v>
      </c>
      <c r="E42" s="42" t="n">
        <v>2</v>
      </c>
      <c r="F42" s="42" t="n">
        <v>3</v>
      </c>
      <c r="G42" s="43">
        <f>0.5*D42+0.5*D42*(1-(E42-1)/5)</f>
        <v/>
      </c>
      <c r="H42" s="43">
        <f>0.5*D42+0.5*D42*(1-(F42-1)/5)</f>
        <v/>
      </c>
      <c r="I42" s="43">
        <f>H42-G42</f>
        <v/>
      </c>
      <c r="J42" s="30" t="inlineStr">
        <is>
          <t>수발주·상품분류가 전사 시스템으로 연계되어 운영되므로 3등급으로 평가함(기존 2등급에서 조정).</t>
        </is>
      </c>
    </row>
    <row r="43" ht="15" customHeight="1" s="24">
      <c r="A43" s="29" t="inlineStr">
        <is>
          <t>2.3 정보시스템</t>
        </is>
      </c>
      <c r="B43" s="29" t="inlineStr">
        <is>
          <t>2.3.1-2</t>
        </is>
      </c>
      <c r="C43" s="30" t="inlineStr">
        <is>
          <t>입출고 및 배차배송시스템</t>
        </is>
      </c>
      <c r="D43" s="41" t="n">
        <v>30</v>
      </c>
      <c r="E43" s="42" t="n">
        <v>2</v>
      </c>
      <c r="F43" s="42" t="n">
        <v>3</v>
      </c>
      <c r="G43" s="43">
        <f>0.5*D43+0.5*D43*(1-(E43-1)/5)</f>
        <v/>
      </c>
      <c r="H43" s="43">
        <f>0.5*D43+0.5*D43*(1-(F43-1)/5)</f>
        <v/>
      </c>
      <c r="I43" s="43">
        <f>H43-G43</f>
        <v/>
      </c>
      <c r="J43" s="30" t="inlineStr">
        <is>
          <t>입출고·배송 정보가 시스템 간 실시간 연계·관리되므로 3등급으로 평가함(기존 2등급에서 조정).</t>
        </is>
      </c>
    </row>
    <row r="44" ht="15" customHeight="1" s="24">
      <c r="A44" s="29" t="inlineStr">
        <is>
          <t>2.3 정보시스템</t>
        </is>
      </c>
      <c r="B44" s="29" t="inlineStr">
        <is>
          <t>2.3.1-3</t>
        </is>
      </c>
      <c r="C44" s="30" t="inlineStr">
        <is>
          <t>재고관리시스템</t>
        </is>
      </c>
      <c r="D44" s="41" t="n">
        <v>30</v>
      </c>
      <c r="E44" s="41" t="n">
        <v>2</v>
      </c>
      <c r="F44" s="41" t="n">
        <v>2</v>
      </c>
      <c r="G44" s="43">
        <f>0.5*D44+0.5*D44*(1-(E44-1)/5)</f>
        <v/>
      </c>
      <c r="H44" s="43">
        <f>0.5*D44+0.5*D44*(1-(F44-1)/5)</f>
        <v/>
      </c>
      <c r="I44" s="43">
        <f>H44-G44</f>
        <v/>
      </c>
      <c r="J44" s="30" t="inlineStr">
        <is>
          <t>재고관리가 실시간 연계되고 주기적 분석·통합 관리되므로 2등급으로 평가함.</t>
        </is>
      </c>
    </row>
    <row r="45" ht="15" customHeight="1" s="24">
      <c r="A45" s="29" t="inlineStr">
        <is>
          <t>2.3 정보시스템</t>
        </is>
      </c>
      <c r="B45" s="29" t="inlineStr">
        <is>
          <t>2.3.1-4</t>
        </is>
      </c>
      <c r="C45" s="30" t="inlineStr">
        <is>
          <t>자원관리시스템</t>
        </is>
      </c>
      <c r="D45" s="41" t="n">
        <v>20</v>
      </c>
      <c r="E45" s="42" t="n">
        <v>2</v>
      </c>
      <c r="F45" s="42" t="n">
        <v>3</v>
      </c>
      <c r="G45" s="43">
        <f>0.5*D45+0.5*D45*(1-(E45-1)/5)</f>
        <v/>
      </c>
      <c r="H45" s="43">
        <f>0.5*D45+0.5*D45*(1-(F45-1)/5)</f>
        <v/>
      </c>
      <c r="I45" s="43">
        <f>H45-G45</f>
        <v/>
      </c>
      <c r="J45" s="30" t="inlineStr">
        <is>
          <t>자원 정보가 전사 시스템에서 수집·모니터링·분석되므로 3등급으로 평가함(기존 2등급에서 조정).</t>
        </is>
      </c>
    </row>
    <row r="46" ht="15" customHeight="1" s="24">
      <c r="A46" s="29" t="inlineStr">
        <is>
          <t>2.3 정보시스템</t>
        </is>
      </c>
      <c r="B46" s="29" t="inlineStr">
        <is>
          <t>2.3.1-5</t>
        </is>
      </c>
      <c r="C46" s="30" t="inlineStr">
        <is>
          <t>물류지원시스템</t>
        </is>
      </c>
      <c r="D46" s="41" t="n">
        <v>50</v>
      </c>
      <c r="E46" s="42" t="n">
        <v>2</v>
      </c>
      <c r="F46" s="42" t="n">
        <v>3</v>
      </c>
      <c r="G46" s="43">
        <f>0.5*D46+0.5*D46*(1-(E46-1)/5)</f>
        <v/>
      </c>
      <c r="H46" s="43">
        <f>0.5*D46+0.5*D46*(1-(F46-1)/5)</f>
        <v/>
      </c>
      <c r="I46" s="43">
        <f>H46-G46</f>
        <v/>
      </c>
      <c r="J46" s="30" t="inlineStr">
        <is>
          <t>물류지원 기능이 전사 시스템과 연계되어 운영·분석되므로 3등급으로 평가함(기존 2등급에서 조정).</t>
        </is>
      </c>
    </row>
    <row r="47" ht="29.25" customHeight="1" s="24">
      <c r="A47" s="29" t="inlineStr">
        <is>
          <t>2.3 정보시스템</t>
        </is>
      </c>
      <c r="B47" s="29" t="inlineStr">
        <is>
          <t>2.3.2</t>
        </is>
      </c>
      <c r="C47" s="30" t="inlineStr">
        <is>
          <t>창고제어시스템(WCS, MCS)</t>
        </is>
      </c>
      <c r="D47" s="41" t="n">
        <v>50</v>
      </c>
      <c r="E47" s="42" t="n">
        <v>2</v>
      </c>
      <c r="F47" s="42" t="n">
        <v>4</v>
      </c>
      <c r="G47" s="43">
        <f>0.5*D47+0.5*D47*(1-(E47-1)/5)</f>
        <v/>
      </c>
      <c r="H47" s="43">
        <f>0.5*D47+0.5*D47*(1-(F47-1)/5)</f>
        <v/>
      </c>
      <c r="I47" s="43">
        <f>H47-G47</f>
        <v/>
      </c>
      <c r="J47" s="30" t="inlineStr">
        <is>
          <t>자동화 물류기기 전반에 대한 실시간 연동을 지원하므로 4등급으로 평가함. 건축물 설비(공조·조명 등)까지의 연동(3등급)과 ERP 연계 최적화(2등급)는 미해당(기존 2등급에서 조정).</t>
        </is>
      </c>
    </row>
    <row r="48" ht="15" customHeight="1" s="24">
      <c r="C48" s="36" t="inlineStr">
        <is>
          <t>합계</t>
        </is>
      </c>
      <c r="D48" s="45">
        <f>SUM(D4:D47)</f>
        <v/>
      </c>
      <c r="G48" s="45">
        <f>SUM(G4:G47)</f>
        <v/>
      </c>
      <c r="H48" s="45">
        <f>SUM(H4:H47)</f>
        <v/>
      </c>
      <c r="I48" s="45">
        <f>SUM(I4:I47)</f>
        <v/>
      </c>
    </row>
    <row r="49" ht="16.5" customHeight="1" s="24">
      <c r="C49" s="36" t="inlineStr">
        <is>
          <t>예상 인증등급</t>
        </is>
      </c>
      <c r="G49" s="36">
        <f>IF(G48&gt;950,"1등급",IF(G48&gt;850,"2등급",IF(G48&gt;750,"3등급",IF(G48&gt;650,"4등급",IF(G48&gt;550,"5등급","신청 불가")))))</f>
        <v/>
      </c>
      <c r="H49" s="36">
        <f>IF(H48&gt;950,"1등급",IF(H48&gt;850,"2등급",IF(H48&gt;750,"3등급",IF(H48&gt;650,"4등급",IF(H48&gt;550,"5등급","신청 불가")))))</f>
        <v/>
      </c>
    </row>
  </sheetData>
  <autoFilter ref="A3:J4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1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23" min="1" max="1"/>
    <col width="9" customWidth="1" style="23" min="2" max="2"/>
    <col width="30" customWidth="1" style="23" min="3" max="3"/>
    <col width="11" customWidth="1" style="23" min="4" max="4"/>
    <col width="10" customWidth="1" style="23" min="5" max="5"/>
    <col width="48" customWidth="1" style="23" min="6" max="6"/>
    <col width="8" customWidth="1" style="23" min="7" max="7"/>
    <col width="12" customWidth="1" style="23" min="8" max="9"/>
  </cols>
  <sheetData>
    <row r="1" ht="21" customHeight="1" s="24">
      <c r="A1" s="25" t="inlineStr">
        <is>
          <t>자체평가서 증명자료(사진·캡처·자료) 수집 목록</t>
        </is>
      </c>
    </row>
    <row r="2" ht="15" customHeight="1" s="24">
      <c r="A2" s="26" t="inlineStr">
        <is>
          <t>시스템 화면 캡처는 「4_시스템사용자매뉴얼_영종센터」 수록 화면을 우선 활용</t>
        </is>
      </c>
    </row>
    <row r="3" ht="29.25" customHeight="1" s="24">
      <c r="A3" s="27" t="inlineStr">
        <is>
          <t>#</t>
        </is>
      </c>
      <c r="B3" s="28" t="inlineStr">
        <is>
          <t>번호</t>
        </is>
      </c>
      <c r="C3" s="28" t="inlineStr">
        <is>
          <t>세부항목</t>
        </is>
      </c>
      <c r="D3" s="28" t="inlineStr">
        <is>
          <t>자체평가서 쪽</t>
        </is>
      </c>
      <c r="E3" s="28" t="inlineStr">
        <is>
          <t>사진 번호</t>
        </is>
      </c>
      <c r="F3" s="28" t="inlineStr">
        <is>
          <t>증명자료</t>
        </is>
      </c>
      <c r="G3" s="28" t="inlineStr">
        <is>
          <t>유형</t>
        </is>
      </c>
      <c r="H3" s="28" t="inlineStr">
        <is>
          <t>담당</t>
        </is>
      </c>
      <c r="I3" s="28" t="inlineStr">
        <is>
          <t>수집 완료(O)</t>
        </is>
      </c>
    </row>
    <row r="4" ht="15" customHeight="1" s="24">
      <c r="A4" s="29" t="n">
        <v>1</v>
      </c>
      <c r="B4" s="29" t="inlineStr">
        <is>
          <t>1.1.1</t>
        </is>
      </c>
      <c r="C4" s="30" t="inlineStr">
        <is>
          <t>입고예정정보의 확인</t>
        </is>
      </c>
      <c r="D4" s="29" t="inlineStr">
        <is>
          <t>p.7</t>
        </is>
      </c>
      <c r="E4" s="29" t="inlineStr">
        <is>
          <t>[사진 1]</t>
        </is>
      </c>
      <c r="F4" s="29" t="inlineStr">
        <is>
          <t>Smartship(OMS) 재고 입고 신청 화면</t>
        </is>
      </c>
      <c r="G4" s="30" t="inlineStr">
        <is>
          <t>캡처</t>
        </is>
      </c>
      <c r="H4" s="29" t="n"/>
      <c r="I4" s="29" t="inlineStr">
        <is>
          <t>O</t>
        </is>
      </c>
    </row>
    <row r="5" ht="15" customHeight="1" s="24">
      <c r="A5" s="29" t="n">
        <v>2</v>
      </c>
      <c r="B5" s="29" t="inlineStr">
        <is>
          <t>1.1.1</t>
        </is>
      </c>
      <c r="C5" s="30" t="inlineStr">
        <is>
          <t>입고예정정보의 확인</t>
        </is>
      </c>
      <c r="D5" s="29" t="inlineStr">
        <is>
          <t>p.7</t>
        </is>
      </c>
      <c r="E5" s="29" t="inlineStr">
        <is>
          <t>[사진 2]</t>
        </is>
      </c>
      <c r="F5" s="29" t="inlineStr">
        <is>
          <t>SW(WMS) 입고신청 화면 – 고객 신청 후 상태별 조회</t>
        </is>
      </c>
      <c r="G5" s="30" t="inlineStr">
        <is>
          <t>캡처</t>
        </is>
      </c>
      <c r="H5" s="29" t="n"/>
      <c r="I5" s="29" t="inlineStr">
        <is>
          <t>O</t>
        </is>
      </c>
    </row>
    <row r="6" ht="15" customHeight="1" s="24">
      <c r="A6" s="29" t="n">
        <v>3</v>
      </c>
      <c r="B6" s="29" t="inlineStr">
        <is>
          <t>1.1.1</t>
        </is>
      </c>
      <c r="C6" s="30" t="inlineStr">
        <is>
          <t>입고예정정보의 확인</t>
        </is>
      </c>
      <c r="D6" s="29" t="inlineStr">
        <is>
          <t>p.7</t>
        </is>
      </c>
      <c r="E6" s="29" t="inlineStr">
        <is>
          <t>[사진 3]</t>
        </is>
      </c>
      <c r="F6" s="30" t="inlineStr">
        <is>
          <t>SW(WMS) 입고신청 화면 – 도착예정일 기준 조회</t>
        </is>
      </c>
      <c r="G6" s="30" t="inlineStr">
        <is>
          <t>캡처</t>
        </is>
      </c>
      <c r="H6" s="29" t="n"/>
      <c r="I6" s="29" t="inlineStr">
        <is>
          <t>O</t>
        </is>
      </c>
    </row>
    <row r="7" ht="15" customHeight="1" s="24">
      <c r="A7" s="29" t="n">
        <v>4</v>
      </c>
      <c r="B7" s="29" t="inlineStr">
        <is>
          <t>1.1.2</t>
        </is>
      </c>
      <c r="C7" s="30" t="inlineStr">
        <is>
          <t>하역 작업</t>
        </is>
      </c>
      <c r="D7" s="29" t="inlineStr">
        <is>
          <t>p.8</t>
        </is>
      </c>
      <c r="E7" s="29" t="inlineStr">
        <is>
          <t>[사진 1]</t>
        </is>
      </c>
      <c r="F7" s="29" t="inlineStr">
        <is>
          <t>3층 입고 도크·도크레벨러 현장 사진</t>
        </is>
      </c>
      <c r="G7" s="30" t="inlineStr">
        <is>
          <t>사진</t>
        </is>
      </c>
      <c r="H7" s="29" t="n"/>
      <c r="I7" s="29" t="n"/>
    </row>
    <row r="8" ht="15" customHeight="1" s="24">
      <c r="A8" s="29" t="n">
        <v>5</v>
      </c>
      <c r="B8" s="29" t="inlineStr">
        <is>
          <t>1.1.2</t>
        </is>
      </c>
      <c r="C8" s="30" t="inlineStr">
        <is>
          <t>하역 작업</t>
        </is>
      </c>
      <c r="D8" s="29" t="inlineStr">
        <is>
          <t>p.8</t>
        </is>
      </c>
      <c r="E8" s="29" t="inlineStr">
        <is>
          <t>[사진 2]</t>
        </is>
      </c>
      <c r="F8" s="30" t="inlineStr">
        <is>
          <t>램프웨이 차량 접안 사진</t>
        </is>
      </c>
      <c r="G8" s="30" t="inlineStr">
        <is>
          <t>사진</t>
        </is>
      </c>
      <c r="H8" s="29" t="n"/>
      <c r="I8" s="29" t="n"/>
    </row>
    <row r="9" ht="15" customHeight="1" s="24">
      <c r="A9" s="29" t="n">
        <v>6</v>
      </c>
      <c r="B9" s="29" t="inlineStr">
        <is>
          <t>1.1.2</t>
        </is>
      </c>
      <c r="C9" s="30" t="inlineStr">
        <is>
          <t>하역 작업</t>
        </is>
      </c>
      <c r="D9" s="29" t="inlineStr">
        <is>
          <t>p.8</t>
        </is>
      </c>
      <c r="E9" s="29" t="inlineStr">
        <is>
          <t>[사진 3]</t>
        </is>
      </c>
      <c r="F9" s="46" t="inlineStr">
        <is>
          <t>SW(WMS) 입고신청 화면 – 도착 처리 PC/PDA 화면</t>
        </is>
      </c>
      <c r="G9" s="30" t="inlineStr">
        <is>
          <t>캡처</t>
        </is>
      </c>
      <c r="H9" s="29" t="n"/>
      <c r="I9" s="29" t="inlineStr">
        <is>
          <t>O</t>
        </is>
      </c>
    </row>
    <row r="10" ht="15" customHeight="1" s="24">
      <c r="A10" s="29" t="n">
        <v>7</v>
      </c>
      <c r="B10" s="29" t="inlineStr">
        <is>
          <t>1.1.2</t>
        </is>
      </c>
      <c r="C10" s="30" t="inlineStr">
        <is>
          <t>하역 작업</t>
        </is>
      </c>
      <c r="D10" s="29" t="inlineStr">
        <is>
          <t>p.8</t>
        </is>
      </c>
      <c r="E10" s="29" t="inlineStr">
        <is>
          <t>[사진 4]</t>
        </is>
      </c>
      <c r="F10" s="46" t="inlineStr">
        <is>
          <t>SW(WMS) 공정별 인원관리 – 현재 투입 인원(WMS-입고 공정)</t>
        </is>
      </c>
      <c r="G10" s="30" t="inlineStr">
        <is>
          <t>캡처</t>
        </is>
      </c>
      <c r="H10" s="29" t="n"/>
      <c r="I10" s="29" t="inlineStr">
        <is>
          <t>O</t>
        </is>
      </c>
    </row>
    <row r="11" ht="15" customHeight="1" s="24">
      <c r="A11" s="29" t="n">
        <v>8</v>
      </c>
      <c r="B11" s="29" t="inlineStr">
        <is>
          <t>1.1.2</t>
        </is>
      </c>
      <c r="C11" s="30" t="inlineStr">
        <is>
          <t>하역 작업</t>
        </is>
      </c>
      <c r="D11" s="29" t="inlineStr">
        <is>
          <t>p.8</t>
        </is>
      </c>
      <c r="E11" s="29" t="inlineStr">
        <is>
          <t>[사진 5]</t>
        </is>
      </c>
      <c r="F11" s="46" t="inlineStr">
        <is>
          <t>SW(WMS) 공정별 인원관리 – 기간별 작업 레포트</t>
        </is>
      </c>
      <c r="G11" s="30" t="inlineStr">
        <is>
          <t>캡처</t>
        </is>
      </c>
      <c r="H11" s="29" t="n"/>
      <c r="I11" s="29" t="inlineStr">
        <is>
          <t>O</t>
        </is>
      </c>
    </row>
    <row r="12" ht="15" customHeight="1" s="24">
      <c r="A12" s="29" t="n">
        <v>9</v>
      </c>
      <c r="B12" s="29" t="inlineStr">
        <is>
          <t>1.1.3</t>
        </is>
      </c>
      <c r="C12" s="30" t="inlineStr">
        <is>
          <t>상품 검수/검품/분류</t>
        </is>
      </c>
      <c r="D12" s="29" t="inlineStr">
        <is>
          <t>p.9</t>
        </is>
      </c>
      <c r="E12" s="29" t="inlineStr">
        <is>
          <t>[사진 1]</t>
        </is>
      </c>
      <c r="F12" s="30" t="inlineStr">
        <is>
          <t>입고 검수대 PDA 스캔 작업 사진</t>
        </is>
      </c>
      <c r="G12" s="30" t="inlineStr">
        <is>
          <t>사진</t>
        </is>
      </c>
      <c r="H12" s="29" t="n"/>
      <c r="I12" s="29" t="n"/>
    </row>
    <row r="13" ht="15" customHeight="1" s="24">
      <c r="A13" s="29" t="n">
        <v>10</v>
      </c>
      <c r="B13" s="29" t="inlineStr">
        <is>
          <t>1.1.3</t>
        </is>
      </c>
      <c r="C13" s="30" t="inlineStr">
        <is>
          <t>상품 검수/검품/분류</t>
        </is>
      </c>
      <c r="D13" s="29" t="inlineStr">
        <is>
          <t>p.9</t>
        </is>
      </c>
      <c r="E13" s="29" t="inlineStr">
        <is>
          <t>[사진 2]</t>
        </is>
      </c>
      <c r="F13" s="30" t="inlineStr">
        <is>
          <t>SW 모바일(PDA) 입고 SKU 화면 – SKU 수량 검수(도착·손상수량 입력)</t>
        </is>
      </c>
      <c r="G13" s="30" t="inlineStr">
        <is>
          <t>캡처</t>
        </is>
      </c>
      <c r="H13" s="29" t="n"/>
      <c r="I13" s="29" t="inlineStr">
        <is>
          <t>O</t>
        </is>
      </c>
    </row>
    <row r="14" ht="15" customHeight="1" s="24">
      <c r="A14" s="29" t="n">
        <v>11</v>
      </c>
      <c r="B14" s="29" t="inlineStr">
        <is>
          <t>1.1.3</t>
        </is>
      </c>
      <c r="C14" s="30" t="inlineStr">
        <is>
          <t>상품 검수/검품/분류</t>
        </is>
      </c>
      <c r="D14" s="29" t="inlineStr">
        <is>
          <t>p.9</t>
        </is>
      </c>
      <c r="E14" s="29" t="inlineStr">
        <is>
          <t>[사진 3]</t>
        </is>
      </c>
      <c r="F14" s="30" t="inlineStr">
        <is>
          <t>SW(WMS) 입고신청 화면 – 입고 신청서 출력물(하차·검수 수량 기록)</t>
        </is>
      </c>
      <c r="G14" s="30" t="inlineStr">
        <is>
          <t>캡처</t>
        </is>
      </c>
      <c r="H14" s="29" t="n"/>
      <c r="I14" s="29" t="inlineStr">
        <is>
          <t>O</t>
        </is>
      </c>
    </row>
    <row r="15" ht="15" customHeight="1" s="24">
      <c r="A15" s="29" t="n">
        <v>12</v>
      </c>
      <c r="B15" s="29" t="inlineStr">
        <is>
          <t>1.1.3</t>
        </is>
      </c>
      <c r="C15" s="30" t="inlineStr">
        <is>
          <t>상품 검수/검품/분류</t>
        </is>
      </c>
      <c r="D15" s="29" t="inlineStr">
        <is>
          <t>p.9</t>
        </is>
      </c>
      <c r="E15" s="29" t="inlineStr">
        <is>
          <t>[사진 4]</t>
        </is>
      </c>
      <c r="F15" s="30" t="inlineStr">
        <is>
          <t>SW 모바일(PDA) 화면 – 수량 불일치 경고</t>
        </is>
      </c>
      <c r="G15" s="30" t="inlineStr">
        <is>
          <t>캡처</t>
        </is>
      </c>
      <c r="H15" s="29" t="n"/>
      <c r="I15" s="29" t="inlineStr">
        <is>
          <t>O</t>
        </is>
      </c>
    </row>
    <row r="16" ht="15" customHeight="1" s="24">
      <c r="A16" s="29" t="n">
        <v>13</v>
      </c>
      <c r="B16" s="29" t="inlineStr">
        <is>
          <t>1.1.4</t>
        </is>
      </c>
      <c r="C16" s="30" t="inlineStr">
        <is>
          <t>제품정보의 인식 및 등록</t>
        </is>
      </c>
      <c r="D16" s="29" t="inlineStr">
        <is>
          <t>p.10</t>
        </is>
      </c>
      <c r="E16" s="29" t="inlineStr">
        <is>
          <t>[사진 1]</t>
        </is>
      </c>
      <c r="F16" s="30" t="inlineStr">
        <is>
          <t>SW 모바일(PDA) 화면 – SKU 개별 정의</t>
        </is>
      </c>
      <c r="G16" s="30" t="inlineStr">
        <is>
          <t>캡처</t>
        </is>
      </c>
      <c r="H16" s="29" t="n"/>
      <c r="I16" s="29" t="inlineStr">
        <is>
          <t>O</t>
        </is>
      </c>
    </row>
    <row r="17" ht="15" customHeight="1" s="24">
      <c r="A17" s="29" t="n">
        <v>14</v>
      </c>
      <c r="B17" s="29" t="inlineStr">
        <is>
          <t>1.1.4</t>
        </is>
      </c>
      <c r="C17" s="30" t="inlineStr">
        <is>
          <t>제품정보의 인식 및 등록</t>
        </is>
      </c>
      <c r="D17" s="29" t="inlineStr">
        <is>
          <t>p.10</t>
        </is>
      </c>
      <c r="E17" s="29" t="inlineStr">
        <is>
          <t>[사진 2]</t>
        </is>
      </c>
      <c r="F17" s="29" t="inlineStr">
        <is>
          <t>SW(WMS) SKU 관리 화면 – 정의·미정의 SKU 현황, EXCEL 일괄 정의</t>
        </is>
      </c>
      <c r="G17" s="30" t="inlineStr">
        <is>
          <t>캡처</t>
        </is>
      </c>
      <c r="H17" s="29" t="n"/>
      <c r="I17" s="29" t="inlineStr">
        <is>
          <t>O</t>
        </is>
      </c>
    </row>
    <row r="18" ht="15" customHeight="1" s="24">
      <c r="A18" s="29" t="n">
        <v>15</v>
      </c>
      <c r="B18" s="29" t="inlineStr">
        <is>
          <t>1.1.4</t>
        </is>
      </c>
      <c r="C18" s="30" t="inlineStr">
        <is>
          <t>제품정보의 인식 및 등록</t>
        </is>
      </c>
      <c r="D18" s="29" t="inlineStr">
        <is>
          <t>p.10</t>
        </is>
      </c>
      <c r="E18" s="29" t="inlineStr">
        <is>
          <t>[사진 3]</t>
        </is>
      </c>
      <c r="F18" s="29" t="inlineStr">
        <is>
          <t>SKU 라벨 출력·부착 사진</t>
        </is>
      </c>
      <c r="G18" s="30" t="inlineStr">
        <is>
          <t>캡처</t>
        </is>
      </c>
      <c r="H18" s="29" t="n"/>
      <c r="I18" s="29" t="n"/>
    </row>
    <row r="19" ht="15" customHeight="1" s="24">
      <c r="A19" s="29" t="n">
        <v>16</v>
      </c>
      <c r="B19" s="29" t="inlineStr">
        <is>
          <t>1.1.5</t>
        </is>
      </c>
      <c r="C19" s="30" t="inlineStr">
        <is>
          <t>입고 처리</t>
        </is>
      </c>
      <c r="D19" s="29" t="inlineStr">
        <is>
          <t>p.11</t>
        </is>
      </c>
      <c r="E19" s="29" t="inlineStr">
        <is>
          <t>[사진 1]</t>
        </is>
      </c>
      <c r="F19" s="30" t="inlineStr">
        <is>
          <t>SW(WMS) 입고 확정 – 도착완료 → 입고완료 처리</t>
        </is>
      </c>
      <c r="G19" s="30" t="inlineStr">
        <is>
          <t>캡처</t>
        </is>
      </c>
      <c r="H19" s="29" t="n"/>
      <c r="I19" s="29" t="inlineStr">
        <is>
          <t>O</t>
        </is>
      </c>
    </row>
    <row r="20" ht="15" customHeight="1" s="24">
      <c r="A20" s="29" t="n">
        <v>17</v>
      </c>
      <c r="B20" s="29" t="inlineStr">
        <is>
          <t>1.1.5</t>
        </is>
      </c>
      <c r="C20" s="30" t="inlineStr">
        <is>
          <t>입고 처리</t>
        </is>
      </c>
      <c r="D20" s="29" t="inlineStr">
        <is>
          <t>p.11</t>
        </is>
      </c>
      <c r="E20" s="29" t="inlineStr">
        <is>
          <t>[사진 2]</t>
        </is>
      </c>
      <c r="F20" s="29" t="inlineStr">
        <is>
          <t>Smartship(OMS) 입고신청 목록 – 입고완료·실제입고수량 반영</t>
        </is>
      </c>
      <c r="G20" s="30" t="inlineStr">
        <is>
          <t>캡처</t>
        </is>
      </c>
      <c r="H20" s="29" t="n"/>
      <c r="I20" s="29" t="inlineStr">
        <is>
          <t>O</t>
        </is>
      </c>
    </row>
    <row r="21" ht="15" customHeight="1" s="24">
      <c r="A21" s="29" t="n">
        <v>18</v>
      </c>
      <c r="B21" s="29" t="inlineStr">
        <is>
          <t>1.1.5</t>
        </is>
      </c>
      <c r="C21" s="30" t="inlineStr">
        <is>
          <t>입고 처리</t>
        </is>
      </c>
      <c r="D21" s="29" t="inlineStr">
        <is>
          <t>p.11</t>
        </is>
      </c>
      <c r="E21" s="29" t="inlineStr">
        <is>
          <t>[사진 3]</t>
        </is>
      </c>
      <c r="F21" s="29" t="inlineStr">
        <is>
          <t>SW 모바일(PDA) 입고 SKU 화면 – SKU별 도착수량 입력·배치 선반 지정</t>
        </is>
      </c>
      <c r="G21" s="30" t="inlineStr">
        <is>
          <t>캡처</t>
        </is>
      </c>
      <c r="H21" s="29" t="n"/>
      <c r="I21" s="29" t="inlineStr">
        <is>
          <t>O</t>
        </is>
      </c>
    </row>
    <row r="22" ht="15" customHeight="1" s="24">
      <c r="A22" s="29" t="n">
        <v>19</v>
      </c>
      <c r="B22" s="29" t="inlineStr">
        <is>
          <t>1.1.5</t>
        </is>
      </c>
      <c r="C22" s="30" t="inlineStr">
        <is>
          <t>입고 처리</t>
        </is>
      </c>
      <c r="D22" s="29" t="inlineStr">
        <is>
          <t>p.11</t>
        </is>
      </c>
      <c r="E22" s="29" t="inlineStr">
        <is>
          <t>[사진 4]</t>
        </is>
      </c>
      <c r="F22" s="29" t="inlineStr">
        <is>
          <t>SW(WMS) SKU 입출고 이력 – 입고 수량·로케이션·LOT 기록</t>
        </is>
      </c>
      <c r="G22" s="30" t="inlineStr">
        <is>
          <t>캡처</t>
        </is>
      </c>
      <c r="H22" s="29" t="n"/>
      <c r="I22" s="29" t="inlineStr">
        <is>
          <t>O</t>
        </is>
      </c>
    </row>
    <row r="23" ht="15" customHeight="1" s="24">
      <c r="A23" s="29" t="n">
        <v>20</v>
      </c>
      <c r="B23" s="29" t="inlineStr">
        <is>
          <t>1.2.1</t>
        </is>
      </c>
      <c r="C23" s="30" t="inlineStr">
        <is>
          <t>작업정보의 정보제공</t>
        </is>
      </c>
      <c r="D23" s="29" t="inlineStr">
        <is>
          <t>p.12</t>
        </is>
      </c>
      <c r="E23" s="29" t="inlineStr">
        <is>
          <t>[사진 1]</t>
        </is>
      </c>
      <c r="F23" s="29" t="inlineStr">
        <is>
          <t>SW 모바일(PDA) 적치 로케이션 지정 – 동일 SKU 기존 보관 위치 확인 → 배치 선반 할당</t>
        </is>
      </c>
      <c r="G23" s="30" t="inlineStr">
        <is>
          <t>캡처</t>
        </is>
      </c>
      <c r="H23" s="29" t="n"/>
      <c r="I23" s="29" t="inlineStr">
        <is>
          <t>O</t>
        </is>
      </c>
    </row>
    <row r="24" ht="15" customHeight="1" s="24">
      <c r="A24" s="29" t="n">
        <v>21</v>
      </c>
      <c r="B24" s="29" t="inlineStr">
        <is>
          <t>1.2.1</t>
        </is>
      </c>
      <c r="C24" s="30" t="inlineStr">
        <is>
          <t>작업정보의 정보제공</t>
        </is>
      </c>
      <c r="D24" s="29" t="inlineStr">
        <is>
          <t>p.12</t>
        </is>
      </c>
      <c r="E24" s="29" t="inlineStr">
        <is>
          <t>[사진 2]</t>
        </is>
      </c>
      <c r="F24" s="30" t="inlineStr">
        <is>
          <t>적치 작업 사진</t>
        </is>
      </c>
      <c r="G24" s="30" t="inlineStr">
        <is>
          <t>사진</t>
        </is>
      </c>
      <c r="H24" s="29" t="n"/>
      <c r="I24" s="29" t="n"/>
    </row>
    <row r="25" ht="15" customHeight="1" s="24">
      <c r="A25" s="29" t="n">
        <v>22</v>
      </c>
      <c r="B25" s="29" t="inlineStr">
        <is>
          <t>1.2.2</t>
        </is>
      </c>
      <c r="C25" s="30" t="inlineStr">
        <is>
          <t>적치장소 이동</t>
        </is>
      </c>
      <c r="D25" s="29" t="inlineStr">
        <is>
          <t>p.13</t>
        </is>
      </c>
      <c r="E25" s="29" t="inlineStr">
        <is>
          <t>[사진 1]</t>
        </is>
      </c>
      <c r="F25" s="30" t="inlineStr">
        <is>
          <t>지게차 적치 작업 사진</t>
        </is>
      </c>
      <c r="G25" s="30" t="inlineStr">
        <is>
          <t>사진</t>
        </is>
      </c>
      <c r="H25" s="29" t="n"/>
      <c r="I25" s="29" t="n"/>
    </row>
    <row r="26" ht="15" customHeight="1" s="24">
      <c r="A26" s="29" t="n">
        <v>23</v>
      </c>
      <c r="B26" s="29" t="inlineStr">
        <is>
          <t>1.2.2</t>
        </is>
      </c>
      <c r="C26" s="30" t="inlineStr">
        <is>
          <t>적치장소 이동</t>
        </is>
      </c>
      <c r="D26" s="29" t="inlineStr">
        <is>
          <t>p.13</t>
        </is>
      </c>
      <c r="E26" s="29" t="inlineStr">
        <is>
          <t>[사진 2]</t>
        </is>
      </c>
      <c r="F26" s="30" t="inlineStr">
        <is>
          <t>셀렉티브 랙 전경 사진</t>
        </is>
      </c>
      <c r="G26" s="30" t="inlineStr">
        <is>
          <t>사진</t>
        </is>
      </c>
      <c r="H26" s="29" t="n"/>
      <c r="I26" s="29" t="n"/>
    </row>
    <row r="27" ht="15" customHeight="1" s="24">
      <c r="A27" s="29" t="n">
        <v>24</v>
      </c>
      <c r="B27" s="29" t="inlineStr">
        <is>
          <t>1.2.2</t>
        </is>
      </c>
      <c r="C27" s="30" t="inlineStr">
        <is>
          <t>적치장소 이동</t>
        </is>
      </c>
      <c r="D27" s="29" t="inlineStr">
        <is>
          <t>p.13</t>
        </is>
      </c>
      <c r="E27" s="29" t="inlineStr">
        <is>
          <t>[사진 3]</t>
        </is>
      </c>
      <c r="F27" s="30" t="inlineStr">
        <is>
          <t>지게차 안전작업 실천 서약서(2026.06.23, 영종센터 운전자 8명)</t>
        </is>
      </c>
      <c r="G27" s="30" t="inlineStr">
        <is>
          <t>자료</t>
        </is>
      </c>
      <c r="H27" s="29" t="n"/>
      <c r="I27" s="29" t="inlineStr">
        <is>
          <t>O</t>
        </is>
      </c>
    </row>
    <row r="28" ht="15" customHeight="1" s="24">
      <c r="A28" s="29" t="n">
        <v>25</v>
      </c>
      <c r="B28" s="29" t="inlineStr">
        <is>
          <t>1.2.3</t>
        </is>
      </c>
      <c r="C28" s="30" t="inlineStr">
        <is>
          <t>작업경로 관리</t>
        </is>
      </c>
      <c r="D28" s="29" t="inlineStr">
        <is>
          <t>p.14</t>
        </is>
      </c>
      <c r="E28" s="29" t="inlineStr">
        <is>
          <t>[사진 1]</t>
        </is>
      </c>
      <c r="F28" s="30" t="inlineStr">
        <is>
          <t>SW(WMS) 3D 뷰어 – 보관 구역·랙·셀 배치 및 셀별 재고 상태</t>
        </is>
      </c>
      <c r="G28" s="30" t="inlineStr">
        <is>
          <t>캡처</t>
        </is>
      </c>
      <c r="H28" s="29" t="n"/>
      <c r="I28" s="29" t="inlineStr">
        <is>
          <t>O</t>
        </is>
      </c>
    </row>
    <row r="29" ht="15" customHeight="1" s="24">
      <c r="A29" s="29" t="n">
        <v>26</v>
      </c>
      <c r="B29" s="29" t="inlineStr">
        <is>
          <t>1.2.3</t>
        </is>
      </c>
      <c r="C29" s="30" t="inlineStr">
        <is>
          <t>작업경로 관리</t>
        </is>
      </c>
      <c r="D29" s="29" t="inlineStr">
        <is>
          <t>p.14</t>
        </is>
      </c>
      <c r="E29" s="29" t="inlineStr">
        <is>
          <t>[사진 2]</t>
        </is>
      </c>
      <c r="F29" s="30" t="inlineStr">
        <is>
          <t>보관 영역 로케이션 배치도</t>
        </is>
      </c>
      <c r="G29" s="30" t="inlineStr">
        <is>
          <t>자료</t>
        </is>
      </c>
      <c r="H29" s="29" t="n"/>
      <c r="I29" s="29" t="n"/>
    </row>
    <row r="30" ht="15" customHeight="1" s="24">
      <c r="A30" s="29" t="n">
        <v>27</v>
      </c>
      <c r="B30" s="29" t="inlineStr">
        <is>
          <t>1.2.4</t>
        </is>
      </c>
      <c r="C30" s="30" t="inlineStr">
        <is>
          <t>적치장소 식별 및 작업</t>
        </is>
      </c>
      <c r="D30" s="29" t="inlineStr">
        <is>
          <t>p.15</t>
        </is>
      </c>
      <c r="E30" s="29" t="inlineStr">
        <is>
          <t>[사진 1]</t>
        </is>
      </c>
      <c r="F30" s="30" t="inlineStr">
        <is>
          <t>로케이션 라벨 부착 사진</t>
        </is>
      </c>
      <c r="G30" s="30" t="inlineStr">
        <is>
          <t>사진</t>
        </is>
      </c>
      <c r="H30" s="29" t="n"/>
      <c r="I30" s="29" t="n"/>
    </row>
    <row r="31" ht="15" customHeight="1" s="24">
      <c r="A31" s="29" t="n">
        <v>28</v>
      </c>
      <c r="B31" s="29" t="inlineStr">
        <is>
          <t>1.2.4</t>
        </is>
      </c>
      <c r="C31" s="30" t="inlineStr">
        <is>
          <t>적치장소 식별 및 작업</t>
        </is>
      </c>
      <c r="D31" s="29" t="inlineStr">
        <is>
          <t>p.15</t>
        </is>
      </c>
      <c r="E31" s="29" t="inlineStr">
        <is>
          <t>[사진 2]</t>
        </is>
      </c>
      <c r="F31" s="30" t="inlineStr">
        <is>
          <t>SW 모바일(PDA) 셀·SKU 스캔 – 로케이션별 SKU·수량 양방향 조회</t>
        </is>
      </c>
      <c r="G31" s="30" t="inlineStr">
        <is>
          <t>캡처</t>
        </is>
      </c>
      <c r="H31" s="29" t="n"/>
      <c r="I31" s="29" t="inlineStr">
        <is>
          <t>O</t>
        </is>
      </c>
    </row>
    <row r="32" ht="15" customHeight="1" s="24">
      <c r="A32" s="29" t="n">
        <v>29</v>
      </c>
      <c r="B32" s="29" t="inlineStr">
        <is>
          <t>1.3.1</t>
        </is>
      </c>
      <c r="C32" s="30" t="inlineStr">
        <is>
          <t>재고조사의 수행 및 방법</t>
        </is>
      </c>
      <c r="D32" s="29" t="inlineStr">
        <is>
          <t>p.16</t>
        </is>
      </c>
      <c r="E32" s="29" t="inlineStr">
        <is>
          <t>[사진 1]</t>
        </is>
      </c>
      <c r="F32" s="30" t="inlineStr">
        <is>
          <t>재고실사 생성·수행 화면 캡처</t>
        </is>
      </c>
      <c r="G32" s="30" t="inlineStr">
        <is>
          <t>캡처</t>
        </is>
      </c>
      <c r="H32" s="29" t="n"/>
      <c r="I32" s="29" t="n"/>
    </row>
    <row r="33" ht="15" customHeight="1" s="24">
      <c r="A33" s="29" t="n">
        <v>30</v>
      </c>
      <c r="B33" s="29" t="inlineStr">
        <is>
          <t>1.3.1</t>
        </is>
      </c>
      <c r="C33" s="30" t="inlineStr">
        <is>
          <t>재고조사의 수행 및 방법</t>
        </is>
      </c>
      <c r="D33" s="29" t="inlineStr">
        <is>
          <t>p.16</t>
        </is>
      </c>
      <c r="E33" s="29" t="inlineStr">
        <is>
          <t>[사진 2]</t>
        </is>
      </c>
      <c r="F33" s="30" t="inlineStr">
        <is>
          <t>실사 결과 및 재고 조정 이력</t>
        </is>
      </c>
      <c r="G33" s="30" t="inlineStr">
        <is>
          <t>자료</t>
        </is>
      </c>
      <c r="H33" s="29" t="n"/>
      <c r="I33" s="29" t="n"/>
    </row>
    <row r="34" ht="15" customHeight="1" s="24">
      <c r="A34" s="29" t="n">
        <v>31</v>
      </c>
      <c r="B34" s="29" t="inlineStr">
        <is>
          <t>1.3.2</t>
        </is>
      </c>
      <c r="C34" s="30" t="inlineStr">
        <is>
          <t>재고보충정보의 생성 및 지시</t>
        </is>
      </c>
      <c r="D34" s="29" t="inlineStr">
        <is>
          <t>p.17</t>
        </is>
      </c>
      <c r="E34" s="29" t="inlineStr">
        <is>
          <t>[사진 1]</t>
        </is>
      </c>
      <c r="F34" s="30" t="inlineStr">
        <is>
          <t>SW(WMS) SKU 이동 처리 – 보충·이동 요청 등록 및 출발·도착 셀 지정</t>
        </is>
      </c>
      <c r="G34" s="30" t="inlineStr">
        <is>
          <t>캡처</t>
        </is>
      </c>
      <c r="H34" s="29" t="n"/>
      <c r="I34" s="29" t="n"/>
    </row>
    <row r="35" ht="15" customHeight="1" s="24">
      <c r="A35" s="29" t="n">
        <v>32</v>
      </c>
      <c r="B35" s="29" t="inlineStr">
        <is>
          <t>1.3.3</t>
        </is>
      </c>
      <c r="C35" s="30" t="inlineStr">
        <is>
          <t>재고 보관위치의 조정</t>
        </is>
      </c>
      <c r="D35" s="29" t="inlineStr">
        <is>
          <t>p.18</t>
        </is>
      </c>
      <c r="E35" s="29" t="inlineStr">
        <is>
          <t>[사진 1]</t>
        </is>
      </c>
      <c r="F35" s="30" t="inlineStr">
        <is>
          <t>SW(WMS) SKU 이동 관리 – 유형별 이동 요청·처리 실적(입고·회수·SKU 이동·보충 등)</t>
        </is>
      </c>
      <c r="G35" s="30" t="inlineStr">
        <is>
          <t>캡처</t>
        </is>
      </c>
      <c r="H35" s="29" t="n"/>
      <c r="I35" s="29" t="n"/>
    </row>
    <row r="36" ht="15" customHeight="1" s="24">
      <c r="A36" s="29" t="n">
        <v>33</v>
      </c>
      <c r="B36" s="29" t="inlineStr">
        <is>
          <t>1.3.4</t>
        </is>
      </c>
      <c r="C36" s="30" t="inlineStr">
        <is>
          <t>보관장소의 모니터링 및 관리</t>
        </is>
      </c>
      <c r="D36" s="29" t="inlineStr">
        <is>
          <t>p.19</t>
        </is>
      </c>
      <c r="E36" s="29" t="inlineStr">
        <is>
          <t>[사진 1]</t>
        </is>
      </c>
      <c r="F36" s="30" t="inlineStr">
        <is>
          <t>전체 대시보드·대시보드 모니터 화면 캡처</t>
        </is>
      </c>
      <c r="G36" s="30" t="inlineStr">
        <is>
          <t>캡처</t>
        </is>
      </c>
      <c r="H36" s="29" t="n"/>
      <c r="I36" s="29" t="n"/>
    </row>
    <row r="37" ht="15" customHeight="1" s="24">
      <c r="A37" s="29" t="n">
        <v>34</v>
      </c>
      <c r="B37" s="29" t="inlineStr">
        <is>
          <t>1.3.4</t>
        </is>
      </c>
      <c r="C37" s="30" t="inlineStr">
        <is>
          <t>보관장소의 모니터링 및 관리</t>
        </is>
      </c>
      <c r="D37" s="29" t="inlineStr">
        <is>
          <t>p.19</t>
        </is>
      </c>
      <c r="E37" s="29" t="inlineStr">
        <is>
          <t>[사진 2]</t>
        </is>
      </c>
      <c r="F37" s="30" t="inlineStr">
        <is>
          <t>현장 상황판 사진</t>
        </is>
      </c>
      <c r="G37" s="30" t="inlineStr">
        <is>
          <t>사진</t>
        </is>
      </c>
      <c r="H37" s="29" t="n"/>
      <c r="I37" s="29" t="n"/>
    </row>
    <row r="38" ht="15" customHeight="1" s="24">
      <c r="A38" s="29" t="n">
        <v>35</v>
      </c>
      <c r="B38" s="29" t="inlineStr">
        <is>
          <t>1.3.4</t>
        </is>
      </c>
      <c r="C38" s="30" t="inlineStr">
        <is>
          <t>보관장소의 모니터링 및 관리</t>
        </is>
      </c>
      <c r="D38" s="29" t="inlineStr">
        <is>
          <t>p.19</t>
        </is>
      </c>
      <c r="E38" s="29" t="inlineStr">
        <is>
          <t>[사진 3]</t>
        </is>
      </c>
      <c r="F38" s="30" t="inlineStr">
        <is>
          <t>SW(WMS) 마감리포트 – 일·주·월 단위 재고·입출고 집계(2026년 9월)</t>
        </is>
      </c>
      <c r="G38" s="30" t="inlineStr">
        <is>
          <t>캡처</t>
        </is>
      </c>
      <c r="H38" s="29" t="n"/>
      <c r="I38" s="29" t="inlineStr">
        <is>
          <t>O</t>
        </is>
      </c>
    </row>
    <row r="39" ht="15" customHeight="1" s="24">
      <c r="A39" s="29" t="n">
        <v>36</v>
      </c>
      <c r="B39" s="29" t="inlineStr">
        <is>
          <t>1.3.5</t>
        </is>
      </c>
      <c r="C39" s="30" t="inlineStr">
        <is>
          <t>재고 이력(선입선출 등) 및 품질관리</t>
        </is>
      </c>
      <c r="D39" s="29" t="inlineStr">
        <is>
          <t>p.20</t>
        </is>
      </c>
      <c r="E39" s="29" t="inlineStr">
        <is>
          <t>[사진 1]</t>
        </is>
      </c>
      <c r="F39" s="30" t="inlineStr">
        <is>
          <t>유통기한·로트 그룹핑 화면 및 자동 할당 결과 캡처</t>
        </is>
      </c>
      <c r="G39" s="30" t="inlineStr">
        <is>
          <t>캡처</t>
        </is>
      </c>
      <c r="H39" s="29" t="n"/>
      <c r="I39" s="29" t="n"/>
    </row>
    <row r="40" ht="15" customHeight="1" s="24">
      <c r="A40" s="29" t="n">
        <v>37</v>
      </c>
      <c r="B40" s="29" t="inlineStr">
        <is>
          <t>1.4.1</t>
        </is>
      </c>
      <c r="C40" s="30" t="inlineStr">
        <is>
          <t>작업정보의 생성 및 지시</t>
        </is>
      </c>
      <c r="D40" s="29" t="inlineStr">
        <is>
          <t>p.21</t>
        </is>
      </c>
      <c r="E40" s="29" t="inlineStr">
        <is>
          <t>[사진 1]</t>
        </is>
      </c>
      <c r="F40" s="30" t="inlineStr">
        <is>
          <t>픽킹 리스트 생성·관리 화면 캡처</t>
        </is>
      </c>
      <c r="G40" s="30" t="inlineStr">
        <is>
          <t>캡처</t>
        </is>
      </c>
      <c r="H40" s="29" t="n"/>
      <c r="I40" s="29" t="n"/>
    </row>
    <row r="41" ht="15" customHeight="1" s="24">
      <c r="A41" s="29" t="n">
        <v>38</v>
      </c>
      <c r="B41" s="29" t="inlineStr">
        <is>
          <t>1.4.1</t>
        </is>
      </c>
      <c r="C41" s="30" t="inlineStr">
        <is>
          <t>작업정보의 생성 및 지시</t>
        </is>
      </c>
      <c r="D41" s="29" t="inlineStr">
        <is>
          <t>p.21</t>
        </is>
      </c>
      <c r="E41" s="29" t="inlineStr">
        <is>
          <t>[사진 2]</t>
        </is>
      </c>
      <c r="F41" s="29" t="inlineStr">
        <is>
          <t>PDA 피킹 지시 화면</t>
        </is>
      </c>
      <c r="G41" s="30" t="inlineStr">
        <is>
          <t>캡처</t>
        </is>
      </c>
      <c r="H41" s="29" t="n"/>
      <c r="I41" s="29" t="n"/>
    </row>
    <row r="42" ht="15" customHeight="1" s="24">
      <c r="A42" s="29" t="n">
        <v>39</v>
      </c>
      <c r="B42" s="29" t="inlineStr">
        <is>
          <t>1.4.1</t>
        </is>
      </c>
      <c r="C42" s="30" t="inlineStr">
        <is>
          <t>작업정보의 생성 및 지시</t>
        </is>
      </c>
      <c r="D42" s="29" t="inlineStr">
        <is>
          <t>p.21</t>
        </is>
      </c>
      <c r="E42" s="29" t="inlineStr">
        <is>
          <t>[사진 3]</t>
        </is>
      </c>
      <c r="F42" s="29" t="inlineStr">
        <is>
          <t>SW(WMS) 픽킹 리스트 관리 – 주문 구성별 피킹 방식 구분</t>
        </is>
      </c>
      <c r="G42" s="30" t="inlineStr">
        <is>
          <t>캡처</t>
        </is>
      </c>
      <c r="H42" s="29" t="n"/>
      <c r="I42" s="29" t="inlineStr">
        <is>
          <t>O</t>
        </is>
      </c>
    </row>
    <row r="43" ht="15" customHeight="1" s="24">
      <c r="A43" s="29" t="n">
        <v>40</v>
      </c>
      <c r="B43" s="29" t="inlineStr">
        <is>
          <t>1.4.2</t>
        </is>
      </c>
      <c r="C43" s="30" t="inlineStr">
        <is>
          <t>작업정보의 확인 방법</t>
        </is>
      </c>
      <c r="D43" s="29" t="inlineStr">
        <is>
          <t>p.22</t>
        </is>
      </c>
      <c r="E43" s="29" t="inlineStr">
        <is>
          <t>[사진 1]</t>
        </is>
      </c>
      <c r="F43" s="29" t="inlineStr">
        <is>
          <t>PDA 피킹 화면</t>
        </is>
      </c>
      <c r="G43" s="30" t="inlineStr">
        <is>
          <t>캡처</t>
        </is>
      </c>
      <c r="H43" s="29" t="n"/>
      <c r="I43" s="29" t="n"/>
    </row>
    <row r="44" ht="15" customHeight="1" s="24">
      <c r="A44" s="29" t="n">
        <v>41</v>
      </c>
      <c r="B44" s="29" t="inlineStr">
        <is>
          <t>1.4.2</t>
        </is>
      </c>
      <c r="C44" s="30" t="inlineStr">
        <is>
          <t>작업정보의 확인 방법</t>
        </is>
      </c>
      <c r="D44" s="29" t="inlineStr">
        <is>
          <t>p.22</t>
        </is>
      </c>
      <c r="E44" s="29" t="inlineStr">
        <is>
          <t>[사진 2]</t>
        </is>
      </c>
      <c r="F44" s="29" t="inlineStr">
        <is>
          <t>PTL 점등 사진</t>
        </is>
      </c>
      <c r="G44" s="30" t="inlineStr">
        <is>
          <t>사진</t>
        </is>
      </c>
      <c r="H44" s="29" t="n"/>
      <c r="I44" s="29" t="n"/>
    </row>
    <row r="45" ht="15" customHeight="1" s="24">
      <c r="A45" s="29" t="n">
        <v>42</v>
      </c>
      <c r="B45" s="29" t="inlineStr">
        <is>
          <t>1.4.3</t>
        </is>
      </c>
      <c r="C45" s="30" t="inlineStr">
        <is>
          <t>작업경로의 실시간 관리</t>
        </is>
      </c>
      <c r="D45" s="29" t="inlineStr">
        <is>
          <t>p.23</t>
        </is>
      </c>
      <c r="E45" s="29" t="inlineStr">
        <is>
          <t>[사진 1]</t>
        </is>
      </c>
      <c r="F45" s="30" t="inlineStr">
        <is>
          <t>SW(WMS) 픽킹 리스트 출력 – 로케이션 순 피킹 순서 자동 정렬</t>
        </is>
      </c>
      <c r="G45" s="30" t="inlineStr">
        <is>
          <t>캡처</t>
        </is>
      </c>
      <c r="H45" s="29" t="n"/>
      <c r="I45" s="29" t="inlineStr">
        <is>
          <t>O</t>
        </is>
      </c>
    </row>
    <row r="46" ht="15" customHeight="1" s="24">
      <c r="A46" s="29" t="n">
        <v>43</v>
      </c>
      <c r="B46" s="29" t="inlineStr">
        <is>
          <t>1.4.4</t>
        </is>
      </c>
      <c r="C46" s="30" t="inlineStr">
        <is>
          <t>피킹 장소의 확인 및 작업</t>
        </is>
      </c>
      <c r="D46" s="29" t="inlineStr">
        <is>
          <t>p.24</t>
        </is>
      </c>
      <c r="E46" s="29" t="inlineStr">
        <is>
          <t>[사진 1]</t>
        </is>
      </c>
      <c r="F46" s="30" t="inlineStr">
        <is>
          <t>카트피킹 작업 사진</t>
        </is>
      </c>
      <c r="G46" s="30" t="inlineStr">
        <is>
          <t>사진</t>
        </is>
      </c>
      <c r="H46" s="29" t="n"/>
      <c r="I46" s="29" t="n"/>
    </row>
    <row r="47" ht="15" customHeight="1" s="24">
      <c r="A47" s="29" t="n">
        <v>44</v>
      </c>
      <c r="B47" s="29" t="inlineStr">
        <is>
          <t>1.4.4</t>
        </is>
      </c>
      <c r="C47" s="30" t="inlineStr">
        <is>
          <t>피킹 장소의 확인 및 작업</t>
        </is>
      </c>
      <c r="D47" s="29" t="inlineStr">
        <is>
          <t>p.24</t>
        </is>
      </c>
      <c r="E47" s="29" t="inlineStr">
        <is>
          <t>[사진 2]</t>
        </is>
      </c>
      <c r="F47" s="29" t="inlineStr">
        <is>
          <t>PDA 스캔 검증 화면</t>
        </is>
      </c>
      <c r="G47" s="30" t="inlineStr">
        <is>
          <t>캡처</t>
        </is>
      </c>
      <c r="H47" s="29" t="n"/>
      <c r="I47" s="29" t="n"/>
    </row>
    <row r="48" ht="15" customHeight="1" s="24">
      <c r="A48" s="29" t="n">
        <v>45</v>
      </c>
      <c r="B48" s="29" t="inlineStr">
        <is>
          <t>1.4.5</t>
        </is>
      </c>
      <c r="C48" s="30" t="inlineStr">
        <is>
          <t>분류정보의 생성 및 지시</t>
        </is>
      </c>
      <c r="D48" s="29" t="inlineStr">
        <is>
          <t>p.25</t>
        </is>
      </c>
      <c r="E48" s="29" t="inlineStr">
        <is>
          <t>[사진 1]</t>
        </is>
      </c>
      <c r="F48" s="30" t="inlineStr">
        <is>
          <t>슈트 설정 화면 캡처</t>
        </is>
      </c>
      <c r="G48" s="30" t="inlineStr">
        <is>
          <t>캡처</t>
        </is>
      </c>
      <c r="H48" s="29" t="n"/>
      <c r="I48" s="29" t="n"/>
    </row>
    <row r="49" ht="15" customHeight="1" s="24">
      <c r="A49" s="29" t="n">
        <v>46</v>
      </c>
      <c r="B49" s="29" t="inlineStr">
        <is>
          <t>1.4.5</t>
        </is>
      </c>
      <c r="C49" s="30" t="inlineStr">
        <is>
          <t>분류정보의 생성 및 지시</t>
        </is>
      </c>
      <c r="D49" s="29" t="inlineStr">
        <is>
          <t>p.25</t>
        </is>
      </c>
      <c r="E49" s="29" t="inlineStr">
        <is>
          <t>[사진 2]</t>
        </is>
      </c>
      <c r="F49" s="30" t="inlineStr">
        <is>
          <t>분류 영역 전경 사진</t>
        </is>
      </c>
      <c r="G49" s="30" t="inlineStr">
        <is>
          <t>사진</t>
        </is>
      </c>
      <c r="H49" s="29" t="n"/>
      <c r="I49" s="29" t="n"/>
    </row>
    <row r="50" ht="15" customHeight="1" s="24">
      <c r="A50" s="29" t="n">
        <v>47</v>
      </c>
      <c r="B50" s="29" t="inlineStr">
        <is>
          <t>1.4.6</t>
        </is>
      </c>
      <c r="C50" s="30" t="inlineStr">
        <is>
          <t>분류 작업</t>
        </is>
      </c>
      <c r="D50" s="29" t="inlineStr">
        <is>
          <t>p.26</t>
        </is>
      </c>
      <c r="E50" s="29" t="inlineStr">
        <is>
          <t>[사진 1]</t>
        </is>
      </c>
      <c r="F50" s="30" t="inlineStr">
        <is>
          <t>휠소터·3D 소터·싱귤레이터 사진</t>
        </is>
      </c>
      <c r="G50" s="30" t="inlineStr">
        <is>
          <t>사진</t>
        </is>
      </c>
      <c r="H50" s="29" t="n"/>
      <c r="I50" s="29" t="n"/>
    </row>
    <row r="51" ht="15" customHeight="1" s="24">
      <c r="A51" s="29" t="n">
        <v>48</v>
      </c>
      <c r="B51" s="29" t="inlineStr">
        <is>
          <t>1.4.6</t>
        </is>
      </c>
      <c r="C51" s="30" t="inlineStr">
        <is>
          <t>분류 작업</t>
        </is>
      </c>
      <c r="D51" s="29" t="inlineStr">
        <is>
          <t>p.26</t>
        </is>
      </c>
      <c r="E51" s="29" t="inlineStr">
        <is>
          <t>[사진 2]</t>
        </is>
      </c>
      <c r="F51" s="30" t="inlineStr">
        <is>
          <t>소터 모니터링 화면 캡처</t>
        </is>
      </c>
      <c r="G51" s="30" t="inlineStr">
        <is>
          <t>캡처</t>
        </is>
      </c>
      <c r="H51" s="29" t="n"/>
      <c r="I51" s="29" t="n"/>
    </row>
    <row r="52" ht="15" customHeight="1" s="24">
      <c r="A52" s="29" t="n">
        <v>49</v>
      </c>
      <c r="B52" s="29" t="inlineStr">
        <is>
          <t>1.5.1</t>
        </is>
      </c>
      <c r="C52" s="30" t="inlineStr">
        <is>
          <t>포장장소로의 정보 제공 및 이동</t>
        </is>
      </c>
      <c r="D52" s="29" t="inlineStr">
        <is>
          <t>p.27</t>
        </is>
      </c>
      <c r="E52" s="29" t="inlineStr">
        <is>
          <t>[사진 1]</t>
        </is>
      </c>
      <c r="F52" s="30" t="inlineStr">
        <is>
          <t>패킹 리스트 화면 캡처</t>
        </is>
      </c>
      <c r="G52" s="30" t="inlineStr">
        <is>
          <t>캡처</t>
        </is>
      </c>
      <c r="H52" s="29" t="n"/>
      <c r="I52" s="29" t="n"/>
    </row>
    <row r="53" ht="15" customHeight="1" s="24">
      <c r="A53" s="29" t="n">
        <v>50</v>
      </c>
      <c r="B53" s="29" t="inlineStr">
        <is>
          <t>1.5.1</t>
        </is>
      </c>
      <c r="C53" s="30" t="inlineStr">
        <is>
          <t>포장장소로의 정보 제공 및 이동</t>
        </is>
      </c>
      <c r="D53" s="29" t="inlineStr">
        <is>
          <t>p.27</t>
        </is>
      </c>
      <c r="E53" s="29" t="inlineStr">
        <is>
          <t>[사진 2]</t>
        </is>
      </c>
      <c r="F53" s="30" t="inlineStr">
        <is>
          <t>포장대 전경 사진</t>
        </is>
      </c>
      <c r="G53" s="30" t="inlineStr">
        <is>
          <t>사진</t>
        </is>
      </c>
      <c r="H53" s="29" t="n"/>
      <c r="I53" s="29" t="n"/>
    </row>
    <row r="54" ht="15" customHeight="1" s="24">
      <c r="A54" s="29" t="n">
        <v>51</v>
      </c>
      <c r="B54" s="29" t="inlineStr">
        <is>
          <t>1.5.2</t>
        </is>
      </c>
      <c r="C54" s="30" t="inlineStr">
        <is>
          <t>포장재 및 포장물품 관리</t>
        </is>
      </c>
      <c r="D54" s="29" t="inlineStr">
        <is>
          <t>p.28</t>
        </is>
      </c>
      <c r="E54" s="29" t="inlineStr">
        <is>
          <t>[사진 1]</t>
        </is>
      </c>
      <c r="F54" s="30" t="inlineStr">
        <is>
          <t>포장재 보관 구역 사진</t>
        </is>
      </c>
      <c r="G54" s="30" t="inlineStr">
        <is>
          <t>사진</t>
        </is>
      </c>
      <c r="H54" s="29" t="n"/>
      <c r="I54" s="29" t="n"/>
    </row>
    <row r="55" ht="15" customHeight="1" s="24">
      <c r="A55" s="29" t="n">
        <v>52</v>
      </c>
      <c r="B55" s="29" t="inlineStr">
        <is>
          <t>1.5.2</t>
        </is>
      </c>
      <c r="C55" s="30" t="inlineStr">
        <is>
          <t>포장재 및 포장물품 관리</t>
        </is>
      </c>
      <c r="D55" s="29" t="inlineStr">
        <is>
          <t>p.28</t>
        </is>
      </c>
      <c r="E55" s="29" t="inlineStr">
        <is>
          <t>[사진 2]</t>
        </is>
      </c>
      <c r="F55" s="30" t="inlineStr">
        <is>
          <t>SW(WMS) SKU 관리 – 부자재(포장재) 품목별 재고 관리</t>
        </is>
      </c>
      <c r="G55" s="30" t="inlineStr">
        <is>
          <t>캡처</t>
        </is>
      </c>
      <c r="H55" s="29" t="n"/>
      <c r="I55" s="29" t="inlineStr">
        <is>
          <t>O</t>
        </is>
      </c>
    </row>
    <row r="56" ht="15" customHeight="1" s="24">
      <c r="A56" s="29" t="n">
        <v>53</v>
      </c>
      <c r="B56" s="29" t="inlineStr">
        <is>
          <t>1.5.3</t>
        </is>
      </c>
      <c r="C56" s="30" t="inlineStr">
        <is>
          <t>검품/검수 및 오류관리(인식 및 처리)</t>
        </is>
      </c>
      <c r="D56" s="29" t="inlineStr">
        <is>
          <t>p.29</t>
        </is>
      </c>
      <c r="E56" s="29" t="inlineStr">
        <is>
          <t>[사진 1]</t>
        </is>
      </c>
      <c r="F56" s="30" t="inlineStr">
        <is>
          <t>검품 스캔 화면</t>
        </is>
      </c>
      <c r="G56" s="30" t="inlineStr">
        <is>
          <t>캡처</t>
        </is>
      </c>
      <c r="H56" s="29" t="n"/>
      <c r="I56" s="29" t="n"/>
    </row>
    <row r="57" ht="15" customHeight="1" s="24">
      <c r="A57" s="29" t="n">
        <v>54</v>
      </c>
      <c r="B57" s="29" t="inlineStr">
        <is>
          <t>1.5.3</t>
        </is>
      </c>
      <c r="C57" s="30" t="inlineStr">
        <is>
          <t>검품/검수 및 오류관리(인식 및 처리)</t>
        </is>
      </c>
      <c r="D57" s="29" t="inlineStr">
        <is>
          <t>p.29</t>
        </is>
      </c>
      <c r="E57" s="29" t="inlineStr">
        <is>
          <t>[사진 2]</t>
        </is>
      </c>
      <c r="F57" s="30" t="inlineStr">
        <is>
          <t>녹화 영상 조회 화면 캡처</t>
        </is>
      </c>
      <c r="G57" s="30" t="inlineStr">
        <is>
          <t>캡처</t>
        </is>
      </c>
      <c r="H57" s="29" t="n"/>
      <c r="I57" s="29" t="n"/>
    </row>
    <row r="58" ht="15" customHeight="1" s="24">
      <c r="A58" s="29" t="n">
        <v>55</v>
      </c>
      <c r="B58" s="29" t="inlineStr">
        <is>
          <t>1.5.3</t>
        </is>
      </c>
      <c r="C58" s="30" t="inlineStr">
        <is>
          <t>검품/검수 및 오류관리(인식 및 처리)</t>
        </is>
      </c>
      <c r="D58" s="29" t="inlineStr">
        <is>
          <t>p.29</t>
        </is>
      </c>
      <c r="E58" s="29" t="inlineStr">
        <is>
          <t>[사진 3]</t>
        </is>
      </c>
      <c r="F58" s="29" t="inlineStr">
        <is>
          <t>DWS 계측 사진</t>
        </is>
      </c>
      <c r="G58" s="30" t="inlineStr">
        <is>
          <t>사진</t>
        </is>
      </c>
      <c r="H58" s="29" t="n"/>
      <c r="I58" s="29" t="n"/>
    </row>
    <row r="59" ht="15" customHeight="1" s="24">
      <c r="A59" s="29" t="n">
        <v>56</v>
      </c>
      <c r="B59" s="29" t="inlineStr">
        <is>
          <t>1.5.3</t>
        </is>
      </c>
      <c r="C59" s="30" t="inlineStr">
        <is>
          <t>검품/검수 및 오류관리(인식 및 처리)</t>
        </is>
      </c>
      <c r="D59" s="29" t="inlineStr">
        <is>
          <t>p.29</t>
        </is>
      </c>
      <c r="E59" s="29" t="inlineStr">
        <is>
          <t>[사진 4]</t>
        </is>
      </c>
      <c r="F59" s="30" t="inlineStr">
        <is>
          <t>이상/클레임 보고서 양식</t>
        </is>
      </c>
      <c r="G59" s="30" t="inlineStr">
        <is>
          <t>자료</t>
        </is>
      </c>
      <c r="H59" s="29" t="n"/>
      <c r="I59" s="29" t="n"/>
    </row>
    <row r="60" ht="15" customHeight="1" s="24">
      <c r="A60" s="29" t="n">
        <v>57</v>
      </c>
      <c r="B60" s="29" t="inlineStr">
        <is>
          <t>1.5.4</t>
        </is>
      </c>
      <c r="C60" s="30" t="inlineStr">
        <is>
          <t>포장 작업</t>
        </is>
      </c>
      <c r="D60" s="29" t="inlineStr">
        <is>
          <t>p.30</t>
        </is>
      </c>
      <c r="E60" s="29" t="inlineStr">
        <is>
          <t>[사진 1]</t>
        </is>
      </c>
      <c r="F60" s="30" t="inlineStr">
        <is>
          <t>포장대·봉함기 사진</t>
        </is>
      </c>
      <c r="G60" s="30" t="inlineStr">
        <is>
          <t>사진</t>
        </is>
      </c>
      <c r="H60" s="29" t="n"/>
      <c r="I60" s="29" t="n"/>
    </row>
    <row r="61" ht="15" customHeight="1" s="24">
      <c r="A61" s="29" t="n">
        <v>58</v>
      </c>
      <c r="B61" s="29" t="inlineStr">
        <is>
          <t>1.5.5</t>
        </is>
      </c>
      <c r="C61" s="30" t="inlineStr">
        <is>
          <t>배송정보 표시(라벨) 및 부착</t>
        </is>
      </c>
      <c r="D61" s="29" t="inlineStr">
        <is>
          <t>p.31</t>
        </is>
      </c>
      <c r="E61" s="29" t="inlineStr">
        <is>
          <t>[사진 1]</t>
        </is>
      </c>
      <c r="F61" s="30" t="inlineStr">
        <is>
          <t>오토라벨러 사진</t>
        </is>
      </c>
      <c r="G61" s="30" t="inlineStr">
        <is>
          <t>사진</t>
        </is>
      </c>
      <c r="H61" s="29" t="n"/>
      <c r="I61" s="29" t="n"/>
    </row>
    <row r="62" ht="15" customHeight="1" s="24">
      <c r="A62" s="29" t="n">
        <v>59</v>
      </c>
      <c r="B62" s="29" t="inlineStr">
        <is>
          <t>1.5.5</t>
        </is>
      </c>
      <c r="C62" s="30" t="inlineStr">
        <is>
          <t>배송정보 표시(라벨) 및 부착</t>
        </is>
      </c>
      <c r="D62" s="29" t="inlineStr">
        <is>
          <t>p.31</t>
        </is>
      </c>
      <c r="E62" s="29" t="inlineStr">
        <is>
          <t>[사진 2]</t>
        </is>
      </c>
      <c r="F62" s="30" t="inlineStr">
        <is>
          <t>송장 출력 화면</t>
        </is>
      </c>
      <c r="G62" s="30" t="inlineStr">
        <is>
          <t>캡처</t>
        </is>
      </c>
      <c r="H62" s="29" t="n"/>
      <c r="I62" s="29" t="n"/>
    </row>
    <row r="63" ht="15" customHeight="1" s="24">
      <c r="A63" s="29" t="n">
        <v>60</v>
      </c>
      <c r="B63" s="29" t="inlineStr">
        <is>
          <t>1.6.1</t>
        </is>
      </c>
      <c r="C63" s="30" t="inlineStr">
        <is>
          <t>발주처별 분류</t>
        </is>
      </c>
      <c r="D63" s="29" t="inlineStr">
        <is>
          <t>p.32</t>
        </is>
      </c>
      <c r="E63" s="29" t="inlineStr">
        <is>
          <t>[사진 1]</t>
        </is>
      </c>
      <c r="F63" s="30" t="inlineStr">
        <is>
          <t>슈트별 분류 사진</t>
        </is>
      </c>
      <c r="G63" s="30" t="inlineStr">
        <is>
          <t>사진</t>
        </is>
      </c>
      <c r="H63" s="29" t="n"/>
      <c r="I63" s="29" t="n"/>
    </row>
    <row r="64" ht="15" customHeight="1" s="24">
      <c r="A64" s="29" t="n">
        <v>61</v>
      </c>
      <c r="B64" s="29" t="inlineStr">
        <is>
          <t>1.6.1</t>
        </is>
      </c>
      <c r="C64" s="30" t="inlineStr">
        <is>
          <t>발주처별 분류</t>
        </is>
      </c>
      <c r="D64" s="29" t="inlineStr">
        <is>
          <t>p.32</t>
        </is>
      </c>
      <c r="E64" s="29" t="inlineStr">
        <is>
          <t>[사진 2]</t>
        </is>
      </c>
      <c r="F64" s="30" t="inlineStr">
        <is>
          <t>번들 검증 PDA 화면</t>
        </is>
      </c>
      <c r="G64" s="30" t="inlineStr">
        <is>
          <t>캡처</t>
        </is>
      </c>
      <c r="H64" s="29" t="n"/>
      <c r="I64" s="29" t="n"/>
    </row>
    <row r="65" ht="15" customHeight="1" s="24">
      <c r="A65" s="29" t="n">
        <v>62</v>
      </c>
      <c r="B65" s="29" t="inlineStr">
        <is>
          <t>1.6.2</t>
        </is>
      </c>
      <c r="C65" s="30" t="inlineStr">
        <is>
          <t>차량입차정보의 인식</t>
        </is>
      </c>
      <c r="D65" s="29" t="inlineStr">
        <is>
          <t>p.33</t>
        </is>
      </c>
      <c r="E65" s="29" t="inlineStr">
        <is>
          <t>[사진 1]</t>
        </is>
      </c>
      <c r="F65" s="30" t="inlineStr">
        <is>
          <t>상차 도크 사진</t>
        </is>
      </c>
      <c r="G65" s="30" t="inlineStr">
        <is>
          <t>사진</t>
        </is>
      </c>
      <c r="H65" s="29" t="n"/>
      <c r="I65" s="29" t="n"/>
    </row>
    <row r="66" ht="15" customHeight="1" s="24">
      <c r="A66" s="29" t="n">
        <v>63</v>
      </c>
      <c r="B66" s="29" t="inlineStr">
        <is>
          <t>1.6.2</t>
        </is>
      </c>
      <c r="C66" s="30" t="inlineStr">
        <is>
          <t>차량입차정보의 인식</t>
        </is>
      </c>
      <c r="D66" s="29" t="inlineStr">
        <is>
          <t>p.33</t>
        </is>
      </c>
      <c r="E66" s="29" t="inlineStr">
        <is>
          <t>[사진 2]</t>
        </is>
      </c>
      <c r="F66" s="29" t="inlineStr">
        <is>
          <t>TLPS 인계 일정 화면</t>
        </is>
      </c>
      <c r="G66" s="30" t="inlineStr">
        <is>
          <t>캡처</t>
        </is>
      </c>
      <c r="H66" s="29" t="n"/>
      <c r="I66" s="29" t="n"/>
    </row>
    <row r="67" ht="15" customHeight="1" s="24">
      <c r="A67" s="29" t="n">
        <v>64</v>
      </c>
      <c r="B67" s="29" t="inlineStr">
        <is>
          <t>1.6.3</t>
        </is>
      </c>
      <c r="C67" s="30" t="inlineStr">
        <is>
          <t>상차순서 관리 및 작업</t>
        </is>
      </c>
      <c r="D67" s="29" t="inlineStr">
        <is>
          <t>p.34</t>
        </is>
      </c>
      <c r="E67" s="29" t="inlineStr">
        <is>
          <t>[사진 1]</t>
        </is>
      </c>
      <c r="F67" s="30" t="inlineStr">
        <is>
          <t>상차 작업 사진</t>
        </is>
      </c>
      <c r="G67" s="30" t="inlineStr">
        <is>
          <t>사진</t>
        </is>
      </c>
      <c r="H67" s="29" t="n"/>
      <c r="I67" s="29" t="n"/>
    </row>
    <row r="68" ht="15" customHeight="1" s="24">
      <c r="A68" s="29" t="n">
        <v>65</v>
      </c>
      <c r="B68" s="29" t="inlineStr">
        <is>
          <t>1.6.3</t>
        </is>
      </c>
      <c r="C68" s="30" t="inlineStr">
        <is>
          <t>상차순서 관리 및 작업</t>
        </is>
      </c>
      <c r="D68" s="29" t="inlineStr">
        <is>
          <t>p.34</t>
        </is>
      </c>
      <c r="E68" s="29" t="inlineStr">
        <is>
          <t>[사진 2]</t>
        </is>
      </c>
      <c r="F68" s="30" t="inlineStr">
        <is>
          <t>인계 확인(스캔) 화면</t>
        </is>
      </c>
      <c r="G68" s="30" t="inlineStr">
        <is>
          <t>캡처</t>
        </is>
      </c>
      <c r="H68" s="29" t="n"/>
      <c r="I68" s="29" t="n"/>
    </row>
    <row r="69" ht="15" customHeight="1" s="24">
      <c r="A69" s="29" t="n">
        <v>66</v>
      </c>
      <c r="B69" s="29" t="inlineStr">
        <is>
          <t>1.6.4</t>
        </is>
      </c>
      <c r="C69" s="30" t="inlineStr">
        <is>
          <t>출고정보의 전달</t>
        </is>
      </c>
      <c r="D69" s="29" t="inlineStr">
        <is>
          <t>p.35</t>
        </is>
      </c>
      <c r="E69" s="29" t="inlineStr">
        <is>
          <t>[사진 1]</t>
        </is>
      </c>
      <c r="F69" s="30" t="inlineStr">
        <is>
          <t>출고 확정·송장 조회 화면</t>
        </is>
      </c>
      <c r="G69" s="30" t="inlineStr">
        <is>
          <t>캡처</t>
        </is>
      </c>
      <c r="H69" s="29" t="n"/>
      <c r="I69" s="29" t="n"/>
    </row>
    <row r="70" ht="15" customHeight="1" s="24">
      <c r="A70" s="29" t="n">
        <v>67</v>
      </c>
      <c r="B70" s="29" t="inlineStr">
        <is>
          <t>1.6.4</t>
        </is>
      </c>
      <c r="C70" s="30" t="inlineStr">
        <is>
          <t>출고정보의 전달</t>
        </is>
      </c>
      <c r="D70" s="29" t="inlineStr">
        <is>
          <t>p.35</t>
        </is>
      </c>
      <c r="E70" s="29" t="inlineStr">
        <is>
          <t>[사진 2]</t>
        </is>
      </c>
      <c r="F70" s="30" t="inlineStr">
        <is>
          <t>출고 영상 매핑 화면</t>
        </is>
      </c>
      <c r="G70" s="30" t="inlineStr">
        <is>
          <t>캡처</t>
        </is>
      </c>
      <c r="H70" s="29" t="n"/>
      <c r="I70" s="29" t="n"/>
    </row>
    <row r="71" ht="15" customHeight="1" s="24">
      <c r="A71" s="29" t="n">
        <v>68</v>
      </c>
      <c r="B71" s="29" t="inlineStr">
        <is>
          <t>2.1.1</t>
        </is>
      </c>
      <c r="C71" s="30" t="inlineStr">
        <is>
          <t>도크 및 바닥성능(재질, 평탄도 및 하중)</t>
        </is>
      </c>
      <c r="D71" s="29" t="inlineStr">
        <is>
          <t>p.36</t>
        </is>
      </c>
      <c r="E71" s="29" t="inlineStr">
        <is>
          <t>[사진 1]</t>
        </is>
      </c>
      <c r="F71" s="30" t="inlineStr">
        <is>
          <t>도크·레벨러·차양 사진</t>
        </is>
      </c>
      <c r="G71" s="30" t="inlineStr">
        <is>
          <t>사진</t>
        </is>
      </c>
      <c r="H71" s="29" t="n"/>
      <c r="I71" s="29" t="n"/>
    </row>
    <row r="72" ht="15" customHeight="1" s="24">
      <c r="A72" s="29" t="n">
        <v>69</v>
      </c>
      <c r="B72" s="29" t="inlineStr">
        <is>
          <t>2.1.1</t>
        </is>
      </c>
      <c r="C72" s="30" t="inlineStr">
        <is>
          <t>도크 및 바닥성능(재질, 평탄도 및 하중)</t>
        </is>
      </c>
      <c r="D72" s="29" t="inlineStr">
        <is>
          <t>p.36</t>
        </is>
      </c>
      <c r="E72" s="29" t="inlineStr">
        <is>
          <t>[사진 2]</t>
        </is>
      </c>
      <c r="F72" s="30" t="inlineStr">
        <is>
          <t>바닥 평탄도·하중 근거(건축 설계도서 또는 임대인 제원표)</t>
        </is>
      </c>
      <c r="G72" s="30" t="inlineStr">
        <is>
          <t>자료</t>
        </is>
      </c>
      <c r="H72" s="29" t="n"/>
      <c r="I72" s="29" t="n"/>
    </row>
    <row r="73" ht="29.25" customHeight="1" s="24">
      <c r="A73" s="29" t="n">
        <v>70</v>
      </c>
      <c r="B73" s="29" t="inlineStr">
        <is>
          <t>2.1.1</t>
        </is>
      </c>
      <c r="C73" s="30" t="inlineStr">
        <is>
          <t>도크 및 바닥성능(재질, 평탄도 및 하중)</t>
        </is>
      </c>
      <c r="D73" s="29" t="inlineStr">
        <is>
          <t>p.36</t>
        </is>
      </c>
      <c r="E73" s="29" t="inlineStr">
        <is>
          <t>[사진 3]</t>
        </is>
      </c>
      <c r="F73" s="30" t="inlineStr">
        <is>
          <t>바닥 라인 표시 사진</t>
        </is>
      </c>
      <c r="G73" s="30" t="inlineStr">
        <is>
          <t>사진</t>
        </is>
      </c>
      <c r="H73" s="29" t="n"/>
      <c r="I73" s="29" t="n"/>
    </row>
    <row r="74" ht="29.25" customHeight="1" s="24">
      <c r="A74" s="29" t="n">
        <v>71</v>
      </c>
      <c r="B74" s="29" t="inlineStr">
        <is>
          <t>2.1.2</t>
        </is>
      </c>
      <c r="C74" s="30" t="inlineStr">
        <is>
          <t>내부구조(층고 및 기둥의 배치구조)</t>
        </is>
      </c>
      <c r="D74" s="29" t="inlineStr">
        <is>
          <t>p.38</t>
        </is>
      </c>
      <c r="E74" s="29" t="inlineStr">
        <is>
          <t>[사진 1]</t>
        </is>
      </c>
      <c r="F74" s="30" t="inlineStr">
        <is>
          <t>평면도(기둥 격자 치수)</t>
        </is>
      </c>
      <c r="G74" s="30" t="inlineStr">
        <is>
          <t>사진</t>
        </is>
      </c>
      <c r="H74" s="29" t="n"/>
      <c r="I74" s="29" t="n"/>
    </row>
    <row r="75" ht="29.25" customHeight="1" s="24">
      <c r="A75" s="29" t="n">
        <v>72</v>
      </c>
      <c r="B75" s="29" t="inlineStr">
        <is>
          <t>2.1.2</t>
        </is>
      </c>
      <c r="C75" s="30" t="inlineStr">
        <is>
          <t>내부구조(층고 및 기둥의 배치구조)</t>
        </is>
      </c>
      <c r="D75" s="29" t="inlineStr">
        <is>
          <t>p.38</t>
        </is>
      </c>
      <c r="E75" s="29" t="inlineStr">
        <is>
          <t>[사진 2]</t>
        </is>
      </c>
      <c r="F75" s="30" t="inlineStr">
        <is>
          <t>보관 영역 전경(층고) 사진</t>
        </is>
      </c>
      <c r="G75" s="30" t="inlineStr">
        <is>
          <t>사진</t>
        </is>
      </c>
      <c r="H75" s="29" t="n"/>
      <c r="I75" s="29" t="n"/>
    </row>
    <row r="76" ht="29.25" customHeight="1" s="24">
      <c r="A76" s="29" t="n">
        <v>73</v>
      </c>
      <c r="B76" s="29" t="inlineStr">
        <is>
          <t>2.1.3</t>
        </is>
      </c>
      <c r="C76" s="30" t="inlineStr">
        <is>
          <t>배치 및 동선 관리</t>
        </is>
      </c>
      <c r="D76" s="29" t="inlineStr">
        <is>
          <t>p.39</t>
        </is>
      </c>
      <c r="E76" s="29" t="inlineStr">
        <is>
          <t>[사진 1]</t>
        </is>
      </c>
      <c r="F76" s="30" t="inlineStr">
        <is>
          <t>운영 Lay-out 도면</t>
        </is>
      </c>
      <c r="G76" s="30" t="inlineStr">
        <is>
          <t>자료</t>
        </is>
      </c>
      <c r="H76" s="29" t="n"/>
      <c r="I76" s="29" t="n"/>
    </row>
    <row r="77" ht="15" customHeight="1" s="24">
      <c r="A77" s="29" t="n">
        <v>74</v>
      </c>
      <c r="B77" s="29" t="inlineStr">
        <is>
          <t>2.1.3</t>
        </is>
      </c>
      <c r="C77" s="30" t="inlineStr">
        <is>
          <t>배치 및 동선 관리</t>
        </is>
      </c>
      <c r="D77" s="29" t="inlineStr">
        <is>
          <t>p.39</t>
        </is>
      </c>
      <c r="E77" s="29" t="inlineStr">
        <is>
          <t>[사진 2]</t>
        </is>
      </c>
      <c r="F77" s="30" t="inlineStr">
        <is>
          <t>램프웨이·동선 표시 사진</t>
        </is>
      </c>
      <c r="G77" s="30" t="inlineStr">
        <is>
          <t>사진</t>
        </is>
      </c>
      <c r="H77" s="29" t="n"/>
      <c r="I77" s="29" t="n"/>
    </row>
    <row r="78" ht="15" customHeight="1" s="24">
      <c r="A78" s="29" t="n">
        <v>75</v>
      </c>
      <c r="B78" s="29" t="inlineStr">
        <is>
          <t>2.1.4</t>
        </is>
      </c>
      <c r="C78" s="30" t="inlineStr">
        <is>
          <t>작업환경 관리(공조, 온도, 습도 등)</t>
        </is>
      </c>
      <c r="D78" s="29" t="inlineStr">
        <is>
          <t>p.40</t>
        </is>
      </c>
      <c r="E78" s="29" t="inlineStr">
        <is>
          <t>[사진 1]</t>
        </is>
      </c>
      <c r="F78" s="30" t="inlineStr">
        <is>
          <t>조도·온습도 측정 기록</t>
        </is>
      </c>
      <c r="G78" s="30" t="inlineStr">
        <is>
          <t>자료</t>
        </is>
      </c>
      <c r="H78" s="29" t="n"/>
      <c r="I78" s="29" t="n"/>
    </row>
    <row r="79" ht="15" customHeight="1" s="24">
      <c r="A79" s="29" t="n">
        <v>76</v>
      </c>
      <c r="B79" s="29" t="inlineStr">
        <is>
          <t>2.1.4</t>
        </is>
      </c>
      <c r="C79" s="30" t="inlineStr">
        <is>
          <t>작업환경 관리(공조, 온도, 습도 등)</t>
        </is>
      </c>
      <c r="D79" s="29" t="inlineStr">
        <is>
          <t>p.40</t>
        </is>
      </c>
      <c r="E79" s="29" t="inlineStr">
        <is>
          <t>[사진 2]</t>
        </is>
      </c>
      <c r="F79" s="30" t="inlineStr">
        <is>
          <t>방충·방서 관리 기록</t>
        </is>
      </c>
      <c r="G79" s="30" t="inlineStr">
        <is>
          <t>자료</t>
        </is>
      </c>
      <c r="H79" s="29" t="n"/>
      <c r="I79" s="29" t="n"/>
    </row>
    <row r="80" ht="15" customHeight="1" s="24">
      <c r="A80" s="29" t="n">
        <v>77</v>
      </c>
      <c r="B80" s="29" t="inlineStr">
        <is>
          <t>2.1.4</t>
        </is>
      </c>
      <c r="C80" s="30" t="inlineStr">
        <is>
          <t>작업환경 관리(공조, 온도, 습도 등)</t>
        </is>
      </c>
      <c r="D80" s="29" t="inlineStr">
        <is>
          <t>p.40</t>
        </is>
      </c>
      <c r="E80" s="29" t="inlineStr">
        <is>
          <t>[사진 3]</t>
        </is>
      </c>
      <c r="F80" s="30" t="inlineStr">
        <is>
          <t>휴게실 사진</t>
        </is>
      </c>
      <c r="G80" s="30" t="inlineStr">
        <is>
          <t>사진</t>
        </is>
      </c>
      <c r="H80" s="29" t="n"/>
      <c r="I80" s="29" t="n"/>
    </row>
    <row r="81" ht="15" customHeight="1" s="24">
      <c r="A81" s="29" t="n">
        <v>78</v>
      </c>
      <c r="B81" s="29" t="inlineStr">
        <is>
          <t>2.1.5</t>
        </is>
      </c>
      <c r="C81" s="30" t="inlineStr">
        <is>
          <t>재해 및 안전관리(방화, 내진, 소방·대피시설, 안전사고관리 등)</t>
        </is>
      </c>
      <c r="D81" s="29" t="inlineStr">
        <is>
          <t>p.41</t>
        </is>
      </c>
      <c r="E81" s="29" t="inlineStr">
        <is>
          <t>[사진 1]</t>
        </is>
      </c>
      <c r="F81" s="30" t="inlineStr">
        <is>
          <t>소방시설 자체점검 결과보고서</t>
        </is>
      </c>
      <c r="G81" s="30" t="inlineStr">
        <is>
          <t>자료</t>
        </is>
      </c>
      <c r="H81" s="29" t="n"/>
      <c r="I81" s="29" t="n"/>
    </row>
    <row r="82" ht="15" customHeight="1" s="24">
      <c r="A82" s="29" t="n">
        <v>79</v>
      </c>
      <c r="B82" s="29" t="inlineStr">
        <is>
          <t>2.1.5</t>
        </is>
      </c>
      <c r="C82" s="30" t="inlineStr">
        <is>
          <t>재해 및 안전관리(방화, 내진, 소방·대피시설, 안전사고관리 등)</t>
        </is>
      </c>
      <c r="D82" s="29" t="inlineStr">
        <is>
          <t>p.41</t>
        </is>
      </c>
      <c r="E82" s="29" t="inlineStr">
        <is>
          <t>[사진 2]</t>
        </is>
      </c>
      <c r="F82" s="30" t="inlineStr">
        <is>
          <t>비상구·소화설비 사진</t>
        </is>
      </c>
      <c r="G82" s="30" t="inlineStr">
        <is>
          <t>사진</t>
        </is>
      </c>
      <c r="H82" s="29" t="n"/>
      <c r="I82" s="29" t="n"/>
    </row>
    <row r="83" ht="15" customHeight="1" s="24">
      <c r="A83" s="29" t="n">
        <v>80</v>
      </c>
      <c r="B83" s="29" t="inlineStr">
        <is>
          <t>2.1.5</t>
        </is>
      </c>
      <c r="C83" s="30" t="inlineStr">
        <is>
          <t>재해 및 안전관리(방화, 내진, 소방·대피시설, 안전사고관리 등)</t>
        </is>
      </c>
      <c r="D83" s="29" t="inlineStr">
        <is>
          <t>p.41</t>
        </is>
      </c>
      <c r="E83" s="29" t="inlineStr">
        <is>
          <t>[사진 3]</t>
        </is>
      </c>
      <c r="F83" s="30" t="inlineStr">
        <is>
          <t>2025 근로자 안전보건교육 수료증(분기별 정기교육 1~4차, 올윈에듀)</t>
        </is>
      </c>
      <c r="G83" s="30" t="inlineStr">
        <is>
          <t>자료</t>
        </is>
      </c>
      <c r="H83" s="29" t="n"/>
      <c r="I83" s="29" t="inlineStr">
        <is>
          <t>O</t>
        </is>
      </c>
    </row>
    <row r="84" ht="29.25" customHeight="1" s="24">
      <c r="A84" s="29" t="n">
        <v>81</v>
      </c>
      <c r="B84" s="29" t="inlineStr">
        <is>
          <t>2.1.5</t>
        </is>
      </c>
      <c r="C84" s="30" t="inlineStr">
        <is>
          <t>재해 및 안전관리(방화, 내진, 소방·대피시설, 안전사고관리 등)</t>
        </is>
      </c>
      <c r="D84" s="29" t="inlineStr">
        <is>
          <t>p.41</t>
        </is>
      </c>
      <c r="E84" s="29" t="inlineStr">
        <is>
          <t>[사진 4]</t>
        </is>
      </c>
      <c r="F84" s="30" t="inlineStr">
        <is>
          <t>작업자 추적(QR) 화면</t>
        </is>
      </c>
      <c r="G84" s="30" t="inlineStr">
        <is>
          <t>캡처</t>
        </is>
      </c>
      <c r="H84" s="29" t="n"/>
      <c r="I84" s="29" t="n"/>
    </row>
    <row r="85" ht="29.25" customHeight="1" s="24">
      <c r="A85" s="29" t="n">
        <v>82</v>
      </c>
      <c r="B85" s="29" t="inlineStr">
        <is>
          <t>2.1.5</t>
        </is>
      </c>
      <c r="C85" s="30" t="inlineStr">
        <is>
          <t>재해 및 안전관리(방화, 내진, 소방·대피시설, 안전사고관리 등)</t>
        </is>
      </c>
      <c r="D85" s="29" t="inlineStr">
        <is>
          <t>p.41</t>
        </is>
      </c>
      <c r="E85" s="29" t="inlineStr">
        <is>
          <t>[사진 5]</t>
        </is>
      </c>
      <c r="F85" s="30" t="inlineStr">
        <is>
          <t>지게차 안전작업 실천 서약서(2026.06.23, 영종센터 운전자 8명)</t>
        </is>
      </c>
      <c r="G85" s="30" t="inlineStr">
        <is>
          <t>자료</t>
        </is>
      </c>
      <c r="H85" s="29" t="n"/>
      <c r="I85" s="29" t="inlineStr">
        <is>
          <t>O</t>
        </is>
      </c>
    </row>
    <row r="86" ht="29.25" customHeight="1" s="24">
      <c r="A86" s="29" t="n">
        <v>83</v>
      </c>
      <c r="B86" s="29" t="inlineStr">
        <is>
          <t>2.2.1</t>
        </is>
      </c>
      <c r="C86" s="30" t="inlineStr">
        <is>
          <t>비용 절감</t>
        </is>
      </c>
      <c r="D86" s="29" t="inlineStr">
        <is>
          <t>p.42</t>
        </is>
      </c>
      <c r="E86" s="29" t="inlineStr">
        <is>
          <t>[사진 1]</t>
        </is>
      </c>
      <c r="F86" s="30" t="inlineStr">
        <is>
          <t>최근 3년 물류비·절감률 실적표</t>
        </is>
      </c>
      <c r="G86" s="30" t="inlineStr">
        <is>
          <t>자료</t>
        </is>
      </c>
      <c r="H86" s="29" t="n"/>
      <c r="I86" s="29" t="n"/>
    </row>
    <row r="87" ht="15" customHeight="1" s="24">
      <c r="A87" s="29" t="n">
        <v>84</v>
      </c>
      <c r="B87" s="29" t="inlineStr">
        <is>
          <t>2.2.1</t>
        </is>
      </c>
      <c r="C87" s="30" t="inlineStr">
        <is>
          <t>비용 절감</t>
        </is>
      </c>
      <c r="D87" s="29" t="inlineStr">
        <is>
          <t>p.42</t>
        </is>
      </c>
      <c r="E87" s="29" t="inlineStr">
        <is>
          <t>[사진 2]</t>
        </is>
      </c>
      <c r="F87" s="30" t="inlineStr">
        <is>
          <t>월간 성과보고 자료</t>
        </is>
      </c>
      <c r="G87" s="30" t="inlineStr">
        <is>
          <t>자료</t>
        </is>
      </c>
      <c r="H87" s="29" t="n"/>
      <c r="I87" s="29" t="n"/>
    </row>
    <row r="88" ht="15" customHeight="1" s="24">
      <c r="A88" s="29" t="n">
        <v>85</v>
      </c>
      <c r="B88" s="29" t="inlineStr">
        <is>
          <t>2.2.2</t>
        </is>
      </c>
      <c r="C88" s="30" t="inlineStr">
        <is>
          <t>생산성 향상</t>
        </is>
      </c>
      <c r="D88" s="29" t="inlineStr">
        <is>
          <t>p.43</t>
        </is>
      </c>
      <c r="E88" s="29" t="inlineStr">
        <is>
          <t>[사진 1]</t>
        </is>
      </c>
      <c r="F88" s="30" t="inlineStr">
        <is>
          <t>작업자 추적 화면·리포트 캡처</t>
        </is>
      </c>
      <c r="G88" s="30" t="inlineStr">
        <is>
          <t>캡처</t>
        </is>
      </c>
      <c r="H88" s="29" t="n"/>
      <c r="I88" s="29" t="n"/>
    </row>
    <row r="89" ht="15" customHeight="1" s="24">
      <c r="A89" s="29" t="n">
        <v>86</v>
      </c>
      <c r="B89" s="29" t="inlineStr">
        <is>
          <t>2.2.2</t>
        </is>
      </c>
      <c r="C89" s="30" t="inlineStr">
        <is>
          <t>생산성 향상</t>
        </is>
      </c>
      <c r="D89" s="29" t="inlineStr">
        <is>
          <t>p.43</t>
        </is>
      </c>
      <c r="E89" s="29" t="inlineStr">
        <is>
          <t>[사진 2]</t>
        </is>
      </c>
      <c r="F89" s="30" t="inlineStr">
        <is>
          <t>최근 3년 UPH 실적표</t>
        </is>
      </c>
      <c r="G89" s="30" t="inlineStr">
        <is>
          <t>자료</t>
        </is>
      </c>
      <c r="H89" s="29" t="n"/>
      <c r="I89" s="29" t="n"/>
    </row>
    <row r="90" ht="15" customHeight="1" s="24">
      <c r="A90" s="29" t="n">
        <v>87</v>
      </c>
      <c r="B90" s="29" t="inlineStr">
        <is>
          <t>2.2.3</t>
        </is>
      </c>
      <c r="C90" s="30" t="inlineStr">
        <is>
          <t>품질 및 안전관리</t>
        </is>
      </c>
      <c r="D90" s="29" t="inlineStr">
        <is>
          <t>p.44</t>
        </is>
      </c>
      <c r="E90" s="29" t="inlineStr">
        <is>
          <t>[사진 1]</t>
        </is>
      </c>
      <c r="F90" s="30" t="inlineStr">
        <is>
          <t>최근 3년 오출고율·정확도 실적</t>
        </is>
      </c>
      <c r="G90" s="30" t="inlineStr">
        <is>
          <t>자료</t>
        </is>
      </c>
      <c r="H90" s="29" t="n"/>
      <c r="I90" s="29" t="n"/>
    </row>
    <row r="91" ht="15" customHeight="1" s="24">
      <c r="A91" s="29" t="n">
        <v>88</v>
      </c>
      <c r="B91" s="29" t="inlineStr">
        <is>
          <t>2.2.3</t>
        </is>
      </c>
      <c r="C91" s="30" t="inlineStr">
        <is>
          <t>품질 및 안전관리</t>
        </is>
      </c>
      <c r="D91" s="29" t="inlineStr">
        <is>
          <t>p.44</t>
        </is>
      </c>
      <c r="E91" s="29" t="inlineStr">
        <is>
          <t>[사진 2]</t>
        </is>
      </c>
      <c r="F91" s="30" t="inlineStr">
        <is>
          <t>클레임 처리 이력</t>
        </is>
      </c>
      <c r="G91" s="30" t="inlineStr">
        <is>
          <t>자료</t>
        </is>
      </c>
      <c r="H91" s="29" t="n"/>
      <c r="I91" s="29" t="n"/>
    </row>
    <row r="92" ht="15" customHeight="1" s="24">
      <c r="A92" s="29" t="n">
        <v>89</v>
      </c>
      <c r="B92" s="29" t="inlineStr">
        <is>
          <t>2.2.3</t>
        </is>
      </c>
      <c r="C92" s="30" t="inlineStr">
        <is>
          <t>품질 및 안전관리</t>
        </is>
      </c>
      <c r="D92" s="29" t="inlineStr">
        <is>
          <t>p.44</t>
        </is>
      </c>
      <c r="E92" s="29" t="inlineStr">
        <is>
          <t>[사진 3]</t>
        </is>
      </c>
      <c r="F92" s="30" t="inlineStr">
        <is>
          <t>2025 근로자 안전보건교육 수료증(분기별 정기교육 1~4차)</t>
        </is>
      </c>
      <c r="G92" s="30" t="inlineStr">
        <is>
          <t>자료</t>
        </is>
      </c>
      <c r="H92" s="29" t="n"/>
      <c r="I92" s="29" t="inlineStr">
        <is>
          <t>O</t>
        </is>
      </c>
    </row>
    <row r="93" ht="15" customHeight="1" s="24">
      <c r="A93" s="29" t="n">
        <v>90</v>
      </c>
      <c r="B93" s="29" t="inlineStr">
        <is>
          <t>2.2.4</t>
        </is>
      </c>
      <c r="C93" s="30" t="inlineStr">
        <is>
          <t>친환경관리(절수, 절전, 폐기물, 재활용, 조명 등)</t>
        </is>
      </c>
      <c r="D93" s="29" t="inlineStr">
        <is>
          <t>p.45</t>
        </is>
      </c>
      <c r="E93" s="29" t="inlineStr">
        <is>
          <t>[사진 1]</t>
        </is>
      </c>
      <c r="F93" s="30" t="inlineStr">
        <is>
          <t>친환경 포장재 적용률 실적</t>
        </is>
      </c>
      <c r="G93" s="30" t="inlineStr">
        <is>
          <t>자료</t>
        </is>
      </c>
      <c r="H93" s="29" t="n"/>
      <c r="I93" s="29" t="n"/>
    </row>
    <row r="94" ht="15" customHeight="1" s="24">
      <c r="A94" s="29" t="n">
        <v>91</v>
      </c>
      <c r="B94" s="29" t="inlineStr">
        <is>
          <t>2.2.4</t>
        </is>
      </c>
      <c r="C94" s="30" t="inlineStr">
        <is>
          <t>친환경관리(절수, 절전, 폐기물, 재활용, 조명 등)</t>
        </is>
      </c>
      <c r="D94" s="29" t="inlineStr">
        <is>
          <t>p.45</t>
        </is>
      </c>
      <c r="E94" s="29" t="inlineStr">
        <is>
          <t>[사진 2]</t>
        </is>
      </c>
      <c r="F94" s="30" t="inlineStr">
        <is>
          <t>폐기물 재활용 실적</t>
        </is>
      </c>
      <c r="G94" s="30" t="inlineStr">
        <is>
          <t>자료</t>
        </is>
      </c>
      <c r="H94" s="29" t="n"/>
      <c r="I94" s="29" t="n"/>
    </row>
    <row r="95" ht="15" customHeight="1" s="24">
      <c r="A95" s="29" t="n">
        <v>92</v>
      </c>
      <c r="B95" s="29" t="inlineStr">
        <is>
          <t>2.2.4</t>
        </is>
      </c>
      <c r="C95" s="30" t="inlineStr">
        <is>
          <t>친환경관리(절수, 절전, 폐기물, 재활용, 조명 등)</t>
        </is>
      </c>
      <c r="D95" s="29" t="inlineStr">
        <is>
          <t>p.45</t>
        </is>
      </c>
      <c r="E95" s="29" t="inlineStr">
        <is>
          <t>[사진 3]</t>
        </is>
      </c>
      <c r="F95" s="29" t="inlineStr">
        <is>
          <t>LED 조명 등 설비 사진</t>
        </is>
      </c>
      <c r="G95" s="30" t="inlineStr">
        <is>
          <t>사진</t>
        </is>
      </c>
      <c r="H95" s="29" t="n"/>
      <c r="I95" s="29" t="n"/>
    </row>
    <row r="96" ht="15" customHeight="1" s="24">
      <c r="A96" s="29" t="n">
        <v>93</v>
      </c>
      <c r="B96" s="29" t="inlineStr">
        <is>
          <t>2.3.1-1</t>
        </is>
      </c>
      <c r="C96" s="30" t="inlineStr">
        <is>
          <t>수발주시스템/상품분류시스템</t>
        </is>
      </c>
      <c r="D96" s="29" t="inlineStr">
        <is>
          <t>p.46</t>
        </is>
      </c>
      <c r="E96" s="29" t="inlineStr">
        <is>
          <t>[사진 1]</t>
        </is>
      </c>
      <c r="F96" s="29" t="inlineStr">
        <is>
          <t>Smartship 주문 수집·검증 화면</t>
        </is>
      </c>
      <c r="G96" s="30" t="inlineStr">
        <is>
          <t>캡처</t>
        </is>
      </c>
      <c r="H96" s="29" t="n"/>
      <c r="I96" s="29" t="n"/>
    </row>
    <row r="97" ht="15" customHeight="1" s="24">
      <c r="A97" s="29" t="n">
        <v>94</v>
      </c>
      <c r="B97" s="29" t="inlineStr">
        <is>
          <t>2.3.1-1</t>
        </is>
      </c>
      <c r="C97" s="30" t="inlineStr">
        <is>
          <t>수발주시스템/상품분류시스템</t>
        </is>
      </c>
      <c r="D97" s="29" t="inlineStr">
        <is>
          <t>p.46</t>
        </is>
      </c>
      <c r="E97" s="29" t="inlineStr">
        <is>
          <t>[사진 2]</t>
        </is>
      </c>
      <c r="F97" s="30" t="inlineStr">
        <is>
          <t>채널 연동 현황 화면</t>
        </is>
      </c>
      <c r="G97" s="30" t="inlineStr">
        <is>
          <t>캡처</t>
        </is>
      </c>
      <c r="H97" s="29" t="n"/>
      <c r="I97" s="29" t="n"/>
    </row>
    <row r="98" ht="15" customHeight="1" s="24">
      <c r="A98" s="29" t="n">
        <v>95</v>
      </c>
      <c r="B98" s="29" t="inlineStr">
        <is>
          <t>2.3.1-2</t>
        </is>
      </c>
      <c r="C98" s="30" t="inlineStr">
        <is>
          <t>입출고 및 배차배송시스템</t>
        </is>
      </c>
      <c r="D98" s="29" t="inlineStr">
        <is>
          <t>p.47</t>
        </is>
      </c>
      <c r="E98" s="29" t="inlineStr">
        <is>
          <t>[사진 1]</t>
        </is>
      </c>
      <c r="F98" s="30" t="inlineStr">
        <is>
          <t>입고·출고 화면</t>
        </is>
      </c>
      <c r="G98" s="30" t="inlineStr">
        <is>
          <t>캡처</t>
        </is>
      </c>
      <c r="H98" s="29" t="n"/>
      <c r="I98" s="29" t="n"/>
    </row>
    <row r="99">
      <c r="A99" s="29" t="n">
        <v>96</v>
      </c>
      <c r="B99" s="29" t="inlineStr">
        <is>
          <t>2.3.1-2</t>
        </is>
      </c>
      <c r="C99" s="30" t="inlineStr">
        <is>
          <t>입출고 및 배차배송시스템</t>
        </is>
      </c>
      <c r="D99" s="29" t="inlineStr">
        <is>
          <t>p.47</t>
        </is>
      </c>
      <c r="E99" s="29" t="inlineStr">
        <is>
          <t>[사진 2]</t>
        </is>
      </c>
      <c r="F99" s="29" t="inlineStr">
        <is>
          <t>TLPS 운송·인계 화면</t>
        </is>
      </c>
      <c r="G99" s="30" t="inlineStr">
        <is>
          <t>캡처</t>
        </is>
      </c>
      <c r="H99" s="29" t="n"/>
      <c r="I99" s="29" t="n"/>
    </row>
    <row r="100">
      <c r="A100" s="29" t="n">
        <v>97</v>
      </c>
      <c r="B100" s="29" t="inlineStr">
        <is>
          <t>2.3.1-3</t>
        </is>
      </c>
      <c r="C100" s="30" t="inlineStr">
        <is>
          <t>재고관리시스템</t>
        </is>
      </c>
      <c r="D100" s="29" t="inlineStr">
        <is>
          <t>p.48</t>
        </is>
      </c>
      <c r="E100" s="29" t="inlineStr">
        <is>
          <t>[사진 1]</t>
        </is>
      </c>
      <c r="F100" s="30" t="inlineStr">
        <is>
          <t>대시보드·셀 상세·실사·마감리포트 화면</t>
        </is>
      </c>
      <c r="G100" s="30" t="inlineStr">
        <is>
          <t>캡처</t>
        </is>
      </c>
      <c r="H100" s="29" t="n"/>
      <c r="I100" s="29" t="n"/>
    </row>
    <row r="101">
      <c r="A101" s="29" t="n">
        <v>98</v>
      </c>
      <c r="B101" s="29" t="inlineStr">
        <is>
          <t>2.3.1-4</t>
        </is>
      </c>
      <c r="C101" s="30" t="inlineStr">
        <is>
          <t>자원관리시스템</t>
        </is>
      </c>
      <c r="D101" s="29" t="inlineStr">
        <is>
          <t>p.49</t>
        </is>
      </c>
      <c r="E101" s="29" t="inlineStr">
        <is>
          <t>[사진 1]</t>
        </is>
      </c>
      <c r="F101" s="30" t="inlineStr">
        <is>
          <t>레이아웃관리·디바이스·작업자 추적 화면</t>
        </is>
      </c>
      <c r="G101" s="30" t="inlineStr">
        <is>
          <t>캡처</t>
        </is>
      </c>
      <c r="H101" s="29" t="n"/>
      <c r="I101" s="29" t="n"/>
    </row>
    <row r="102">
      <c r="A102" s="29" t="n">
        <v>99</v>
      </c>
      <c r="B102" s="29" t="inlineStr">
        <is>
          <t>2.3.1-5</t>
        </is>
      </c>
      <c r="C102" s="30" t="inlineStr">
        <is>
          <t>물류지원시스템</t>
        </is>
      </c>
      <c r="D102" s="29" t="inlineStr">
        <is>
          <t>p.50</t>
        </is>
      </c>
      <c r="E102" s="29" t="inlineStr">
        <is>
          <t>[사진 1]</t>
        </is>
      </c>
      <c r="F102" s="30" t="inlineStr">
        <is>
          <t>풀필먼트 주문관리 대시보드</t>
        </is>
      </c>
      <c r="G102" s="30" t="inlineStr">
        <is>
          <t>사진</t>
        </is>
      </c>
      <c r="H102" s="29" t="n"/>
      <c r="I102" s="29" t="n"/>
    </row>
    <row r="103">
      <c r="A103" s="29" t="n">
        <v>100</v>
      </c>
      <c r="B103" s="29" t="inlineStr">
        <is>
          <t>2.3.1-5</t>
        </is>
      </c>
      <c r="C103" s="30" t="inlineStr">
        <is>
          <t>물류지원시스템</t>
        </is>
      </c>
      <c r="D103" s="29" t="inlineStr">
        <is>
          <t>p.50</t>
        </is>
      </c>
      <c r="E103" s="29" t="inlineStr">
        <is>
          <t>[사진 2]</t>
        </is>
      </c>
      <c r="F103" s="30" t="inlineStr">
        <is>
          <t>반품 출고 관리 화면</t>
        </is>
      </c>
      <c r="G103" s="30" t="inlineStr">
        <is>
          <t>캡처</t>
        </is>
      </c>
      <c r="H103" s="29" t="n"/>
      <c r="I103" s="29" t="n"/>
    </row>
    <row r="104">
      <c r="A104" s="29" t="n">
        <v>101</v>
      </c>
      <c r="B104" s="29" t="inlineStr">
        <is>
          <t>2.3.1-5</t>
        </is>
      </c>
      <c r="C104" s="30" t="inlineStr">
        <is>
          <t>물류지원시스템</t>
        </is>
      </c>
      <c r="D104" s="29" t="inlineStr">
        <is>
          <t>p.50</t>
        </is>
      </c>
      <c r="E104" s="29" t="inlineStr">
        <is>
          <t>[사진 3]</t>
        </is>
      </c>
      <c r="F104" s="30" t="inlineStr">
        <is>
          <t>오류화물 관리 화면</t>
        </is>
      </c>
      <c r="G104" s="30" t="inlineStr">
        <is>
          <t>캡처</t>
        </is>
      </c>
      <c r="H104" s="29" t="n"/>
      <c r="I104" s="29" t="n"/>
    </row>
    <row r="105">
      <c r="A105" s="29" t="n">
        <v>102</v>
      </c>
      <c r="B105" s="29" t="inlineStr">
        <is>
          <t>2.3.2</t>
        </is>
      </c>
      <c r="C105" s="30" t="inlineStr">
        <is>
          <t>창고제어시스템(WCS, MCS)</t>
        </is>
      </c>
      <c r="D105" s="29" t="inlineStr">
        <is>
          <t>p.51</t>
        </is>
      </c>
      <c r="E105" s="29" t="inlineStr">
        <is>
          <t>[사진 1]</t>
        </is>
      </c>
      <c r="F105" s="30" t="inlineStr">
        <is>
          <t>소터 모니터링·슈트 설정 화면</t>
        </is>
      </c>
      <c r="G105" s="30" t="inlineStr">
        <is>
          <t>캡처</t>
        </is>
      </c>
      <c r="H105" s="29" t="n"/>
      <c r="I105" s="29" t="n"/>
    </row>
    <row r="106">
      <c r="A106" s="29" t="n">
        <v>103</v>
      </c>
      <c r="B106" s="29" t="inlineStr">
        <is>
          <t>2.3.2</t>
        </is>
      </c>
      <c r="C106" s="30" t="inlineStr">
        <is>
          <t>창고제어시스템(WCS, MCS)</t>
        </is>
      </c>
      <c r="D106" s="29" t="inlineStr">
        <is>
          <t>p.51</t>
        </is>
      </c>
      <c r="E106" s="29" t="inlineStr">
        <is>
          <t>[사진 2]</t>
        </is>
      </c>
      <c r="F106" s="30" t="inlineStr">
        <is>
          <t>설비 구성도</t>
        </is>
      </c>
      <c r="G106" s="30" t="inlineStr">
        <is>
          <t>자료</t>
        </is>
      </c>
      <c r="H106" s="29" t="n"/>
      <c r="I106" s="29" t="n"/>
    </row>
  </sheetData>
  <autoFilter ref="A3:I10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34" customWidth="1" style="23" min="2" max="2"/>
    <col width="14" customWidth="1" style="23" min="3" max="3"/>
    <col width="100" customWidth="1" style="23" min="4" max="4"/>
  </cols>
  <sheetData>
    <row r="1" ht="17.25" customHeight="1" s="24">
      <c r="A1" s="25" t="inlineStr">
        <is>
          <t>확인 결과에 따라 등급이 오르내릴 수 있는 항목</t>
        </is>
      </c>
    </row>
    <row r="3" ht="29.25" customHeight="1" s="24">
      <c r="A3" s="28" t="inlineStr">
        <is>
          <t>번호</t>
        </is>
      </c>
      <c r="B3" s="28" t="inlineStr">
        <is>
          <t>세부항목</t>
        </is>
      </c>
      <c r="C3" s="28" t="inlineStr">
        <is>
          <t>현재(조정) 등급</t>
        </is>
      </c>
      <c r="D3" s="28" t="inlineStr">
        <is>
          <t>확인 사항 · 등급 변동 조건</t>
        </is>
      </c>
    </row>
    <row r="4" ht="15" customHeight="1" s="24">
      <c r="A4" s="29" t="inlineStr">
        <is>
          <t>1.1.2</t>
        </is>
      </c>
      <c r="B4" s="30" t="inlineStr">
        <is>
          <t>하역 작업</t>
        </is>
      </c>
      <c r="C4" s="29" t="n">
        <v>3</v>
      </c>
      <c r="D4" s="30" t="inlineStr">
        <is>
          <t>도크레벨러 수량 확인 필요: 02 설계설명서는 1개소, Lay-out(2026.07.27)에는 2개소 표기.</t>
        </is>
      </c>
    </row>
    <row r="5" ht="15" customHeight="1" s="24">
      <c r="A5" s="29" t="inlineStr">
        <is>
          <t>1.2.2</t>
        </is>
      </c>
      <c r="B5" s="30" t="inlineStr">
        <is>
          <t>적치장소 이동</t>
        </is>
      </c>
      <c r="C5" s="29" t="n">
        <v>3</v>
      </c>
      <c r="D5" s="30" t="inlineStr">
        <is>
          <t>지게차 보유 대수·동력원(전동/디젤) 확인 후 04 명세서에 추가.</t>
        </is>
      </c>
    </row>
    <row r="6" ht="15" customHeight="1" s="24">
      <c r="A6" s="29" t="inlineStr">
        <is>
          <t>1.3.1</t>
        </is>
      </c>
      <c r="B6" s="30" t="inlineStr">
        <is>
          <t>재고조사의 수행 및 방법</t>
        </is>
      </c>
      <c r="C6" s="29" t="n">
        <v>3</v>
      </c>
      <c r="D6" s="30" t="inlineStr">
        <is>
          <t>최근 1년 재고 정확도 실적(실사 결과) 확보.</t>
        </is>
      </c>
    </row>
    <row r="7" ht="15" customHeight="1" s="24">
      <c r="A7" s="29" t="inlineStr">
        <is>
          <t>2.1.1</t>
        </is>
      </c>
      <c r="B7" s="30" t="inlineStr">
        <is>
          <t>도크 및 바닥성능(재질, 평탄도 및 하중)</t>
        </is>
      </c>
      <c r="C7" s="29" t="n">
        <v>3</v>
      </c>
      <c r="D7" s="29" t="inlineStr">
        <is>
          <t>"확인" 항목은 현장·임대인(아레나스) 제원으로 적용 여부를 확정한 뒤 등급 재계산.</t>
        </is>
      </c>
    </row>
    <row r="8" ht="15" customHeight="1" s="24">
      <c r="A8" s="29" t="inlineStr">
        <is>
          <t>2.1.3</t>
        </is>
      </c>
      <c r="B8" s="30" t="inlineStr">
        <is>
          <t>배치 및 동선 관리</t>
        </is>
      </c>
      <c r="C8" s="29" t="n">
        <v>3</v>
      </c>
      <c r="D8" s="29" t="inlineStr">
        <is>
          <t>"확인" 3개가 모두 적용이면 1등급까지 가능하므로 현장 확인 우선.</t>
        </is>
      </c>
    </row>
    <row r="9" ht="15" customHeight="1" s="24">
      <c r="A9" s="29" t="inlineStr">
        <is>
          <t>2.1.4</t>
        </is>
      </c>
      <c r="B9" s="30" t="inlineStr">
        <is>
          <t>작업환경 관리(공조, 온도, 습도 등)</t>
        </is>
      </c>
      <c r="C9" s="29" t="n">
        <v>3</v>
      </c>
      <c r="D9" s="30" t="inlineStr">
        <is>
          <t>확인 항목 중 1개라도 미적용이면 4등급 이하. 조도·온습도 측정 기록 확보가 핵심.</t>
        </is>
      </c>
    </row>
    <row r="10" ht="15" customHeight="1" s="24">
      <c r="A10" s="29" t="inlineStr">
        <is>
          <t>2.1.5</t>
        </is>
      </c>
      <c r="B10" s="30" t="inlineStr">
        <is>
          <t>재해 및 안전관리(방화, 내진, 소방·대피시설, 안전사고관리 등)</t>
        </is>
      </c>
      <c r="C10" s="29" t="n">
        <v>3</v>
      </c>
      <c r="D10" s="30" t="inlineStr">
        <is>
          <t>랙 내진 설계·시공 확인서 확보 시 유지, 미확보 시 4등급.</t>
        </is>
      </c>
    </row>
    <row r="11" ht="15" customHeight="1" s="24">
      <c r="A11" s="29" t="inlineStr">
        <is>
          <t>2.2.1</t>
        </is>
      </c>
      <c r="B11" s="30" t="inlineStr">
        <is>
          <t>비용 절감</t>
        </is>
      </c>
      <c r="C11" s="29" t="n">
        <v>3</v>
      </c>
      <c r="D11" s="29" t="inlineStr">
        <is>
          <t>05 매뉴얼의 2023~2025 수치는 "예시"로 표기됨. 실제 결산 자료가 없으면 4~5등급으로 하락. 확정 실적 확보 필수.</t>
        </is>
      </c>
    </row>
    <row r="12" ht="15" customHeight="1" s="24">
      <c r="A12" s="29" t="inlineStr">
        <is>
          <t>2.2.2</t>
        </is>
      </c>
      <c r="B12" s="30" t="inlineStr">
        <is>
          <t>생산성 향상</t>
        </is>
      </c>
      <c r="C12" s="29" t="n">
        <v>3</v>
      </c>
      <c r="D12" s="29" t="inlineStr">
        <is>
          <t>UPH 실적(42→46→50건)이 "예시" 수치. 실제 데이터로 교체.</t>
        </is>
      </c>
    </row>
    <row r="13" ht="15" customHeight="1" s="24">
      <c r="A13" s="29" t="inlineStr">
        <is>
          <t>2.2.3</t>
        </is>
      </c>
      <c r="B13" s="30" t="inlineStr">
        <is>
          <t>품질 및 안전관리</t>
        </is>
      </c>
      <c r="C13" s="29" t="n">
        <v>3</v>
      </c>
      <c r="D13" s="30" t="inlineStr">
        <is>
          <t>오출고율 실적(예시 0.35%→0.15%)과 회사소개서의 0.0001%가 상충. 기준(센터 단위·산식)을 정해 통일.</t>
        </is>
      </c>
    </row>
    <row r="14" ht="15" customHeight="1" s="24">
      <c r="A14" s="29" t="inlineStr">
        <is>
          <t>2.2.4</t>
        </is>
      </c>
      <c r="B14" s="30" t="inlineStr">
        <is>
          <t>친환경관리(절수, 절전, 폐기물, 재활용, 조명 등)</t>
        </is>
      </c>
      <c r="C14" s="29" t="n">
        <v>4</v>
      </c>
      <c r="D14" s="29" t="inlineStr">
        <is>
          <t>LED 조명·전력 사용량 데이터가 있으면 3등급 검토.</t>
        </is>
      </c>
    </row>
    <row r="15" ht="15" customHeight="1" s="24">
      <c r="A15" s="29" t="inlineStr">
        <is>
          <t>2.3.1-1</t>
        </is>
      </c>
      <c r="B15" s="30" t="inlineStr">
        <is>
          <t>수발주시스템/상품분류시스템</t>
        </is>
      </c>
      <c r="C15" s="29" t="n">
        <v>3</v>
      </c>
      <c r="D15" s="30" t="inlineStr">
        <is>
          <t>실제 연동 완료 채널 목록 확정(07 기술서 1.3에 미확정 표기).</t>
        </is>
      </c>
    </row>
    <row r="16" ht="15" customHeight="1" s="24"/>
    <row r="17" ht="15" customHeight="1" s="24"/>
    <row r="18" ht="15" customHeight="1" s="24"/>
    <row r="19" ht="15" customHeight="1" s="24"/>
    <row r="20" ht="29.25" customHeight="1" s="24"/>
    <row r="21" ht="15" customHeight="1" s="24"/>
    <row r="22" ht="15" customHeight="1" s="24"/>
    <row r="23" ht="15" customHeight="1" s="24"/>
    <row r="24" ht="29.25" customHeight="1" s="24"/>
    <row r="25" ht="15" customHeight="1" s="24"/>
  </sheetData>
  <autoFilter ref="A3:D2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2026-09-30T00:22:21Z</dcterms:created>
  <dcterms:modified xmlns:dcterms="http://purl.org/dc/terms/" xmlns:xsi="http://www.w3.org/2001/XMLSchema-instance" xsi:type="dcterms:W3CDTF">2026-10-14T03:15:54Z</dcterms:modified>
  <cp:revision>0</cp:revision>
</cp:coreProperties>
</file>