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1_제출서류 현황" sheetId="1" state="visible" r:id="rId3"/>
    <sheet name="2_불일치·확인 필요" sheetId="2" state="visible" r:id="rId4"/>
    <sheet name="3_등급 조정 내역" sheetId="3" state="visible" r:id="rId5"/>
    <sheet name="4_증빙자료 수집 목록" sheetId="4" state="visible" r:id="rId6"/>
    <sheet name="5_확인 후 등급 변동" sheetId="5" state="visible" r:id="rId7"/>
  </sheets>
  <definedNames>
    <definedName function="false" hidden="true" localSheetId="0" name="_xlnm._FilterDatabase" vbProcedure="false">'1_제출서류 현황'!$A$3:$G$25</definedName>
    <definedName function="false" hidden="true" localSheetId="1" name="_xlnm._FilterDatabase" vbProcedure="false">'2_불일치·확인 필요'!$A$3:$F$21</definedName>
    <definedName function="false" hidden="true" localSheetId="2" name="_xlnm._FilterDatabase" vbProcedure="false">'3_등급 조정 내역'!$A$3:$J$47</definedName>
    <definedName function="false" hidden="true" localSheetId="3" name="_xlnm._FilterDatabase" vbProcedure="false">'4_증빙자료 수집 목록'!$A$3:$I$97</definedName>
    <definedName function="false" hidden="true" localSheetId="4" name="_xlnm._FilterDatabase" vbProcedure="false">'5_확인 후 등급 변동'!$A$3:$D$25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<sst xmlns="http://schemas.openxmlformats.org/spreadsheetml/2006/main" count="1102" uniqueCount="526">
  <si>
    <r>
      <rPr>
        <b val="true"/>
        <sz val="14"/>
        <color rgb="FF1F3864"/>
        <rFont val="Noto Sans CJK SC"/>
        <family val="2"/>
      </rPr>
      <t xml:space="preserve">스마트물류센터 인증 제출서류 진행현황 </t>
    </r>
    <r>
      <rPr>
        <b val="true"/>
        <sz val="14"/>
        <color rgb="FF1F3864"/>
        <rFont val="맑은 고딕"/>
        <family val="0"/>
        <charset val="1"/>
      </rPr>
      <t xml:space="preserve">(</t>
    </r>
    <r>
      <rPr>
        <b val="true"/>
        <sz val="14"/>
        <color rgb="FF1F3864"/>
        <rFont val="Noto Sans CJK SC"/>
        <family val="2"/>
      </rPr>
      <t xml:space="preserve">영종센터</t>
    </r>
    <r>
      <rPr>
        <b val="true"/>
        <sz val="14"/>
        <color rgb="FF1F3864"/>
        <rFont val="맑은 고딕"/>
        <family val="0"/>
        <charset val="1"/>
      </rPr>
      <t xml:space="preserve">, </t>
    </r>
    <r>
      <rPr>
        <b val="true"/>
        <sz val="14"/>
        <color rgb="FF1F3864"/>
        <rFont val="Noto Sans CJK SC"/>
        <family val="2"/>
      </rPr>
      <t xml:space="preserve">기준 </t>
    </r>
    <r>
      <rPr>
        <b val="true"/>
        <sz val="14"/>
        <color rgb="FF1F3864"/>
        <rFont val="맑은 고딕"/>
        <family val="0"/>
        <charset val="1"/>
      </rPr>
      <t xml:space="preserve">2026.09.30)</t>
    </r>
  </si>
  <si>
    <r>
      <rPr>
        <sz val="9"/>
        <color rgb="FF595959"/>
        <rFont val="Noto Sans CJK SC"/>
        <family val="2"/>
      </rPr>
      <t xml:space="preserve">상태</t>
    </r>
    <r>
      <rPr>
        <sz val="9"/>
        <color rgb="FF595959"/>
        <rFont val="맑은 고딕"/>
        <family val="0"/>
        <charset val="1"/>
      </rPr>
      <t xml:space="preserve">: </t>
    </r>
    <r>
      <rPr>
        <sz val="9"/>
        <color rgb="FF595959"/>
        <rFont val="Noto Sans CJK SC"/>
        <family val="2"/>
      </rPr>
      <t xml:space="preserve">완료 </t>
    </r>
    <r>
      <rPr>
        <sz val="9"/>
        <color rgb="FF595959"/>
        <rFont val="맑은 고딕"/>
        <family val="0"/>
        <charset val="1"/>
      </rPr>
      <t xml:space="preserve">/ </t>
    </r>
    <r>
      <rPr>
        <sz val="9"/>
        <color rgb="FF595959"/>
        <rFont val="Noto Sans CJK SC"/>
        <family val="2"/>
      </rPr>
      <t xml:space="preserve">초안 완료</t>
    </r>
    <r>
      <rPr>
        <sz val="9"/>
        <color rgb="FF595959"/>
        <rFont val="맑은 고딕"/>
        <family val="0"/>
        <charset val="1"/>
      </rPr>
      <t xml:space="preserve">(</t>
    </r>
    <r>
      <rPr>
        <sz val="9"/>
        <color rgb="FF595959"/>
        <rFont val="Noto Sans CJK SC"/>
        <family val="2"/>
      </rPr>
      <t xml:space="preserve">이번에 작성</t>
    </r>
    <r>
      <rPr>
        <sz val="9"/>
        <color rgb="FF595959"/>
        <rFont val="맑은 고딕"/>
        <family val="0"/>
        <charset val="1"/>
      </rPr>
      <t xml:space="preserve">, </t>
    </r>
    <r>
      <rPr>
        <sz val="9"/>
        <color rgb="FF595959"/>
        <rFont val="Noto Sans CJK SC"/>
        <family val="2"/>
      </rPr>
      <t xml:space="preserve">검토</t>
    </r>
    <r>
      <rPr>
        <sz val="9"/>
        <color rgb="FF595959"/>
        <rFont val="맑은 고딕"/>
        <family val="0"/>
        <charset val="1"/>
      </rPr>
      <t xml:space="preserve">·</t>
    </r>
    <r>
      <rPr>
        <sz val="9"/>
        <color rgb="FF595959"/>
        <rFont val="Noto Sans CJK SC"/>
        <family val="2"/>
      </rPr>
      <t xml:space="preserve">사진 삽입 필요</t>
    </r>
    <r>
      <rPr>
        <sz val="9"/>
        <color rgb="FF595959"/>
        <rFont val="맑은 고딕"/>
        <family val="0"/>
        <charset val="1"/>
      </rPr>
      <t xml:space="preserve">) / </t>
    </r>
    <r>
      <rPr>
        <sz val="9"/>
        <color rgb="FF595959"/>
        <rFont val="Noto Sans CJK SC"/>
        <family val="2"/>
      </rPr>
      <t xml:space="preserve">보완 필요 </t>
    </r>
    <r>
      <rPr>
        <sz val="9"/>
        <color rgb="FF595959"/>
        <rFont val="맑은 고딕"/>
        <family val="0"/>
        <charset val="1"/>
      </rPr>
      <t xml:space="preserve">/ </t>
    </r>
    <r>
      <rPr>
        <sz val="9"/>
        <color rgb="FF595959"/>
        <rFont val="Noto Sans CJK SC"/>
        <family val="2"/>
      </rPr>
      <t xml:space="preserve">발급</t>
    </r>
    <r>
      <rPr>
        <sz val="9"/>
        <color rgb="FF595959"/>
        <rFont val="맑은 고딕"/>
        <family val="0"/>
        <charset val="1"/>
      </rPr>
      <t xml:space="preserve">·</t>
    </r>
    <r>
      <rPr>
        <sz val="9"/>
        <color rgb="FF595959"/>
        <rFont val="Noto Sans CJK SC"/>
        <family val="2"/>
      </rPr>
      <t xml:space="preserve">수집 필요 </t>
    </r>
    <r>
      <rPr>
        <sz val="9"/>
        <color rgb="FF595959"/>
        <rFont val="맑은 고딕"/>
        <family val="0"/>
        <charset val="1"/>
      </rPr>
      <t xml:space="preserve">/ </t>
    </r>
    <r>
      <rPr>
        <sz val="9"/>
        <color rgb="FF595959"/>
        <rFont val="Noto Sans CJK SC"/>
        <family val="2"/>
      </rPr>
      <t xml:space="preserve">결정 필요 </t>
    </r>
    <r>
      <rPr>
        <sz val="9"/>
        <color rgb="FF595959"/>
        <rFont val="맑은 고딕"/>
        <family val="0"/>
        <charset val="1"/>
      </rPr>
      <t xml:space="preserve">/ </t>
    </r>
    <r>
      <rPr>
        <sz val="9"/>
        <color rgb="FF595959"/>
        <rFont val="Noto Sans CJK SC"/>
        <family val="2"/>
      </rPr>
      <t xml:space="preserve">해당 없음</t>
    </r>
  </si>
  <si>
    <t xml:space="preserve">No</t>
  </si>
  <si>
    <t xml:space="preserve">제출서류</t>
  </si>
  <si>
    <t xml:space="preserve">담당</t>
  </si>
  <si>
    <t xml:space="preserve">현재 파일</t>
  </si>
  <si>
    <t xml:space="preserve">상태</t>
  </si>
  <si>
    <t xml:space="preserve">남은 작업</t>
  </si>
  <si>
    <t xml:space="preserve">이번 작성본</t>
  </si>
  <si>
    <t xml:space="preserve">①</t>
  </si>
  <si>
    <r>
      <rPr>
        <sz val="10"/>
        <rFont val="Noto Sans CJK SC"/>
        <family val="2"/>
      </rPr>
      <t xml:space="preserve">인증 신청서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별지 제</t>
    </r>
    <r>
      <rPr>
        <sz val="10"/>
        <rFont val="맑은 고딕"/>
        <family val="0"/>
        <charset val="1"/>
      </rPr>
      <t xml:space="preserve">8</t>
    </r>
    <r>
      <rPr>
        <sz val="10"/>
        <rFont val="Noto Sans CJK SC"/>
        <family val="2"/>
      </rPr>
      <t xml:space="preserve">호의</t>
    </r>
    <r>
      <rPr>
        <sz val="10"/>
        <rFont val="맑은 고딕"/>
        <family val="0"/>
        <charset val="1"/>
      </rPr>
      <t xml:space="preserve">6</t>
    </r>
    <r>
      <rPr>
        <sz val="10"/>
        <rFont val="Noto Sans CJK SC"/>
        <family val="2"/>
      </rPr>
      <t xml:space="preserve">서식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</si>
  <si>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유재완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장윤진</t>
    </r>
  </si>
  <si>
    <r>
      <rPr>
        <sz val="10"/>
        <rFont val="맑은 고딕"/>
        <family val="0"/>
        <charset val="1"/>
      </rPr>
      <t xml:space="preserve">2.+[</t>
    </r>
    <r>
      <rPr>
        <sz val="10"/>
        <rFont val="Noto Sans CJK SC"/>
        <family val="2"/>
      </rPr>
      <t xml:space="preserve">별지…</t>
    </r>
    <r>
      <rPr>
        <sz val="10"/>
        <rFont val="맑은 고딕"/>
        <family val="0"/>
        <charset val="1"/>
      </rPr>
      <t xml:space="preserve">]</t>
    </r>
    <r>
      <rPr>
        <sz val="10"/>
        <rFont val="Noto Sans CJK SC"/>
        <family val="2"/>
      </rPr>
      <t xml:space="preserve">신청서</t>
    </r>
    <r>
      <rPr>
        <sz val="10"/>
        <rFont val="맑은 고딕"/>
        <family val="0"/>
        <charset val="1"/>
      </rPr>
      <t xml:space="preserve">.hwp</t>
    </r>
  </si>
  <si>
    <t xml:space="preserve">보완 필요</t>
  </si>
  <si>
    <r>
      <rPr>
        <sz val="10"/>
        <rFont val="맑은 고딕"/>
        <family val="0"/>
        <charset val="1"/>
      </rPr>
      <t xml:space="preserve">HWP </t>
    </r>
    <r>
      <rPr>
        <sz val="10"/>
        <rFont val="Noto Sans CJK SC"/>
        <family val="2"/>
      </rPr>
      <t xml:space="preserve">서식 미기재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「신청서</t>
    </r>
    <r>
      <rPr>
        <sz val="10"/>
        <rFont val="맑은 고딕"/>
        <family val="0"/>
        <charset val="1"/>
      </rPr>
      <t xml:space="preserve">_</t>
    </r>
    <r>
      <rPr>
        <sz val="10"/>
        <rFont val="Noto Sans CJK SC"/>
        <family val="2"/>
      </rPr>
      <t xml:space="preserve">기재안」 내용을 한글에서 입력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대표자 승인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날인</t>
    </r>
  </si>
  <si>
    <r>
      <rPr>
        <sz val="10"/>
        <rFont val="Noto Sans CJK SC"/>
        <family val="2"/>
      </rPr>
      <t xml:space="preserve">신청서</t>
    </r>
    <r>
      <rPr>
        <sz val="10"/>
        <rFont val="맑은 고딕"/>
        <family val="0"/>
        <charset val="1"/>
      </rPr>
      <t xml:space="preserve">_</t>
    </r>
    <r>
      <rPr>
        <sz val="10"/>
        <rFont val="Noto Sans CJK SC"/>
        <family val="2"/>
      </rPr>
      <t xml:space="preserve">기재안</t>
    </r>
    <r>
      <rPr>
        <sz val="10"/>
        <rFont val="맑은 고딕"/>
        <family val="0"/>
        <charset val="1"/>
      </rPr>
      <t xml:space="preserve">.docx</t>
    </r>
  </si>
  <si>
    <t xml:space="preserve">②-1</t>
  </si>
  <si>
    <t xml:space="preserve">자체평가서 및 증명자료</t>
  </si>
  <si>
    <t xml:space="preserve">박상혁</t>
  </si>
  <si>
    <r>
      <rPr>
        <sz val="10"/>
        <rFont val="맑은 고딕"/>
        <family val="0"/>
        <charset val="1"/>
      </rPr>
      <t xml:space="preserve">01_</t>
    </r>
    <r>
      <rPr>
        <sz val="10"/>
        <rFont val="Noto Sans CJK SC"/>
        <family val="2"/>
      </rPr>
      <t xml:space="preserve">자체평가서 및 증명자료</t>
    </r>
    <r>
      <rPr>
        <sz val="10"/>
        <rFont val="맑은 고딕"/>
        <family val="0"/>
        <charset val="1"/>
      </rPr>
      <t xml:space="preserve">.docx (</t>
    </r>
    <r>
      <rPr>
        <sz val="10"/>
        <rFont val="Noto Sans CJK SC"/>
        <family val="2"/>
      </rPr>
      <t xml:space="preserve">빈 양식</t>
    </r>
    <r>
      <rPr>
        <sz val="10"/>
        <rFont val="맑은 고딕"/>
        <family val="0"/>
        <charset val="1"/>
      </rPr>
      <t xml:space="preserve">)</t>
    </r>
  </si>
  <si>
    <t xml:space="preserve">초안 완료</t>
  </si>
  <si>
    <r>
      <rPr>
        <sz val="10"/>
        <rFont val="맑은 고딕"/>
        <family val="0"/>
        <charset val="1"/>
      </rPr>
      <t xml:space="preserve">44</t>
    </r>
    <r>
      <rPr>
        <sz val="10"/>
        <rFont val="Noto Sans CJK SC"/>
        <family val="2"/>
      </rPr>
      <t xml:space="preserve">개 세부항목 서술 완료</t>
    </r>
    <r>
      <rPr>
        <sz val="10"/>
        <rFont val="맑은 고딕"/>
        <family val="0"/>
        <charset val="1"/>
      </rPr>
      <t xml:space="preserve">(787.5</t>
    </r>
    <r>
      <rPr>
        <sz val="10"/>
        <rFont val="Noto Sans CJK SC"/>
        <family val="2"/>
      </rPr>
      <t xml:space="preserve">점</t>
    </r>
    <r>
      <rPr>
        <sz val="10"/>
        <rFont val="맑은 고딕"/>
        <family val="0"/>
        <charset val="1"/>
      </rPr>
      <t xml:space="preserve">). </t>
    </r>
    <r>
      <rPr>
        <sz val="10"/>
        <rFont val="Noto Sans CJK SC"/>
        <family val="2"/>
      </rPr>
      <t xml:space="preserve">항목별 사진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캡처 삽입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작성 메모 확인 후 삭제</t>
    </r>
  </si>
  <si>
    <r>
      <rPr>
        <sz val="10"/>
        <rFont val="맑은 고딕"/>
        <family val="0"/>
        <charset val="1"/>
      </rPr>
      <t xml:space="preserve">01_</t>
    </r>
    <r>
      <rPr>
        <sz val="10"/>
        <rFont val="Noto Sans CJK SC"/>
        <family val="2"/>
      </rPr>
      <t xml:space="preserve">자체평가서 및 증명자료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완성본</t>
    </r>
    <r>
      <rPr>
        <sz val="10"/>
        <rFont val="맑은 고딕"/>
        <family val="0"/>
        <charset val="1"/>
      </rPr>
      <t xml:space="preserve">).docx</t>
    </r>
  </si>
  <si>
    <t xml:space="preserve">②-2</t>
  </si>
  <si>
    <t xml:space="preserve">설계도면 및 분야별 설계설명서</t>
  </si>
  <si>
    <r>
      <rPr>
        <sz val="10"/>
        <rFont val="맑은 고딕"/>
        <family val="0"/>
        <charset val="1"/>
      </rPr>
      <t xml:space="preserve">02_…(1</t>
    </r>
    <r>
      <rPr>
        <sz val="10"/>
        <rFont val="Noto Sans CJK SC"/>
        <family val="2"/>
      </rPr>
      <t xml:space="preserve">차작성</t>
    </r>
    <r>
      <rPr>
        <sz val="10"/>
        <rFont val="맑은 고딕"/>
        <family val="0"/>
        <charset val="1"/>
      </rPr>
      <t xml:space="preserve">)_</t>
    </r>
    <r>
      <rPr>
        <sz val="10"/>
        <rFont val="Noto Sans CJK SC"/>
        <family val="2"/>
      </rPr>
      <t xml:space="preserve">서우혁회신</t>
    </r>
    <r>
      <rPr>
        <sz val="10"/>
        <rFont val="맑은 고딕"/>
        <family val="0"/>
        <charset val="1"/>
      </rPr>
      <t xml:space="preserve">.docx</t>
    </r>
  </si>
  <si>
    <r>
      <rPr>
        <sz val="10"/>
        <rFont val="맑은 고딕"/>
        <family val="0"/>
        <charset val="1"/>
      </rPr>
      <t xml:space="preserve">XXXX </t>
    </r>
    <r>
      <rPr>
        <sz val="10"/>
        <rFont val="Noto Sans CJK SC"/>
        <family val="2"/>
      </rPr>
      <t xml:space="preserve">값 채움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도면 목록을 실제 보유 도면으로 정리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단면도 확보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면적 수치 확정</t>
    </r>
  </si>
  <si>
    <r>
      <rPr>
        <sz val="10"/>
        <rFont val="맑은 고딕"/>
        <family val="0"/>
        <charset val="1"/>
      </rPr>
      <t xml:space="preserve">02_</t>
    </r>
    <r>
      <rPr>
        <sz val="10"/>
        <rFont val="Noto Sans CJK SC"/>
        <family val="2"/>
      </rPr>
      <t xml:space="preserve">설계도면 및 분야별 설계설명서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완성본</t>
    </r>
    <r>
      <rPr>
        <sz val="10"/>
        <rFont val="맑은 고딕"/>
        <family val="0"/>
        <charset val="1"/>
      </rPr>
      <t xml:space="preserve">).docx</t>
    </r>
  </si>
  <si>
    <t xml:space="preserve">②-3</t>
  </si>
  <si>
    <t xml:space="preserve">설계변경 확인서</t>
  </si>
  <si>
    <r>
      <rPr>
        <sz val="10"/>
        <rFont val="맑은 고딕"/>
        <family val="0"/>
        <charset val="1"/>
      </rPr>
      <t xml:space="preserve">03_</t>
    </r>
    <r>
      <rPr>
        <sz val="10"/>
        <rFont val="Noto Sans CJK SC"/>
        <family val="2"/>
      </rPr>
      <t xml:space="preserve">설계변경 확인서</t>
    </r>
    <r>
      <rPr>
        <sz val="10"/>
        <rFont val="맑은 고딕"/>
        <family val="0"/>
        <charset val="1"/>
      </rPr>
      <t xml:space="preserve">.docx (</t>
    </r>
    <r>
      <rPr>
        <sz val="10"/>
        <rFont val="Noto Sans CJK SC"/>
        <family val="2"/>
      </rPr>
      <t xml:space="preserve">빈 양식</t>
    </r>
    <r>
      <rPr>
        <sz val="10"/>
        <rFont val="맑은 고딕"/>
        <family val="0"/>
        <charset val="1"/>
      </rPr>
      <t xml:space="preserve">)</t>
    </r>
  </si>
  <si>
    <t xml:space="preserve">결정 필요</t>
  </si>
  <si>
    <r>
      <rPr>
        <sz val="10"/>
        <rFont val="맑은 고딕"/>
        <family val="0"/>
        <charset val="1"/>
      </rPr>
      <t xml:space="preserve">"</t>
    </r>
    <r>
      <rPr>
        <sz val="10"/>
        <rFont val="Noto Sans CJK SC"/>
        <family val="2"/>
      </rPr>
      <t xml:space="preserve">해당 없음</t>
    </r>
    <r>
      <rPr>
        <sz val="10"/>
        <rFont val="맑은 고딕"/>
        <family val="0"/>
        <charset val="1"/>
      </rPr>
      <t xml:space="preserve">"</t>
    </r>
    <r>
      <rPr>
        <sz val="10"/>
        <rFont val="Noto Sans CJK SC"/>
        <family val="2"/>
      </rPr>
      <t xml:space="preserve">으로 작성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건축물대장 변경 이력 확인 → 해당 없으면 미제출 가능</t>
    </r>
  </si>
  <si>
    <r>
      <rPr>
        <sz val="10"/>
        <rFont val="맑은 고딕"/>
        <family val="0"/>
        <charset val="1"/>
      </rPr>
      <t xml:space="preserve">03_</t>
    </r>
    <r>
      <rPr>
        <sz val="10"/>
        <rFont val="Noto Sans CJK SC"/>
        <family val="2"/>
      </rPr>
      <t xml:space="preserve">설계변경 확인서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완성본</t>
    </r>
    <r>
      <rPr>
        <sz val="10"/>
        <rFont val="맑은 고딕"/>
        <family val="0"/>
        <charset val="1"/>
      </rPr>
      <t xml:space="preserve">).docx</t>
    </r>
  </si>
  <si>
    <t xml:space="preserve">②-4</t>
  </si>
  <si>
    <t xml:space="preserve">도입설비 및 장비 명세서</t>
  </si>
  <si>
    <r>
      <rPr>
        <sz val="10"/>
        <rFont val="맑은 고딕"/>
        <family val="0"/>
        <charset val="1"/>
      </rPr>
      <t xml:space="preserve">04_</t>
    </r>
    <r>
      <rPr>
        <sz val="10"/>
        <rFont val="Noto Sans CJK SC"/>
        <family val="2"/>
      </rPr>
      <t xml:space="preserve">도입설비 및 장비 명세서</t>
    </r>
    <r>
      <rPr>
        <sz val="10"/>
        <rFont val="맑은 고딕"/>
        <family val="0"/>
        <charset val="1"/>
      </rPr>
      <t xml:space="preserve">.docx</t>
    </r>
  </si>
  <si>
    <r>
      <rPr>
        <sz val="10"/>
        <rFont val="맑은 고딕"/>
        <family val="0"/>
        <charset val="1"/>
      </rPr>
      <t xml:space="preserve">PDA </t>
    </r>
    <r>
      <rPr>
        <sz val="10"/>
        <rFont val="Noto Sans CJK SC"/>
        <family val="2"/>
      </rPr>
      <t xml:space="preserve">수량 </t>
    </r>
    <r>
      <rPr>
        <sz val="10"/>
        <rFont val="맑은 고딕"/>
        <family val="0"/>
        <charset val="1"/>
      </rPr>
      <t xml:space="preserve">[ ]</t>
    </r>
    <r>
      <rPr>
        <sz val="10"/>
        <rFont val="Noto Sans CJK SC"/>
        <family val="2"/>
      </rPr>
      <t xml:space="preserve">대 공란</t>
    </r>
    <r>
      <rPr>
        <sz val="10"/>
        <rFont val="맑은 고딕"/>
        <family val="0"/>
        <charset val="1"/>
      </rPr>
      <t xml:space="preserve">, DWS </t>
    </r>
    <r>
      <rPr>
        <sz val="10"/>
        <rFont val="Noto Sans CJK SC"/>
        <family val="2"/>
      </rPr>
      <t xml:space="preserve">수량 불일치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지게차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봉함기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휠소터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싱귤레이터 항목 추가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설비 사진 삽입</t>
    </r>
    <r>
      <rPr>
        <sz val="10"/>
        <rFont val="맑은 고딕"/>
        <family val="0"/>
        <charset val="1"/>
      </rPr>
      <t xml:space="preserve">, "</t>
    </r>
    <r>
      <rPr>
        <sz val="10"/>
        <rFont val="Noto Sans CJK SC"/>
        <family val="2"/>
      </rPr>
      <t xml:space="preserve">오분류율 </t>
    </r>
    <r>
      <rPr>
        <sz val="10"/>
        <rFont val="맑은 고딕"/>
        <family val="0"/>
        <charset val="1"/>
      </rPr>
      <t xml:space="preserve">0%" </t>
    </r>
    <r>
      <rPr>
        <sz val="10"/>
        <rFont val="Noto Sans CJK SC"/>
        <family val="2"/>
      </rPr>
      <t xml:space="preserve">근거 확인</t>
    </r>
  </si>
  <si>
    <t xml:space="preserve">-</t>
  </si>
  <si>
    <t xml:space="preserve">②-5</t>
  </si>
  <si>
    <t xml:space="preserve">물류센터 운영 매뉴얼</t>
  </si>
  <si>
    <r>
      <rPr>
        <sz val="10"/>
        <rFont val="맑은 고딕"/>
        <family val="0"/>
        <charset val="1"/>
      </rPr>
      <t xml:space="preserve">05_</t>
    </r>
    <r>
      <rPr>
        <sz val="10"/>
        <rFont val="Noto Sans CJK SC"/>
        <family val="2"/>
      </rPr>
      <t xml:space="preserve">물류센터 운영 매뉴얼</t>
    </r>
    <r>
      <rPr>
        <sz val="10"/>
        <rFont val="맑은 고딕"/>
        <family val="0"/>
        <charset val="1"/>
      </rPr>
      <t xml:space="preserve">.docx</t>
    </r>
  </si>
  <si>
    <r>
      <rPr>
        <sz val="10"/>
        <rFont val="맑은 고딕"/>
        <family val="0"/>
        <charset val="1"/>
      </rPr>
      <t xml:space="preserve">3.2</t>
    </r>
    <r>
      <rPr>
        <sz val="10"/>
        <rFont val="Noto Sans CJK SC"/>
        <family val="2"/>
      </rPr>
      <t xml:space="preserve">절 최근 </t>
    </r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년 실적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물동량</t>
    </r>
    <r>
      <rPr>
        <sz val="10"/>
        <rFont val="맑은 고딕"/>
        <family val="0"/>
        <charset val="1"/>
      </rPr>
      <t xml:space="preserve">·RTO/RPO</t>
    </r>
    <r>
      <rPr>
        <sz val="10"/>
        <rFont val="Noto Sans CJK SC"/>
        <family val="2"/>
      </rPr>
      <t xml:space="preserve">가 </t>
    </r>
    <r>
      <rPr>
        <sz val="10"/>
        <rFont val="맑은 고딕"/>
        <family val="0"/>
        <charset val="1"/>
      </rPr>
      <t xml:space="preserve">"</t>
    </r>
    <r>
      <rPr>
        <sz val="10"/>
        <rFont val="Noto Sans CJK SC"/>
        <family val="2"/>
      </rPr>
      <t xml:space="preserve">예시</t>
    </r>
    <r>
      <rPr>
        <sz val="10"/>
        <rFont val="맑은 고딕"/>
        <family val="0"/>
        <charset val="1"/>
      </rPr>
      <t xml:space="preserve">" </t>
    </r>
    <r>
      <rPr>
        <sz val="10"/>
        <rFont val="Noto Sans CJK SC"/>
        <family val="2"/>
      </rPr>
      <t xml:space="preserve">수치 → 실제 값 교체</t>
    </r>
    <r>
      <rPr>
        <sz val="10"/>
        <rFont val="맑은 고딕"/>
        <family val="0"/>
        <charset val="1"/>
      </rPr>
      <t xml:space="preserve">, [</t>
    </r>
    <r>
      <rPr>
        <sz val="10"/>
        <rFont val="Noto Sans CJK SC"/>
        <family val="2"/>
      </rPr>
      <t xml:space="preserve">작성 양식</t>
    </r>
    <r>
      <rPr>
        <sz val="10"/>
        <rFont val="맑은 고딕"/>
        <family val="0"/>
        <charset val="1"/>
      </rPr>
      <t xml:space="preserve">] </t>
    </r>
    <r>
      <rPr>
        <sz val="10"/>
        <rFont val="Noto Sans CJK SC"/>
        <family val="2"/>
      </rPr>
      <t xml:space="preserve">표 삭제</t>
    </r>
  </si>
  <si>
    <t xml:space="preserve">②-6</t>
  </si>
  <si>
    <r>
      <rPr>
        <sz val="10"/>
        <rFont val="Noto Sans CJK SC"/>
        <family val="2"/>
      </rPr>
      <t xml:space="preserve">품질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안전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환경관리 매뉴얼</t>
    </r>
  </si>
  <si>
    <r>
      <rPr>
        <sz val="10"/>
        <rFont val="맑은 고딕"/>
        <family val="0"/>
        <charset val="1"/>
      </rPr>
      <t xml:space="preserve">06_</t>
    </r>
    <r>
      <rPr>
        <sz val="10"/>
        <rFont val="Noto Sans CJK SC"/>
        <family val="2"/>
      </rPr>
      <t xml:space="preserve">품질안전환경관리 매뉴얼</t>
    </r>
    <r>
      <rPr>
        <sz val="10"/>
        <rFont val="맑은 고딕"/>
        <family val="0"/>
        <charset val="1"/>
      </rPr>
      <t xml:space="preserve">.docx (</t>
    </r>
    <r>
      <rPr>
        <sz val="10"/>
        <rFont val="Noto Sans CJK SC"/>
        <family val="2"/>
      </rPr>
      <t xml:space="preserve">목차만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</si>
  <si>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본문 작성 완료</t>
    </r>
    <r>
      <rPr>
        <sz val="10"/>
        <rFont val="맑은 고딕"/>
        <family val="0"/>
        <charset val="1"/>
      </rPr>
      <t xml:space="preserve">. [ ] </t>
    </r>
    <r>
      <rPr>
        <sz val="10"/>
        <rFont val="Noto Sans CJK SC"/>
        <family val="2"/>
      </rPr>
      <t xml:space="preserve">항목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소방설비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교육 이력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친환경 실적</t>
    </r>
    <r>
      <rPr>
        <sz val="10"/>
        <rFont val="맑은 고딕"/>
        <family val="0"/>
        <charset val="1"/>
      </rPr>
      <t xml:space="preserve">) </t>
    </r>
    <r>
      <rPr>
        <sz val="10"/>
        <rFont val="Noto Sans CJK SC"/>
        <family val="2"/>
      </rPr>
      <t xml:space="preserve">입력 후 사내 제정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승인</t>
    </r>
  </si>
  <si>
    <r>
      <rPr>
        <sz val="10"/>
        <rFont val="맑은 고딕"/>
        <family val="0"/>
        <charset val="1"/>
      </rPr>
      <t xml:space="preserve">06_</t>
    </r>
    <r>
      <rPr>
        <sz val="10"/>
        <rFont val="Noto Sans CJK SC"/>
        <family val="2"/>
      </rPr>
      <t xml:space="preserve">품질안전환경관리 매뉴얼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완성본</t>
    </r>
    <r>
      <rPr>
        <sz val="10"/>
        <rFont val="맑은 고딕"/>
        <family val="0"/>
        <charset val="1"/>
      </rPr>
      <t xml:space="preserve">).docx</t>
    </r>
  </si>
  <si>
    <t xml:space="preserve">②-7</t>
  </si>
  <si>
    <t xml:space="preserve">물류정보시스템 기술서</t>
  </si>
  <si>
    <t xml:space="preserve">윤일환</t>
  </si>
  <si>
    <r>
      <rPr>
        <sz val="10"/>
        <rFont val="맑은 고딕"/>
        <family val="0"/>
        <charset val="1"/>
      </rPr>
      <t xml:space="preserve">07_</t>
    </r>
    <r>
      <rPr>
        <sz val="10"/>
        <rFont val="Noto Sans CJK SC"/>
        <family val="2"/>
      </rPr>
      <t xml:space="preserve">물류정보시스템 기술서</t>
    </r>
    <r>
      <rPr>
        <sz val="10"/>
        <rFont val="맑은 고딕"/>
        <family val="0"/>
        <charset val="1"/>
      </rPr>
      <t xml:space="preserve">.docx</t>
    </r>
  </si>
  <si>
    <r>
      <rPr>
        <sz val="10"/>
        <rFont val="Noto Sans CJK SC"/>
        <family val="2"/>
      </rPr>
      <t xml:space="preserve">작성일 공란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아키텍처 개요도 미삽입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연동 채널 목록 확정</t>
    </r>
    <r>
      <rPr>
        <sz val="10"/>
        <rFont val="맑은 고딕"/>
        <family val="0"/>
        <charset val="1"/>
      </rPr>
      <t xml:space="preserve">, "▷ </t>
    </r>
    <r>
      <rPr>
        <sz val="10"/>
        <rFont val="Noto Sans CJK SC"/>
        <family val="2"/>
      </rPr>
      <t xml:space="preserve">필요한 내용</t>
    </r>
    <r>
      <rPr>
        <sz val="10"/>
        <rFont val="맑은 고딕"/>
        <family val="0"/>
        <charset val="1"/>
      </rPr>
      <t xml:space="preserve">"·[</t>
    </r>
    <r>
      <rPr>
        <sz val="10"/>
        <rFont val="Noto Sans CJK SC"/>
        <family val="2"/>
      </rPr>
      <t xml:space="preserve">작성 양식</t>
    </r>
    <r>
      <rPr>
        <sz val="10"/>
        <rFont val="맑은 고딕"/>
        <family val="0"/>
        <charset val="1"/>
      </rPr>
      <t xml:space="preserve">] </t>
    </r>
    <r>
      <rPr>
        <sz val="10"/>
        <rFont val="Noto Sans CJK SC"/>
        <family val="2"/>
      </rPr>
      <t xml:space="preserve">안내문 삭제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화면 캡처 삽입</t>
    </r>
  </si>
  <si>
    <t xml:space="preserve">②-8</t>
  </si>
  <si>
    <r>
      <rPr>
        <sz val="10"/>
        <rFont val="Noto Sans CJK SC"/>
        <family val="2"/>
      </rPr>
      <t xml:space="preserve">업무</t>
    </r>
    <r>
      <rPr>
        <sz val="10"/>
        <rFont val="맑은 고딕"/>
        <family val="0"/>
        <charset val="1"/>
      </rPr>
      <t xml:space="preserve">-</t>
    </r>
    <r>
      <rPr>
        <sz val="10"/>
        <rFont val="Noto Sans CJK SC"/>
        <family val="2"/>
      </rPr>
      <t xml:space="preserve">시스템 연계기술서</t>
    </r>
  </si>
  <si>
    <r>
      <rPr>
        <sz val="10"/>
        <rFont val="맑은 고딕"/>
        <family val="0"/>
        <charset val="1"/>
      </rPr>
      <t xml:space="preserve">08_</t>
    </r>
    <r>
      <rPr>
        <sz val="10"/>
        <rFont val="Noto Sans CJK SC"/>
        <family val="2"/>
      </rPr>
      <t xml:space="preserve">업무</t>
    </r>
    <r>
      <rPr>
        <sz val="10"/>
        <rFont val="맑은 고딕"/>
        <family val="0"/>
        <charset val="1"/>
      </rPr>
      <t xml:space="preserve">-</t>
    </r>
    <r>
      <rPr>
        <sz val="10"/>
        <rFont val="Noto Sans CJK SC"/>
        <family val="2"/>
      </rPr>
      <t xml:space="preserve">시스템 연계기술서</t>
    </r>
    <r>
      <rPr>
        <sz val="10"/>
        <rFont val="맑은 고딕"/>
        <family val="0"/>
        <charset val="1"/>
      </rPr>
      <t xml:space="preserve">.docx</t>
    </r>
  </si>
  <si>
    <r>
      <rPr>
        <sz val="10"/>
        <rFont val="Noto Sans CJK SC"/>
        <family val="2"/>
      </rPr>
      <t xml:space="preserve">작성일 공란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데이터 흐름 도식 추가</t>
    </r>
    <r>
      <rPr>
        <sz val="10"/>
        <rFont val="맑은 고딕"/>
        <family val="0"/>
        <charset val="1"/>
      </rPr>
      <t xml:space="preserve">, "▷ </t>
    </r>
    <r>
      <rPr>
        <sz val="10"/>
        <rFont val="Noto Sans CJK SC"/>
        <family val="2"/>
      </rPr>
      <t xml:space="preserve">필요한 내용</t>
    </r>
    <r>
      <rPr>
        <sz val="10"/>
        <rFont val="맑은 고딕"/>
        <family val="0"/>
        <charset val="1"/>
      </rPr>
      <t xml:space="preserve">" </t>
    </r>
    <r>
      <rPr>
        <sz val="10"/>
        <rFont val="Noto Sans CJK SC"/>
        <family val="2"/>
      </rPr>
      <t xml:space="preserve">안내문 삭제</t>
    </r>
  </si>
  <si>
    <t xml:space="preserve">②-9</t>
  </si>
  <si>
    <t xml:space="preserve">예비인증서 사본</t>
  </si>
  <si>
    <r>
      <rPr>
        <sz val="10"/>
        <rFont val="맑은 고딕"/>
        <family val="0"/>
        <charset val="1"/>
      </rPr>
      <t xml:space="preserve">09_</t>
    </r>
    <r>
      <rPr>
        <sz val="10"/>
        <rFont val="Noto Sans CJK SC"/>
        <family val="2"/>
      </rPr>
      <t xml:space="preserve">예비인증서 사본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안내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표지</t>
    </r>
    <r>
      <rPr>
        <sz val="10"/>
        <rFont val="맑은 고딕"/>
        <family val="0"/>
        <charset val="1"/>
      </rPr>
      <t xml:space="preserve">).docx</t>
    </r>
  </si>
  <si>
    <t xml:space="preserve">해당 없음</t>
  </si>
  <si>
    <t xml:space="preserve">예비인증 이력 없음 → 제출 제외</t>
  </si>
  <si>
    <t xml:space="preserve">②-10</t>
  </si>
  <si>
    <r>
      <rPr>
        <sz val="10"/>
        <rFont val="Noto Sans CJK SC"/>
        <family val="2"/>
      </rPr>
      <t xml:space="preserve">법인등기부등본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말소사항 포함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</si>
  <si>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유재완</t>
    </r>
    <r>
      <rPr>
        <sz val="10"/>
        <rFont val="맑은 고딕"/>
        <family val="0"/>
        <charset val="1"/>
      </rPr>
      <t xml:space="preserve">(GA)</t>
    </r>
  </si>
  <si>
    <r>
      <rPr>
        <sz val="10"/>
        <rFont val="Noto Sans CJK SC"/>
        <family val="2"/>
      </rPr>
      <t xml:space="preserve">공유 받은 서류</t>
    </r>
    <r>
      <rPr>
        <sz val="10"/>
        <rFont val="맑은 고딕"/>
        <family val="0"/>
        <charset val="1"/>
      </rPr>
      <t xml:space="preserve">/4 </t>
    </r>
    <r>
      <rPr>
        <sz val="10"/>
        <rFont val="Noto Sans CJK SC"/>
        <family val="2"/>
      </rPr>
      <t xml:space="preserve">법인등기사항증명서</t>
    </r>
    <r>
      <rPr>
        <sz val="10"/>
        <rFont val="맑은 고딕"/>
        <family val="0"/>
        <charset val="1"/>
      </rPr>
      <t xml:space="preserve">.pdf</t>
    </r>
  </si>
  <si>
    <r>
      <rPr>
        <sz val="10"/>
        <rFont val="Noto Sans CJK SC"/>
        <family val="2"/>
      </rPr>
      <t xml:space="preserve">발급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수집 필요</t>
    </r>
  </si>
  <si>
    <r>
      <rPr>
        <sz val="10"/>
        <rFont val="Noto Sans CJK SC"/>
        <family val="2"/>
      </rPr>
      <t xml:space="preserve">신청일 기준 최근본으로 재발급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말소사항 포함</t>
    </r>
    <r>
      <rPr>
        <sz val="10"/>
        <rFont val="맑은 고딕"/>
        <family val="0"/>
        <charset val="1"/>
      </rPr>
      <t xml:space="preserve">). </t>
    </r>
    <r>
      <rPr>
        <sz val="10"/>
        <rFont val="Noto Sans CJK SC"/>
        <family val="2"/>
      </rPr>
      <t xml:space="preserve">현 파일 </t>
    </r>
    <r>
      <rPr>
        <sz val="10"/>
        <rFont val="맑은 고딕"/>
        <family val="0"/>
        <charset val="1"/>
      </rPr>
      <t xml:space="preserve">36MB — </t>
    </r>
    <r>
      <rPr>
        <sz val="10"/>
        <rFont val="Noto Sans CJK SC"/>
        <family val="2"/>
      </rPr>
      <t xml:space="preserve">제출용 압축본 준비</t>
    </r>
  </si>
  <si>
    <t xml:space="preserve">②-11</t>
  </si>
  <si>
    <t xml:space="preserve">사업자등록증</t>
  </si>
  <si>
    <t xml:space="preserve">없음</t>
  </si>
  <si>
    <r>
      <rPr>
        <sz val="10"/>
        <rFont val="Noto Sans CJK SC"/>
        <family val="2"/>
      </rPr>
      <t xml:space="preserve">사업자등록증 사본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또는 사업자등록증명</t>
    </r>
    <r>
      <rPr>
        <sz val="10"/>
        <rFont val="맑은 고딕"/>
        <family val="0"/>
        <charset val="1"/>
      </rPr>
      <t xml:space="preserve">) </t>
    </r>
    <r>
      <rPr>
        <sz val="10"/>
        <rFont val="Noto Sans CJK SC"/>
        <family val="2"/>
      </rPr>
      <t xml:space="preserve">확보</t>
    </r>
  </si>
  <si>
    <t xml:space="preserve">③</t>
  </si>
  <si>
    <r>
      <rPr>
        <sz val="10"/>
        <rFont val="Noto Sans CJK SC"/>
        <family val="2"/>
      </rPr>
      <t xml:space="preserve">물류사업 허가증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등록증 사본</t>
    </r>
  </si>
  <si>
    <r>
      <rPr>
        <sz val="10"/>
        <rFont val="맑은 고딕"/>
        <family val="0"/>
        <charset val="1"/>
      </rPr>
      <t xml:space="preserve">5-1~5-4 (</t>
    </r>
    <r>
      <rPr>
        <sz val="10"/>
        <rFont val="Noto Sans CJK SC"/>
        <family val="2"/>
      </rPr>
      <t xml:space="preserve">창고업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국제물류주선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화물운송주선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상업서류송달</t>
    </r>
    <r>
      <rPr>
        <sz val="10"/>
        <rFont val="맑은 고딕"/>
        <family val="0"/>
        <charset val="1"/>
      </rPr>
      <t xml:space="preserve">)</t>
    </r>
  </si>
  <si>
    <t xml:space="preserve">완료</t>
  </si>
  <si>
    <r>
      <rPr>
        <sz val="10"/>
        <rFont val="Noto Sans CJK SC"/>
        <family val="2"/>
      </rPr>
      <t xml:space="preserve">수령 완료</t>
    </r>
    <r>
      <rPr>
        <sz val="10"/>
        <rFont val="맑은 고딕"/>
        <family val="0"/>
        <charset val="1"/>
      </rPr>
      <t xml:space="preserve">(2026.07.10). </t>
    </r>
    <r>
      <rPr>
        <sz val="10"/>
        <rFont val="Noto Sans CJK SC"/>
        <family val="2"/>
      </rPr>
      <t xml:space="preserve">창고업 등록증 상호 오기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트렉스</t>
    </r>
    <r>
      <rPr>
        <sz val="10"/>
        <rFont val="맑은 고딕"/>
        <family val="0"/>
        <charset val="1"/>
      </rPr>
      <t xml:space="preserve">) </t>
    </r>
    <r>
      <rPr>
        <sz val="10"/>
        <rFont val="Noto Sans CJK SC"/>
        <family val="2"/>
      </rPr>
      <t xml:space="preserve">확인</t>
    </r>
  </si>
  <si>
    <t xml:space="preserve">④</t>
  </si>
  <si>
    <r>
      <rPr>
        <sz val="10"/>
        <rFont val="Noto Sans CJK SC"/>
        <family val="2"/>
      </rPr>
      <t xml:space="preserve">사본</t>
    </r>
    <r>
      <rPr>
        <sz val="10"/>
        <rFont val="맑은 고딕"/>
        <family val="0"/>
        <charset val="1"/>
      </rPr>
      <t xml:space="preserve">=</t>
    </r>
    <r>
      <rPr>
        <sz val="10"/>
        <rFont val="Noto Sans CJK SC"/>
        <family val="2"/>
      </rPr>
      <t xml:space="preserve">원본 확인서</t>
    </r>
  </si>
  <si>
    <r>
      <rPr>
        <sz val="10"/>
        <rFont val="맑은 고딕"/>
        <family val="0"/>
        <charset val="1"/>
      </rPr>
      <t xml:space="preserve">④_</t>
    </r>
    <r>
      <rPr>
        <sz val="10"/>
        <rFont val="Noto Sans CJK SC"/>
        <family val="2"/>
      </rPr>
      <t xml:space="preserve">사본</t>
    </r>
    <r>
      <rPr>
        <sz val="10"/>
        <rFont val="맑은 고딕"/>
        <family val="0"/>
        <charset val="1"/>
      </rPr>
      <t xml:space="preserve">=</t>
    </r>
    <r>
      <rPr>
        <sz val="10"/>
        <rFont val="Noto Sans CJK SC"/>
        <family val="2"/>
      </rPr>
      <t xml:space="preserve">원본 확인서</t>
    </r>
    <r>
      <rPr>
        <sz val="10"/>
        <rFont val="맑은 고딕"/>
        <family val="0"/>
        <charset val="1"/>
      </rPr>
      <t xml:space="preserve">.docx</t>
    </r>
  </si>
  <si>
    <r>
      <rPr>
        <sz val="10"/>
        <rFont val="Noto Sans CJK SC"/>
        <family val="2"/>
      </rPr>
      <t xml:space="preserve">작성일 공란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공동대표 병기 여부 결정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대표이사 직인</t>
    </r>
  </si>
  <si>
    <t xml:space="preserve">⑤</t>
  </si>
  <si>
    <r>
      <rPr>
        <sz val="10"/>
        <rFont val="Noto Sans CJK SC"/>
        <family val="2"/>
      </rPr>
      <t xml:space="preserve">자체평가점수표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일반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</si>
  <si>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자체평가점수표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일반</t>
    </r>
    <r>
      <rPr>
        <sz val="10"/>
        <rFont val="맑은 고딕"/>
        <family val="0"/>
        <charset val="1"/>
      </rPr>
      <t xml:space="preserve">).xlsx (855.5</t>
    </r>
    <r>
      <rPr>
        <sz val="10"/>
        <rFont val="Noto Sans CJK SC"/>
        <family val="2"/>
      </rPr>
      <t xml:space="preserve">점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</si>
  <si>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근거 기준 조정본</t>
    </r>
    <r>
      <rPr>
        <sz val="10"/>
        <rFont val="맑은 고딕"/>
        <family val="0"/>
        <charset val="1"/>
      </rPr>
      <t xml:space="preserve">(787.5</t>
    </r>
    <r>
      <rPr>
        <sz val="10"/>
        <rFont val="Noto Sans CJK SC"/>
        <family val="2"/>
      </rPr>
      <t xml:space="preserve">점</t>
    </r>
    <r>
      <rPr>
        <sz val="10"/>
        <rFont val="맑은 고딕"/>
        <family val="0"/>
        <charset val="1"/>
      </rPr>
      <t xml:space="preserve">) </t>
    </r>
    <r>
      <rPr>
        <sz val="10"/>
        <rFont val="Noto Sans CJK SC"/>
        <family val="2"/>
      </rPr>
      <t xml:space="preserve">작성</t>
    </r>
    <r>
      <rPr>
        <sz val="10"/>
        <rFont val="맑은 고딕"/>
        <family val="0"/>
        <charset val="1"/>
      </rPr>
      <t xml:space="preserve">. ②-1</t>
    </r>
    <r>
      <rPr>
        <sz val="10"/>
        <rFont val="Noto Sans CJK SC"/>
        <family val="2"/>
      </rPr>
      <t xml:space="preserve">과 동일 등급으로 제출</t>
    </r>
  </si>
  <si>
    <r>
      <rPr>
        <sz val="10"/>
        <rFont val="Noto Sans CJK SC"/>
        <family val="2"/>
      </rPr>
      <t xml:space="preserve">자체평가점수표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일반</t>
    </r>
    <r>
      <rPr>
        <sz val="10"/>
        <rFont val="맑은 고딕"/>
        <family val="0"/>
        <charset val="1"/>
      </rPr>
      <t xml:space="preserve">)_</t>
    </r>
    <r>
      <rPr>
        <sz val="10"/>
        <rFont val="Noto Sans CJK SC"/>
        <family val="2"/>
      </rPr>
      <t xml:space="preserve">근거기준</t>
    </r>
    <r>
      <rPr>
        <sz val="10"/>
        <rFont val="맑은 고딕"/>
        <family val="0"/>
        <charset val="1"/>
      </rPr>
      <t xml:space="preserve">.xlsx</t>
    </r>
  </si>
  <si>
    <t xml:space="preserve">⑥</t>
  </si>
  <si>
    <t xml:space="preserve">조견표</t>
  </si>
  <si>
    <r>
      <rPr>
        <sz val="10"/>
        <rFont val="맑은 고딕"/>
        <family val="0"/>
        <charset val="1"/>
      </rPr>
      <t xml:space="preserve">44</t>
    </r>
    <r>
      <rPr>
        <sz val="10"/>
        <rFont val="Noto Sans CJK SC"/>
        <family val="2"/>
      </rPr>
      <t xml:space="preserve">개 항목 </t>
    </r>
    <r>
      <rPr>
        <sz val="10"/>
        <rFont val="맑은 고딕"/>
        <family val="0"/>
        <charset val="1"/>
      </rPr>
      <t xml:space="preserve">× </t>
    </r>
    <r>
      <rPr>
        <sz val="10"/>
        <rFont val="Noto Sans CJK SC"/>
        <family val="2"/>
      </rPr>
      <t xml:space="preserve">수록 쪽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증명자료 매핑 완료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사진 삽입 후 쪽번호 재확인</t>
    </r>
  </si>
  <si>
    <r>
      <rPr>
        <sz val="10"/>
        <rFont val="맑은 고딕"/>
        <family val="0"/>
        <charset val="1"/>
      </rPr>
      <t xml:space="preserve">⑥_</t>
    </r>
    <r>
      <rPr>
        <sz val="10"/>
        <rFont val="Noto Sans CJK SC"/>
        <family val="2"/>
      </rPr>
      <t xml:space="preserve">조견표</t>
    </r>
    <r>
      <rPr>
        <sz val="10"/>
        <rFont val="맑은 고딕"/>
        <family val="0"/>
        <charset val="1"/>
      </rPr>
      <t xml:space="preserve">.docx</t>
    </r>
  </si>
  <si>
    <t xml:space="preserve">⑦</t>
  </si>
  <si>
    <t xml:space="preserve">신청기업 소개자료</t>
  </si>
  <si>
    <r>
      <rPr>
        <sz val="10"/>
        <rFont val="Noto Sans CJK SC"/>
        <family val="2"/>
      </rPr>
      <t xml:space="preserve">유재완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장윤진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마케팅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</si>
  <si>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⑦_</t>
    </r>
    <r>
      <rPr>
        <sz val="10"/>
        <rFont val="Noto Sans CJK SC"/>
        <family val="2"/>
      </rPr>
      <t xml:space="preserve">신청기업 소개자료</t>
    </r>
    <r>
      <rPr>
        <sz val="10"/>
        <rFont val="맑은 고딕"/>
        <family val="0"/>
        <charset val="1"/>
      </rPr>
      <t xml:space="preserve">.docx</t>
    </r>
  </si>
  <si>
    <r>
      <rPr>
        <sz val="10"/>
        <rFont val="Noto Sans CJK SC"/>
        <family val="2"/>
      </rPr>
      <t xml:space="preserve">작성일 공란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설립일 확인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상호 통일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오출고율 </t>
    </r>
    <r>
      <rPr>
        <sz val="10"/>
        <rFont val="맑은 고딕"/>
        <family val="0"/>
        <charset val="1"/>
      </rPr>
      <t xml:space="preserve">0.0001% </t>
    </r>
    <r>
      <rPr>
        <sz val="10"/>
        <rFont val="Noto Sans CJK SC"/>
        <family val="2"/>
      </rPr>
      <t xml:space="preserve">기준 확인</t>
    </r>
    <r>
      <rPr>
        <sz val="10"/>
        <rFont val="맑은 고딕"/>
        <family val="0"/>
        <charset val="1"/>
      </rPr>
      <t xml:space="preserve">(05</t>
    </r>
    <r>
      <rPr>
        <sz val="10"/>
        <rFont val="Noto Sans CJK SC"/>
        <family val="2"/>
      </rPr>
      <t xml:space="preserve">와 상충</t>
    </r>
    <r>
      <rPr>
        <sz val="10"/>
        <rFont val="맑은 고딕"/>
        <family val="0"/>
        <charset val="1"/>
      </rPr>
      <t xml:space="preserve">)</t>
    </r>
  </si>
  <si>
    <t xml:space="preserve">⑧</t>
  </si>
  <si>
    <t xml:space="preserve">신청대상 물류센터 소개자료</t>
  </si>
  <si>
    <r>
      <rPr>
        <sz val="10"/>
        <rFont val="맑은 고딕"/>
        <family val="0"/>
        <charset val="1"/>
      </rPr>
      <t xml:space="preserve">⑧_</t>
    </r>
    <r>
      <rPr>
        <sz val="10"/>
        <rFont val="Noto Sans CJK SC"/>
        <family val="2"/>
      </rPr>
      <t xml:space="preserve">신청대상 물류센터 소개자료</t>
    </r>
    <r>
      <rPr>
        <sz val="10"/>
        <rFont val="맑은 고딕"/>
        <family val="0"/>
        <charset val="1"/>
      </rPr>
      <t xml:space="preserve">.docx</t>
    </r>
  </si>
  <si>
    <r>
      <rPr>
        <sz val="10"/>
        <rFont val="Noto Sans CJK SC"/>
        <family val="2"/>
      </rPr>
      <t xml:space="preserve">사용승인일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인력 규모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출고 처리능력</t>
    </r>
    <r>
      <rPr>
        <sz val="10"/>
        <rFont val="맑은 고딕"/>
        <family val="0"/>
        <charset val="1"/>
      </rPr>
      <t xml:space="preserve">(35,000 </t>
    </r>
    <r>
      <rPr>
        <sz val="10"/>
        <rFont val="Noto Sans CJK SC"/>
        <family val="2"/>
      </rPr>
      <t xml:space="preserve">예시</t>
    </r>
    <r>
      <rPr>
        <sz val="10"/>
        <rFont val="맑은 고딕"/>
        <family val="0"/>
        <charset val="1"/>
      </rPr>
      <t xml:space="preserve">) </t>
    </r>
    <r>
      <rPr>
        <sz val="10"/>
        <rFont val="Noto Sans CJK SC"/>
        <family val="2"/>
      </rPr>
      <t xml:space="preserve">확정</t>
    </r>
  </si>
  <si>
    <t xml:space="preserve">⑨</t>
  </si>
  <si>
    <t xml:space="preserve">건축물대장 및 임대차계약서</t>
  </si>
  <si>
    <r>
      <rPr>
        <sz val="10"/>
        <rFont val="Noto Sans CJK SC"/>
        <family val="2"/>
      </rPr>
      <t xml:space="preserve">건축물대장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총괄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일반</t>
    </r>
    <r>
      <rPr>
        <sz val="10"/>
        <rFont val="맑은 고딕"/>
        <family val="0"/>
        <charset val="1"/>
      </rPr>
      <t xml:space="preserve">) </t>
    </r>
    <r>
      <rPr>
        <sz val="10"/>
        <rFont val="Noto Sans CJK SC"/>
        <family val="2"/>
      </rPr>
      <t xml:space="preserve">발급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임대차계약서 사본 확보 — 사용승인일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연면적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용도 확인의 근거</t>
    </r>
  </si>
  <si>
    <t xml:space="preserve">⑩</t>
  </si>
  <si>
    <t xml:space="preserve">중소기업 확인서</t>
  </si>
  <si>
    <r>
      <rPr>
        <sz val="10"/>
        <rFont val="Noto Sans CJK SC"/>
        <family val="2"/>
      </rPr>
      <t xml:space="preserve">공유 받은 서류</t>
    </r>
    <r>
      <rPr>
        <sz val="10"/>
        <rFont val="맑은 고딕"/>
        <family val="0"/>
        <charset val="1"/>
      </rPr>
      <t xml:space="preserve">/17 </t>
    </r>
    <r>
      <rPr>
        <sz val="10"/>
        <rFont val="Noto Sans CJK SC"/>
        <family val="2"/>
      </rPr>
      <t xml:space="preserve">중소기업 확인서</t>
    </r>
    <r>
      <rPr>
        <sz val="10"/>
        <rFont val="맑은 고딕"/>
        <family val="0"/>
        <charset val="1"/>
      </rPr>
      <t xml:space="preserve">.pdf</t>
    </r>
  </si>
  <si>
    <r>
      <rPr>
        <sz val="10"/>
        <rFont val="Noto Sans CJK SC"/>
        <family val="2"/>
      </rPr>
      <t xml:space="preserve">중기업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유효기간 </t>
    </r>
    <r>
      <rPr>
        <sz val="10"/>
        <rFont val="맑은 고딕"/>
        <family val="0"/>
        <charset val="1"/>
      </rPr>
      <t xml:space="preserve">2026.04.01~2027.03.31 — </t>
    </r>
    <r>
      <rPr>
        <sz val="10"/>
        <rFont val="Noto Sans CJK SC"/>
        <family val="2"/>
      </rPr>
      <t xml:space="preserve">수수료 면제 근거</t>
    </r>
  </si>
  <si>
    <t xml:space="preserve">⑪</t>
  </si>
  <si>
    <t xml:space="preserve">심사수수료 납부영수증</t>
  </si>
  <si>
    <r>
      <rPr>
        <sz val="10"/>
        <rFont val="Noto Sans CJK SC"/>
        <family val="2"/>
      </rPr>
      <t xml:space="preserve">중소기업 면제 대상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면제 시 영수증 대체 서류를 인증센터</t>
    </r>
    <r>
      <rPr>
        <sz val="10"/>
        <rFont val="맑은 고딕"/>
        <family val="0"/>
        <charset val="1"/>
      </rPr>
      <t xml:space="preserve">(044-211-3256)</t>
    </r>
    <r>
      <rPr>
        <sz val="10"/>
        <rFont val="Noto Sans CJK SC"/>
        <family val="2"/>
      </rPr>
      <t xml:space="preserve">에 확인</t>
    </r>
  </si>
  <si>
    <t xml:space="preserve">기타</t>
  </si>
  <si>
    <r>
      <rPr>
        <sz val="10"/>
        <rFont val="맑은 고딕"/>
        <family val="0"/>
        <charset val="1"/>
      </rPr>
      <t xml:space="preserve">USB </t>
    </r>
    <r>
      <rPr>
        <sz val="10"/>
        <rFont val="Noto Sans CJK SC"/>
        <family val="2"/>
      </rPr>
      <t xml:space="preserve">저장매체 </t>
    </r>
    <r>
      <rPr>
        <sz val="10"/>
        <rFont val="맑은 고딕"/>
        <family val="0"/>
        <charset val="1"/>
      </rPr>
      <t xml:space="preserve">/ </t>
    </r>
    <r>
      <rPr>
        <sz val="10"/>
        <rFont val="Noto Sans CJK SC"/>
        <family val="2"/>
      </rPr>
      <t xml:space="preserve">바인더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부</t>
    </r>
  </si>
  <si>
    <r>
      <rPr>
        <sz val="10"/>
        <rFont val="Noto Sans CJK SC"/>
        <family val="2"/>
      </rPr>
      <t xml:space="preserve">전 서류 원본 파일 </t>
    </r>
    <r>
      <rPr>
        <sz val="10"/>
        <rFont val="맑은 고딕"/>
        <family val="0"/>
        <charset val="1"/>
      </rPr>
      <t xml:space="preserve">USB </t>
    </r>
    <r>
      <rPr>
        <sz val="10"/>
        <rFont val="Noto Sans CJK SC"/>
        <family val="2"/>
      </rPr>
      <t xml:space="preserve">저장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바인더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책자</t>
    </r>
    <r>
      <rPr>
        <sz val="10"/>
        <rFont val="맑은 고딕"/>
        <family val="0"/>
        <charset val="1"/>
      </rPr>
      <t xml:space="preserve">) 1</t>
    </r>
    <r>
      <rPr>
        <sz val="10"/>
        <rFont val="Noto Sans CJK SC"/>
        <family val="2"/>
      </rPr>
      <t xml:space="preserve">부 제본</t>
    </r>
  </si>
  <si>
    <t xml:space="preserve">상태별 건수</t>
  </si>
  <si>
    <r>
      <rPr>
        <sz val="11"/>
        <rFont val="Noto Sans CJK SC"/>
        <family val="2"/>
      </rPr>
      <t xml:space="preserve">발급</t>
    </r>
    <r>
      <rPr>
        <sz val="11"/>
        <rFont val="맑은 고딕"/>
        <family val="0"/>
        <charset val="1"/>
      </rPr>
      <t xml:space="preserve">·</t>
    </r>
    <r>
      <rPr>
        <sz val="11"/>
        <rFont val="Noto Sans CJK SC"/>
        <family val="2"/>
      </rPr>
      <t xml:space="preserve">수집 필요</t>
    </r>
  </si>
  <si>
    <t xml:space="preserve">문서 간 불일치 및 확인 필요 사항</t>
  </si>
  <si>
    <t xml:space="preserve">#</t>
  </si>
  <si>
    <t xml:space="preserve">항목</t>
  </si>
  <si>
    <r>
      <rPr>
        <b val="true"/>
        <sz val="10"/>
        <color rgb="FFFFFFFF"/>
        <rFont val="Noto Sans CJK SC"/>
        <family val="2"/>
      </rPr>
      <t xml:space="preserve">문서 </t>
    </r>
    <r>
      <rPr>
        <b val="true"/>
        <sz val="10"/>
        <color rgb="FFFFFFFF"/>
        <rFont val="맑은 고딕"/>
        <family val="0"/>
        <charset val="1"/>
      </rPr>
      <t xml:space="preserve">A</t>
    </r>
  </si>
  <si>
    <r>
      <rPr>
        <b val="true"/>
        <sz val="10"/>
        <color rgb="FFFFFFFF"/>
        <rFont val="Noto Sans CJK SC"/>
        <family val="2"/>
      </rPr>
      <t xml:space="preserve">문서 </t>
    </r>
    <r>
      <rPr>
        <b val="true"/>
        <sz val="10"/>
        <color rgb="FFFFFFFF"/>
        <rFont val="맑은 고딕"/>
        <family val="0"/>
        <charset val="1"/>
      </rPr>
      <t xml:space="preserve">B / </t>
    </r>
    <r>
      <rPr>
        <b val="true"/>
        <sz val="10"/>
        <color rgb="FFFFFFFF"/>
        <rFont val="Noto Sans CJK SC"/>
        <family val="2"/>
      </rPr>
      <t xml:space="preserve">근거</t>
    </r>
  </si>
  <si>
    <t xml:space="preserve">조치</t>
  </si>
  <si>
    <t xml:space="preserve">중요도</t>
  </si>
  <si>
    <t xml:space="preserve">상호</t>
  </si>
  <si>
    <r>
      <rPr>
        <sz val="10"/>
        <rFont val="Noto Sans CJK SC"/>
        <family val="2"/>
      </rPr>
      <t xml:space="preserve">기존 초안 전체</t>
    </r>
    <r>
      <rPr>
        <sz val="10"/>
        <rFont val="맑은 고딕"/>
        <family val="0"/>
        <charset val="1"/>
      </rPr>
      <t xml:space="preserve">: (</t>
    </r>
    <r>
      <rPr>
        <sz val="10"/>
        <rFont val="Noto Sans CJK SC"/>
        <family val="2"/>
      </rPr>
      <t xml:space="preserve">주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트랙스로지스</t>
    </r>
  </si>
  <si>
    <r>
      <rPr>
        <sz val="10"/>
        <rFont val="Noto Sans CJK SC"/>
        <family val="2"/>
      </rPr>
      <t xml:space="preserve">법인등기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중소기업 확인서</t>
    </r>
    <r>
      <rPr>
        <sz val="10"/>
        <rFont val="맑은 고딕"/>
        <family val="0"/>
        <charset val="1"/>
      </rPr>
      <t xml:space="preserve">: </t>
    </r>
    <r>
      <rPr>
        <sz val="10"/>
        <rFont val="Noto Sans CJK SC"/>
        <family val="2"/>
      </rPr>
      <t xml:space="preserve">트랙스로지스코리아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주</t>
    </r>
    <r>
      <rPr>
        <sz val="10"/>
        <rFont val="맑은 고딕"/>
        <family val="0"/>
        <charset val="1"/>
      </rPr>
      <t xml:space="preserve">) / </t>
    </r>
    <r>
      <rPr>
        <sz val="10"/>
        <rFont val="Noto Sans CJK SC"/>
        <family val="2"/>
      </rPr>
      <t xml:space="preserve">창고업 등록증</t>
    </r>
    <r>
      <rPr>
        <sz val="10"/>
        <rFont val="맑은 고딕"/>
        <family val="0"/>
        <charset val="1"/>
      </rPr>
      <t xml:space="preserve">: </t>
    </r>
    <r>
      <rPr>
        <sz val="10"/>
        <rFont val="Noto Sans CJK SC"/>
        <family val="2"/>
      </rPr>
      <t xml:space="preserve">트렉스로지스코리아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주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</si>
  <si>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전 문서 </t>
    </r>
    <r>
      <rPr>
        <sz val="10"/>
        <rFont val="맑은 고딕"/>
        <family val="0"/>
        <charset val="1"/>
      </rPr>
      <t xml:space="preserve">"</t>
    </r>
    <r>
      <rPr>
        <sz val="10"/>
        <rFont val="Noto Sans CJK SC"/>
        <family val="2"/>
      </rPr>
      <t xml:space="preserve">트랙스로지스코리아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주</t>
    </r>
    <r>
      <rPr>
        <sz val="10"/>
        <rFont val="맑은 고딕"/>
        <family val="0"/>
        <charset val="1"/>
      </rPr>
      <t xml:space="preserve">)"</t>
    </r>
    <r>
      <rPr>
        <sz val="10"/>
        <rFont val="Noto Sans CJK SC"/>
        <family val="2"/>
      </rPr>
      <t xml:space="preserve">로 통일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창고업 등록증 오기는 중구청 정정 검토</t>
    </r>
  </si>
  <si>
    <t xml:space="preserve">높음</t>
  </si>
  <si>
    <t xml:space="preserve">대표자</t>
  </si>
  <si>
    <r>
      <rPr>
        <sz val="10"/>
        <rFont val="맑은 고딕"/>
        <family val="0"/>
        <charset val="1"/>
      </rPr>
      <t xml:space="preserve">④·⑦: </t>
    </r>
    <r>
      <rPr>
        <sz val="10"/>
        <rFont val="Noto Sans CJK SC"/>
        <family val="2"/>
      </rPr>
      <t xml:space="preserve">김양훈 단독 또는 공동대표 병기 미정</t>
    </r>
  </si>
  <si>
    <r>
      <rPr>
        <sz val="10"/>
        <rFont val="Noto Sans CJK SC"/>
        <family val="2"/>
      </rPr>
      <t xml:space="preserve">창고업 등록증</t>
    </r>
    <r>
      <rPr>
        <sz val="10"/>
        <rFont val="맑은 고딕"/>
        <family val="0"/>
        <charset val="1"/>
      </rPr>
      <t xml:space="preserve">: </t>
    </r>
    <r>
      <rPr>
        <sz val="10"/>
        <rFont val="Noto Sans CJK SC"/>
        <family val="2"/>
      </rPr>
      <t xml:space="preserve">김양훈 외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명 </t>
    </r>
    <r>
      <rPr>
        <sz val="10"/>
        <rFont val="맑은 고딕"/>
        <family val="0"/>
        <charset val="1"/>
      </rPr>
      <t xml:space="preserve">/ </t>
    </r>
    <r>
      <rPr>
        <sz val="10"/>
        <rFont val="Noto Sans CJK SC"/>
        <family val="2"/>
      </rPr>
      <t xml:space="preserve">확인서</t>
    </r>
    <r>
      <rPr>
        <sz val="10"/>
        <rFont val="맑은 고딕"/>
        <family val="0"/>
        <charset val="1"/>
      </rPr>
      <t xml:space="preserve">: </t>
    </r>
    <r>
      <rPr>
        <sz val="10"/>
        <rFont val="Noto Sans CJK SC"/>
        <family val="2"/>
      </rPr>
      <t xml:space="preserve">김양훈</t>
    </r>
  </si>
  <si>
    <r>
      <rPr>
        <sz val="10"/>
        <rFont val="Noto Sans CJK SC"/>
        <family val="2"/>
      </rPr>
      <t xml:space="preserve">등기상 대표 방식 확인 → 신청서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확인서 표기 통일</t>
    </r>
  </si>
  <si>
    <t xml:space="preserve">면적</t>
  </si>
  <si>
    <r>
      <rPr>
        <sz val="10"/>
        <rFont val="맑은 고딕"/>
        <family val="0"/>
        <charset val="1"/>
      </rPr>
      <t xml:space="preserve">05·⑧: 6</t>
    </r>
    <r>
      <rPr>
        <sz val="10"/>
        <rFont val="Noto Sans CJK SC"/>
        <family val="2"/>
      </rPr>
      <t xml:space="preserve">개 기능구역 합계 </t>
    </r>
    <r>
      <rPr>
        <sz val="10"/>
        <rFont val="맑은 고딕"/>
        <family val="0"/>
        <charset val="1"/>
      </rPr>
      <t xml:space="preserve">7,358.4</t>
    </r>
    <r>
      <rPr>
        <sz val="10"/>
        <rFont val="Noto Sans CJK SC"/>
        <family val="2"/>
      </rPr>
      <t xml:space="preserve">㎡</t>
    </r>
  </si>
  <si>
    <r>
      <rPr>
        <sz val="10"/>
        <rFont val="맑은 고딕"/>
        <family val="0"/>
        <charset val="1"/>
      </rPr>
      <t xml:space="preserve">Lay-out: </t>
    </r>
    <r>
      <rPr>
        <sz val="10"/>
        <rFont val="Noto Sans CJK SC"/>
        <family val="2"/>
      </rPr>
      <t xml:space="preserve">운영면적 </t>
    </r>
    <r>
      <rPr>
        <sz val="10"/>
        <rFont val="맑은 고딕"/>
        <family val="0"/>
        <charset val="1"/>
      </rPr>
      <t xml:space="preserve">2,845</t>
    </r>
    <r>
      <rPr>
        <sz val="10"/>
        <rFont val="Noto Sans CJK SC"/>
        <family val="2"/>
      </rPr>
      <t xml:space="preserve">평</t>
    </r>
    <r>
      <rPr>
        <sz val="10"/>
        <rFont val="맑은 고딕"/>
        <family val="0"/>
        <charset val="1"/>
      </rPr>
      <t xml:space="preserve">(≈9,405</t>
    </r>
    <r>
      <rPr>
        <sz val="10"/>
        <rFont val="Noto Sans CJK SC"/>
        <family val="2"/>
      </rPr>
      <t xml:space="preserve">㎡</t>
    </r>
    <r>
      <rPr>
        <sz val="10"/>
        <rFont val="맑은 고딕"/>
        <family val="0"/>
        <charset val="1"/>
      </rPr>
      <t xml:space="preserve">), </t>
    </r>
    <r>
      <rPr>
        <sz val="10"/>
        <rFont val="Noto Sans CJK SC"/>
        <family val="2"/>
      </rPr>
      <t xml:space="preserve">구역 합계 </t>
    </r>
    <r>
      <rPr>
        <sz val="10"/>
        <rFont val="맑은 고딕"/>
        <family val="0"/>
        <charset val="1"/>
      </rPr>
      <t xml:space="preserve">8,214</t>
    </r>
    <r>
      <rPr>
        <sz val="10"/>
        <rFont val="Noto Sans CJK SC"/>
        <family val="2"/>
      </rPr>
      <t xml:space="preserve">㎡ </t>
    </r>
    <r>
      <rPr>
        <sz val="10"/>
        <rFont val="맑은 고딕"/>
        <family val="0"/>
        <charset val="1"/>
      </rPr>
      <t xml:space="preserve">/ </t>
    </r>
    <r>
      <rPr>
        <sz val="10"/>
        <rFont val="Noto Sans CJK SC"/>
        <family val="2"/>
      </rPr>
      <t xml:space="preserve">창고업 등록증 보관시설 </t>
    </r>
    <r>
      <rPr>
        <sz val="10"/>
        <rFont val="맑은 고딕"/>
        <family val="0"/>
        <charset val="1"/>
      </rPr>
      <t xml:space="preserve">19,412.63</t>
    </r>
    <r>
      <rPr>
        <sz val="10"/>
        <rFont val="Noto Sans CJK SC"/>
        <family val="2"/>
      </rPr>
      <t xml:space="preserve">㎡</t>
    </r>
  </si>
  <si>
    <r>
      <rPr>
        <sz val="10"/>
        <rFont val="Noto Sans CJK SC"/>
        <family val="2"/>
      </rPr>
      <t xml:space="preserve">임대차계약서 면적 기준으로 확정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용어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임차면적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운영면적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기능구역 합계</t>
    </r>
    <r>
      <rPr>
        <sz val="10"/>
        <rFont val="맑은 고딕"/>
        <family val="0"/>
        <charset val="1"/>
      </rPr>
      <t xml:space="preserve">) </t>
    </r>
    <r>
      <rPr>
        <sz val="10"/>
        <rFont val="Noto Sans CJK SC"/>
        <family val="2"/>
      </rPr>
      <t xml:space="preserve">구분 표기</t>
    </r>
  </si>
  <si>
    <r>
      <rPr>
        <sz val="10"/>
        <rFont val="Noto Sans CJK SC"/>
        <family val="2"/>
      </rPr>
      <t xml:space="preserve">면적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검수</t>
    </r>
    <r>
      <rPr>
        <sz val="10"/>
        <rFont val="맑은 고딕"/>
        <family val="0"/>
        <charset val="1"/>
      </rPr>
      <t xml:space="preserve">+</t>
    </r>
    <r>
      <rPr>
        <sz val="10"/>
        <rFont val="Noto Sans CJK SC"/>
        <family val="2"/>
      </rPr>
      <t xml:space="preserve">맵핑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</si>
  <si>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05·02: </t>
    </r>
    <r>
      <rPr>
        <sz val="10"/>
        <rFont val="Noto Sans CJK SC"/>
        <family val="2"/>
      </rPr>
      <t xml:space="preserve">해당 구역 없음</t>
    </r>
  </si>
  <si>
    <r>
      <rPr>
        <sz val="10"/>
        <rFont val="맑은 고딕"/>
        <family val="0"/>
        <charset val="1"/>
      </rPr>
      <t xml:space="preserve">Lay-out 3p: </t>
    </r>
    <r>
      <rPr>
        <sz val="10"/>
        <rFont val="Noto Sans CJK SC"/>
        <family val="2"/>
      </rPr>
      <t xml:space="preserve">검수</t>
    </r>
    <r>
      <rPr>
        <sz val="10"/>
        <rFont val="맑은 고딕"/>
        <family val="0"/>
        <charset val="1"/>
      </rPr>
      <t xml:space="preserve">+</t>
    </r>
    <r>
      <rPr>
        <sz val="10"/>
        <rFont val="Noto Sans CJK SC"/>
        <family val="2"/>
      </rPr>
      <t xml:space="preserve">맵핑 </t>
    </r>
    <r>
      <rPr>
        <sz val="10"/>
        <rFont val="맑은 고딕"/>
        <family val="0"/>
        <charset val="1"/>
      </rPr>
      <t xml:space="preserve">877.5</t>
    </r>
    <r>
      <rPr>
        <sz val="10"/>
        <rFont val="Noto Sans CJK SC"/>
        <family val="2"/>
      </rPr>
      <t xml:space="preserve">㎡</t>
    </r>
  </si>
  <si>
    <r>
      <rPr>
        <sz val="10"/>
        <rFont val="Noto Sans CJK SC"/>
        <family val="2"/>
      </rPr>
      <t xml:space="preserve">분야 배정 결정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검품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포장 또는 상차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출고</t>
    </r>
    <r>
      <rPr>
        <sz val="10"/>
        <rFont val="맑은 고딕"/>
        <family val="0"/>
        <charset val="1"/>
      </rPr>
      <t xml:space="preserve">)</t>
    </r>
  </si>
  <si>
    <t xml:space="preserve">중간</t>
  </si>
  <si>
    <t xml:space="preserve">피킹 면적</t>
  </si>
  <si>
    <r>
      <rPr>
        <sz val="10"/>
        <rFont val="맑은 고딕"/>
        <family val="0"/>
        <charset val="1"/>
      </rPr>
      <t xml:space="preserve">02·05: 500</t>
    </r>
    <r>
      <rPr>
        <sz val="10"/>
        <rFont val="Noto Sans CJK SC"/>
        <family val="2"/>
      </rPr>
      <t xml:space="preserve">㎡</t>
    </r>
  </si>
  <si>
    <r>
      <rPr>
        <sz val="10"/>
        <rFont val="맑은 고딕"/>
        <family val="0"/>
        <charset val="1"/>
      </rPr>
      <t xml:space="preserve">Lay-out: 292.5 + 185.625 = 478.1</t>
    </r>
    <r>
      <rPr>
        <sz val="10"/>
        <rFont val="Noto Sans CJK SC"/>
        <family val="2"/>
      </rPr>
      <t xml:space="preserve">㎡</t>
    </r>
  </si>
  <si>
    <r>
      <rPr>
        <sz val="10"/>
        <rFont val="맑은 고딕"/>
        <family val="0"/>
        <charset val="1"/>
      </rPr>
      <t xml:space="preserve">Lay-out </t>
    </r>
    <r>
      <rPr>
        <sz val="10"/>
        <rFont val="Noto Sans CJK SC"/>
        <family val="2"/>
      </rPr>
      <t xml:space="preserve">값으로 통일</t>
    </r>
    <r>
      <rPr>
        <sz val="10"/>
        <rFont val="맑은 고딕"/>
        <family val="0"/>
        <charset val="1"/>
      </rPr>
      <t xml:space="preserve">(02 </t>
    </r>
    <r>
      <rPr>
        <sz val="10"/>
        <rFont val="Noto Sans CJK SC"/>
        <family val="2"/>
      </rPr>
      <t xml:space="preserve">완성본은 </t>
    </r>
    <r>
      <rPr>
        <sz val="10"/>
        <rFont val="맑은 고딕"/>
        <family val="0"/>
        <charset val="1"/>
      </rPr>
      <t xml:space="preserve">478.1</t>
    </r>
    <r>
      <rPr>
        <sz val="10"/>
        <rFont val="Noto Sans CJK SC"/>
        <family val="2"/>
      </rPr>
      <t xml:space="preserve">㎡ 적용</t>
    </r>
    <r>
      <rPr>
        <sz val="10"/>
        <rFont val="맑은 고딕"/>
        <family val="0"/>
        <charset val="1"/>
      </rPr>
      <t xml:space="preserve">)</t>
    </r>
  </si>
  <si>
    <t xml:space="preserve">낮음</t>
  </si>
  <si>
    <r>
      <rPr>
        <sz val="10"/>
        <rFont val="맑은 고딕"/>
        <family val="0"/>
        <charset val="1"/>
      </rPr>
      <t xml:space="preserve">DWS </t>
    </r>
    <r>
      <rPr>
        <sz val="10"/>
        <rFont val="Noto Sans CJK SC"/>
        <family val="2"/>
      </rPr>
      <t xml:space="preserve">수량</t>
    </r>
  </si>
  <si>
    <r>
      <rPr>
        <sz val="10"/>
        <rFont val="맑은 고딕"/>
        <family val="0"/>
        <charset val="1"/>
      </rPr>
      <t xml:space="preserve">04: </t>
    </r>
    <r>
      <rPr>
        <sz val="10"/>
        <rFont val="Noto Sans CJK SC"/>
        <family val="2"/>
      </rPr>
      <t xml:space="preserve">휴대용 </t>
    </r>
    <r>
      <rPr>
        <sz val="10"/>
        <rFont val="맑은 고딕"/>
        <family val="0"/>
        <charset val="1"/>
      </rPr>
      <t xml:space="preserve">DWS 6</t>
    </r>
    <r>
      <rPr>
        <sz val="10"/>
        <rFont val="Noto Sans CJK SC"/>
        <family val="2"/>
      </rPr>
      <t xml:space="preserve">대</t>
    </r>
  </si>
  <si>
    <r>
      <rPr>
        <sz val="10"/>
        <rFont val="맑은 고딕"/>
        <family val="0"/>
        <charset val="1"/>
      </rPr>
      <t xml:space="preserve">02·05: DWS 2</t>
    </r>
    <r>
      <rPr>
        <sz val="10"/>
        <rFont val="Noto Sans CJK SC"/>
        <family val="2"/>
      </rPr>
      <t xml:space="preserve">대 </t>
    </r>
    <r>
      <rPr>
        <sz val="10"/>
        <rFont val="맑은 고딕"/>
        <family val="0"/>
        <charset val="1"/>
      </rPr>
      <t xml:space="preserve">/ 07: </t>
    </r>
    <r>
      <rPr>
        <sz val="10"/>
        <rFont val="Noto Sans CJK SC"/>
        <family val="2"/>
      </rPr>
      <t xml:space="preserve">입고용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대 </t>
    </r>
    <r>
      <rPr>
        <sz val="10"/>
        <rFont val="맑은 고딕"/>
        <family val="0"/>
        <charset val="1"/>
      </rPr>
      <t xml:space="preserve">+ </t>
    </r>
    <r>
      <rPr>
        <sz val="10"/>
        <rFont val="Noto Sans CJK SC"/>
        <family val="2"/>
      </rPr>
      <t xml:space="preserve">수동 </t>
    </r>
    <r>
      <rPr>
        <sz val="10"/>
        <rFont val="맑은 고딕"/>
        <family val="0"/>
        <charset val="1"/>
      </rPr>
      <t xml:space="preserve">DWS</t>
    </r>
  </si>
  <si>
    <r>
      <rPr>
        <sz val="10"/>
        <rFont val="Noto Sans CJK SC"/>
        <family val="2"/>
      </rPr>
      <t xml:space="preserve">설비 대장 기준 종류별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휴대용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컨베이어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수동</t>
    </r>
    <r>
      <rPr>
        <sz val="10"/>
        <rFont val="맑은 고딕"/>
        <family val="0"/>
        <charset val="1"/>
      </rPr>
      <t xml:space="preserve">) </t>
    </r>
    <r>
      <rPr>
        <sz val="10"/>
        <rFont val="Noto Sans CJK SC"/>
        <family val="2"/>
      </rPr>
      <t xml:space="preserve">수량 확정</t>
    </r>
  </si>
  <si>
    <r>
      <rPr>
        <sz val="10"/>
        <rFont val="맑은 고딕"/>
        <family val="0"/>
        <charset val="1"/>
      </rPr>
      <t xml:space="preserve">PDA </t>
    </r>
    <r>
      <rPr>
        <sz val="10"/>
        <rFont val="Noto Sans CJK SC"/>
        <family val="2"/>
      </rPr>
      <t xml:space="preserve">수량</t>
    </r>
  </si>
  <si>
    <r>
      <rPr>
        <sz val="10"/>
        <rFont val="맑은 고딕"/>
        <family val="0"/>
        <charset val="1"/>
      </rPr>
      <t xml:space="preserve">04 </t>
    </r>
    <r>
      <rPr>
        <sz val="10"/>
        <rFont val="Noto Sans CJK SC"/>
        <family val="2"/>
      </rPr>
      <t xml:space="preserve">개요표</t>
    </r>
    <r>
      <rPr>
        <sz val="10"/>
        <rFont val="맑은 고딕"/>
        <family val="0"/>
        <charset val="1"/>
      </rPr>
      <t xml:space="preserve">: [ ]</t>
    </r>
    <r>
      <rPr>
        <sz val="10"/>
        <rFont val="Noto Sans CJK SC"/>
        <family val="2"/>
      </rPr>
      <t xml:space="preserve">대</t>
    </r>
  </si>
  <si>
    <r>
      <rPr>
        <sz val="10"/>
        <rFont val="맑은 고딕"/>
        <family val="0"/>
        <charset val="1"/>
      </rPr>
      <t xml:space="preserve">04 </t>
    </r>
    <r>
      <rPr>
        <sz val="10"/>
        <rFont val="Noto Sans CJK SC"/>
        <family val="2"/>
      </rPr>
      <t xml:space="preserve">상세</t>
    </r>
    <r>
      <rPr>
        <sz val="10"/>
        <rFont val="맑은 고딕"/>
        <family val="0"/>
        <charset val="1"/>
      </rPr>
      <t xml:space="preserve">·02·05: 35</t>
    </r>
    <r>
      <rPr>
        <sz val="10"/>
        <rFont val="Noto Sans CJK SC"/>
        <family val="2"/>
      </rPr>
      <t xml:space="preserve">대</t>
    </r>
  </si>
  <si>
    <r>
      <rPr>
        <sz val="10"/>
        <rFont val="맑은 고딕"/>
        <family val="0"/>
        <charset val="1"/>
      </rPr>
      <t xml:space="preserve">35</t>
    </r>
    <r>
      <rPr>
        <sz val="10"/>
        <rFont val="Noto Sans CJK SC"/>
        <family val="2"/>
      </rPr>
      <t xml:space="preserve">대로 기재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확인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</si>
  <si>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도크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도크레벨러</t>
    </r>
  </si>
  <si>
    <r>
      <rPr>
        <sz val="10"/>
        <rFont val="맑은 고딕"/>
        <family val="0"/>
        <charset val="1"/>
      </rPr>
      <t xml:space="preserve">02·05: </t>
    </r>
    <r>
      <rPr>
        <sz val="10"/>
        <rFont val="Noto Sans CJK SC"/>
        <family val="2"/>
      </rPr>
      <t xml:space="preserve">도크레벨러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개소</t>
    </r>
  </si>
  <si>
    <r>
      <rPr>
        <sz val="10"/>
        <rFont val="맑은 고딕"/>
        <family val="0"/>
        <charset val="1"/>
      </rPr>
      <t xml:space="preserve">Lay-out: </t>
    </r>
    <r>
      <rPr>
        <sz val="10"/>
        <rFont val="Noto Sans CJK SC"/>
        <family val="2"/>
      </rPr>
      <t xml:space="preserve">도크레벨러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곳 </t>
    </r>
    <r>
      <rPr>
        <sz val="10"/>
        <rFont val="맑은 고딕"/>
        <family val="0"/>
        <charset val="1"/>
      </rPr>
      <t xml:space="preserve">/ ⑧: </t>
    </r>
    <r>
      <rPr>
        <sz val="10"/>
        <rFont val="Noto Sans CJK SC"/>
        <family val="2"/>
      </rPr>
      <t xml:space="preserve">입고 </t>
    </r>
    <r>
      <rPr>
        <sz val="10"/>
        <rFont val="맑은 고딕"/>
        <family val="0"/>
        <charset val="1"/>
      </rPr>
      <t xml:space="preserve">2 + </t>
    </r>
    <r>
      <rPr>
        <sz val="10"/>
        <rFont val="Noto Sans CJK SC"/>
        <family val="2"/>
      </rPr>
      <t xml:space="preserve">상차 </t>
    </r>
    <r>
      <rPr>
        <sz val="10"/>
        <rFont val="맑은 고딕"/>
        <family val="0"/>
        <charset val="1"/>
      </rPr>
      <t xml:space="preserve">2 </t>
    </r>
    <r>
      <rPr>
        <sz val="10"/>
        <rFont val="Noto Sans CJK SC"/>
        <family val="2"/>
      </rPr>
      <t xml:space="preserve">도크</t>
    </r>
  </si>
  <si>
    <t xml:space="preserve">현장 확인 후 통일</t>
  </si>
  <si>
    <t xml:space="preserve">출고 처리능력</t>
  </si>
  <si>
    <r>
      <rPr>
        <sz val="10"/>
        <rFont val="맑은 고딕"/>
        <family val="0"/>
        <charset val="1"/>
      </rPr>
      <t xml:space="preserve">05·02: </t>
    </r>
    <r>
      <rPr>
        <sz val="10"/>
        <rFont val="Noto Sans CJK SC"/>
        <family val="2"/>
      </rPr>
      <t xml:space="preserve">일 최대 </t>
    </r>
    <r>
      <rPr>
        <sz val="10"/>
        <rFont val="맑은 고딕"/>
        <family val="0"/>
        <charset val="1"/>
      </rPr>
      <t xml:space="preserve">30,000</t>
    </r>
    <r>
      <rPr>
        <sz val="10"/>
        <rFont val="Noto Sans CJK SC"/>
        <family val="2"/>
      </rPr>
      <t xml:space="preserve">박스</t>
    </r>
  </si>
  <si>
    <r>
      <rPr>
        <sz val="10"/>
        <rFont val="맑은 고딕"/>
        <family val="0"/>
        <charset val="1"/>
      </rPr>
      <t xml:space="preserve">⑧: </t>
    </r>
    <r>
      <rPr>
        <sz val="10"/>
        <rFont val="Noto Sans CJK SC"/>
        <family val="2"/>
      </rPr>
      <t xml:space="preserve">일 최대 </t>
    </r>
    <r>
      <rPr>
        <sz val="10"/>
        <rFont val="맑은 고딕"/>
        <family val="0"/>
        <charset val="1"/>
      </rPr>
      <t xml:space="preserve">35,000</t>
    </r>
    <r>
      <rPr>
        <sz val="10"/>
        <rFont val="Noto Sans CJK SC"/>
        <family val="2"/>
      </rPr>
      <t xml:space="preserve">박스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예시</t>
    </r>
    <r>
      <rPr>
        <sz val="10"/>
        <rFont val="맑은 고딕"/>
        <family val="0"/>
        <charset val="1"/>
      </rPr>
      <t xml:space="preserve">)</t>
    </r>
  </si>
  <si>
    <t xml:space="preserve">확정값으로 통일</t>
  </si>
  <si>
    <t xml:space="preserve">성과 실적</t>
  </si>
  <si>
    <r>
      <rPr>
        <sz val="10"/>
        <rFont val="맑은 고딕"/>
        <family val="0"/>
        <charset val="1"/>
      </rPr>
      <t xml:space="preserve">05 3.2: 2023~2025 </t>
    </r>
    <r>
      <rPr>
        <sz val="10"/>
        <rFont val="Noto Sans CJK SC"/>
        <family val="2"/>
      </rPr>
      <t xml:space="preserve">오출고율</t>
    </r>
    <r>
      <rPr>
        <sz val="10"/>
        <rFont val="맑은 고딕"/>
        <family val="0"/>
        <charset val="1"/>
      </rPr>
      <t xml:space="preserve">·UPH·</t>
    </r>
    <r>
      <rPr>
        <sz val="10"/>
        <rFont val="Noto Sans CJK SC"/>
        <family val="2"/>
      </rPr>
      <t xml:space="preserve">절감률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친환경 포장률 </t>
    </r>
    <r>
      <rPr>
        <sz val="10"/>
        <rFont val="맑은 고딕"/>
        <family val="0"/>
        <charset val="1"/>
      </rPr>
      <t xml:space="preserve">"</t>
    </r>
    <r>
      <rPr>
        <sz val="10"/>
        <rFont val="Noto Sans CJK SC"/>
        <family val="2"/>
      </rPr>
      <t xml:space="preserve">예시</t>
    </r>
    <r>
      <rPr>
        <sz val="10"/>
        <rFont val="맑은 고딕"/>
        <family val="0"/>
        <charset val="1"/>
      </rPr>
      <t xml:space="preserve">"</t>
    </r>
  </si>
  <si>
    <t xml:space="preserve">실제 결산 자료 없음</t>
  </si>
  <si>
    <r>
      <rPr>
        <sz val="10"/>
        <rFont val="Noto Sans CJK SC"/>
        <family val="2"/>
      </rPr>
      <t xml:space="preserve">실적 확보 필수 — 없으면 </t>
    </r>
    <r>
      <rPr>
        <sz val="10"/>
        <rFont val="맑은 고딕"/>
        <family val="0"/>
        <charset val="1"/>
      </rPr>
      <t xml:space="preserve">2.2 </t>
    </r>
    <r>
      <rPr>
        <sz val="10"/>
        <rFont val="Noto Sans CJK SC"/>
        <family val="2"/>
      </rPr>
      <t xml:space="preserve">성과관리 등급 하락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허위기재 시 인증 취소 사유</t>
    </r>
    <r>
      <rPr>
        <sz val="10"/>
        <rFont val="맑은 고딕"/>
        <family val="0"/>
        <charset val="1"/>
      </rPr>
      <t xml:space="preserve">)</t>
    </r>
  </si>
  <si>
    <t xml:space="preserve">오출고율</t>
  </si>
  <si>
    <r>
      <rPr>
        <sz val="10"/>
        <rFont val="맑은 고딕"/>
        <family val="0"/>
        <charset val="1"/>
      </rPr>
      <t xml:space="preserve">05(</t>
    </r>
    <r>
      <rPr>
        <sz val="10"/>
        <rFont val="Noto Sans CJK SC"/>
        <family val="2"/>
      </rPr>
      <t xml:space="preserve">예시</t>
    </r>
    <r>
      <rPr>
        <sz val="10"/>
        <rFont val="맑은 고딕"/>
        <family val="0"/>
        <charset val="1"/>
      </rPr>
      <t xml:space="preserve">): 0.15%(2025)</t>
    </r>
  </si>
  <si>
    <r>
      <rPr>
        <sz val="10"/>
        <rFont val="Noto Sans CJK SC"/>
        <family val="2"/>
      </rPr>
      <t xml:space="preserve">⑦ 회사소개서</t>
    </r>
    <r>
      <rPr>
        <sz val="10"/>
        <rFont val="맑은 고딕"/>
        <family val="0"/>
        <charset val="1"/>
      </rPr>
      <t xml:space="preserve">: 0.0001%</t>
    </r>
  </si>
  <si>
    <r>
      <rPr>
        <sz val="10"/>
        <rFont val="Noto Sans CJK SC"/>
        <family val="2"/>
      </rPr>
      <t xml:space="preserve">산식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범위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전사</t>
    </r>
    <r>
      <rPr>
        <sz val="10"/>
        <rFont val="맑은 고딕"/>
        <family val="0"/>
        <charset val="1"/>
      </rPr>
      <t xml:space="preserve">/</t>
    </r>
    <r>
      <rPr>
        <sz val="10"/>
        <rFont val="Noto Sans CJK SC"/>
        <family val="2"/>
      </rPr>
      <t xml:space="preserve">영종센터</t>
    </r>
    <r>
      <rPr>
        <sz val="10"/>
        <rFont val="맑은 고딕"/>
        <family val="0"/>
        <charset val="1"/>
      </rPr>
      <t xml:space="preserve">) </t>
    </r>
    <r>
      <rPr>
        <sz val="10"/>
        <rFont val="Noto Sans CJK SC"/>
        <family val="2"/>
      </rPr>
      <t xml:space="preserve">정의 후 한 값으로 통일</t>
    </r>
  </si>
  <si>
    <t xml:space="preserve">시스템 목표치</t>
  </si>
  <si>
    <r>
      <rPr>
        <sz val="10"/>
        <rFont val="맑은 고딕"/>
        <family val="0"/>
        <charset val="1"/>
      </rPr>
      <t xml:space="preserve">05 4.3: </t>
    </r>
    <r>
      <rPr>
        <sz val="10"/>
        <rFont val="Noto Sans CJK SC"/>
        <family val="2"/>
      </rPr>
      <t xml:space="preserve">가동률 </t>
    </r>
    <r>
      <rPr>
        <sz val="10"/>
        <rFont val="맑은 고딕"/>
        <family val="0"/>
        <charset val="1"/>
      </rPr>
      <t xml:space="preserve">99.9%, RTO 30</t>
    </r>
    <r>
      <rPr>
        <sz val="10"/>
        <rFont val="Noto Sans CJK SC"/>
        <family val="2"/>
      </rPr>
      <t xml:space="preserve">분</t>
    </r>
    <r>
      <rPr>
        <sz val="10"/>
        <rFont val="맑은 고딕"/>
        <family val="0"/>
        <charset val="1"/>
      </rPr>
      <t xml:space="preserve">, RPO 5</t>
    </r>
    <r>
      <rPr>
        <sz val="10"/>
        <rFont val="Noto Sans CJK SC"/>
        <family val="2"/>
      </rPr>
      <t xml:space="preserve">분 </t>
    </r>
    <r>
      <rPr>
        <sz val="10"/>
        <rFont val="맑은 고딕"/>
        <family val="0"/>
        <charset val="1"/>
      </rPr>
      <t xml:space="preserve">"</t>
    </r>
    <r>
      <rPr>
        <sz val="10"/>
        <rFont val="Noto Sans CJK SC"/>
        <family val="2"/>
      </rPr>
      <t xml:space="preserve">예시</t>
    </r>
    <r>
      <rPr>
        <sz val="10"/>
        <rFont val="맑은 고딕"/>
        <family val="0"/>
        <charset val="1"/>
      </rPr>
      <t xml:space="preserve">"</t>
    </r>
  </si>
  <si>
    <t xml:space="preserve">운영 실적 없음</t>
  </si>
  <si>
    <r>
      <rPr>
        <sz val="10"/>
        <rFont val="Noto Sans CJK SC"/>
        <family val="2"/>
      </rPr>
      <t xml:space="preserve">실측값 또는 </t>
    </r>
    <r>
      <rPr>
        <sz val="10"/>
        <rFont val="맑은 고딕"/>
        <family val="0"/>
        <charset val="1"/>
      </rPr>
      <t xml:space="preserve">"</t>
    </r>
    <r>
      <rPr>
        <sz val="10"/>
        <rFont val="Noto Sans CJK SC"/>
        <family val="2"/>
      </rPr>
      <t xml:space="preserve">목표</t>
    </r>
    <r>
      <rPr>
        <sz val="10"/>
        <rFont val="맑은 고딕"/>
        <family val="0"/>
        <charset val="1"/>
      </rPr>
      <t xml:space="preserve">"</t>
    </r>
    <r>
      <rPr>
        <sz val="10"/>
        <rFont val="Noto Sans CJK SC"/>
        <family val="2"/>
      </rPr>
      <t xml:space="preserve">로 명시</t>
    </r>
  </si>
  <si>
    <r>
      <rPr>
        <sz val="10"/>
        <rFont val="맑은 고딕"/>
        <family val="0"/>
        <charset val="1"/>
      </rPr>
      <t xml:space="preserve">PTL </t>
    </r>
    <r>
      <rPr>
        <sz val="10"/>
        <rFont val="Noto Sans CJK SC"/>
        <family val="2"/>
      </rPr>
      <t xml:space="preserve">용어</t>
    </r>
  </si>
  <si>
    <t xml:space="preserve">04: Put-to-Light</t>
  </si>
  <si>
    <t xml:space="preserve">07: Pick to Light</t>
  </si>
  <si>
    <r>
      <rPr>
        <sz val="10"/>
        <rFont val="Noto Sans CJK SC"/>
        <family val="2"/>
      </rPr>
      <t xml:space="preserve">운영 방식에 맞게 통일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합포장 분류 </t>
    </r>
    <r>
      <rPr>
        <sz val="10"/>
        <rFont val="맑은 고딕"/>
        <family val="0"/>
        <charset val="1"/>
      </rPr>
      <t xml:space="preserve">= Put-to-Light)</t>
    </r>
  </si>
  <si>
    <r>
      <rPr>
        <sz val="10"/>
        <rFont val="맑은 고딕"/>
        <family val="0"/>
        <charset val="1"/>
      </rPr>
      <t xml:space="preserve">3D </t>
    </r>
    <r>
      <rPr>
        <sz val="10"/>
        <rFont val="Noto Sans CJK SC"/>
        <family val="2"/>
      </rPr>
      <t xml:space="preserve">소터 효과</t>
    </r>
  </si>
  <si>
    <r>
      <rPr>
        <sz val="10"/>
        <rFont val="맑은 고딕"/>
        <family val="0"/>
        <charset val="1"/>
      </rPr>
      <t xml:space="preserve">04: "</t>
    </r>
    <r>
      <rPr>
        <sz val="10"/>
        <rFont val="Noto Sans CJK SC"/>
        <family val="2"/>
      </rPr>
      <t xml:space="preserve">오분류율 </t>
    </r>
    <r>
      <rPr>
        <sz val="10"/>
        <rFont val="맑은 고딕"/>
        <family val="0"/>
        <charset val="1"/>
      </rPr>
      <t xml:space="preserve">0% </t>
    </r>
    <r>
      <rPr>
        <sz val="10"/>
        <rFont val="Noto Sans CJK SC"/>
        <family val="2"/>
      </rPr>
      <t xml:space="preserve">달성</t>
    </r>
    <r>
      <rPr>
        <sz val="10"/>
        <rFont val="맑은 고딕"/>
        <family val="0"/>
        <charset val="1"/>
      </rPr>
      <t xml:space="preserve">"</t>
    </r>
  </si>
  <si>
    <t xml:space="preserve">근거 데이터 없음</t>
  </si>
  <si>
    <t xml:space="preserve">데이터 첨부 또는 표현 완화</t>
  </si>
  <si>
    <t xml:space="preserve">작성일</t>
  </si>
  <si>
    <r>
      <rPr>
        <sz val="10"/>
        <rFont val="맑은 고딕"/>
        <family val="0"/>
        <charset val="1"/>
      </rPr>
      <t xml:space="preserve">01·03·06·07·08·⑦·⑧·④: </t>
    </r>
    <r>
      <rPr>
        <sz val="10"/>
        <rFont val="Noto Sans CJK SC"/>
        <family val="2"/>
      </rPr>
      <t xml:space="preserve">공란</t>
    </r>
  </si>
  <si>
    <r>
      <rPr>
        <sz val="10"/>
        <rFont val="맑은 고딕"/>
        <family val="0"/>
        <charset val="1"/>
      </rPr>
      <t xml:space="preserve">04·05: 2026</t>
    </r>
    <r>
      <rPr>
        <sz val="10"/>
        <rFont val="Noto Sans CJK SC"/>
        <family val="2"/>
      </rPr>
      <t xml:space="preserve">년 </t>
    </r>
    <r>
      <rPr>
        <sz val="10"/>
        <rFont val="맑은 고딕"/>
        <family val="0"/>
        <charset val="1"/>
      </rPr>
      <t xml:space="preserve">8</t>
    </r>
    <r>
      <rPr>
        <sz val="10"/>
        <rFont val="Noto Sans CJK SC"/>
        <family val="2"/>
      </rPr>
      <t xml:space="preserve">월 </t>
    </r>
    <r>
      <rPr>
        <sz val="10"/>
        <rFont val="맑은 고딕"/>
        <family val="0"/>
        <charset val="1"/>
      </rPr>
      <t xml:space="preserve">10</t>
    </r>
    <r>
      <rPr>
        <sz val="10"/>
        <rFont val="Noto Sans CJK SC"/>
        <family val="2"/>
      </rPr>
      <t xml:space="preserve">일</t>
    </r>
  </si>
  <si>
    <r>
      <rPr>
        <sz val="10"/>
        <rFont val="Noto Sans CJK SC"/>
        <family val="2"/>
      </rPr>
      <t xml:space="preserve">모든 서류 기준일자 통일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공고문</t>
    </r>
    <r>
      <rPr>
        <sz val="10"/>
        <rFont val="맑은 고딕"/>
        <family val="0"/>
        <charset val="1"/>
      </rPr>
      <t xml:space="preserve">: </t>
    </r>
    <r>
      <rPr>
        <sz val="10"/>
        <rFont val="Noto Sans CJK SC"/>
        <family val="2"/>
      </rPr>
      <t xml:space="preserve">기준일자 제시 필수</t>
    </r>
    <r>
      <rPr>
        <sz val="10"/>
        <rFont val="맑은 고딕"/>
        <family val="0"/>
        <charset val="1"/>
      </rPr>
      <t xml:space="preserve">)</t>
    </r>
  </si>
  <si>
    <t xml:space="preserve">인증기관 명칭</t>
  </si>
  <si>
    <r>
      <rPr>
        <sz val="10"/>
        <rFont val="Noto Sans CJK SC"/>
        <family val="2"/>
      </rPr>
      <t xml:space="preserve">작성 서류</t>
    </r>
    <r>
      <rPr>
        <sz val="10"/>
        <rFont val="맑은 고딕"/>
        <family val="0"/>
        <charset val="1"/>
      </rPr>
      <t xml:space="preserve">(yjw91)/1_</t>
    </r>
    <r>
      <rPr>
        <sz val="10"/>
        <rFont val="Noto Sans CJK SC"/>
        <family val="2"/>
      </rPr>
      <t xml:space="preserve">물류정보시스템 기술서 </t>
    </r>
    <r>
      <rPr>
        <sz val="10"/>
        <rFont val="맑은 고딕"/>
        <family val="0"/>
        <charset val="1"/>
      </rPr>
      <t xml:space="preserve">1.3: "</t>
    </r>
    <r>
      <rPr>
        <sz val="10"/>
        <rFont val="Noto Sans CJK SC"/>
        <family val="2"/>
      </rPr>
      <t xml:space="preserve">한국통합물류협회 인증 공고</t>
    </r>
    <r>
      <rPr>
        <sz val="10"/>
        <rFont val="맑은 고딕"/>
        <family val="0"/>
        <charset val="1"/>
      </rPr>
      <t xml:space="preserve">"</t>
    </r>
  </si>
  <si>
    <r>
      <rPr>
        <sz val="10"/>
        <rFont val="Noto Sans CJK SC"/>
        <family val="2"/>
      </rPr>
      <t xml:space="preserve">인증기관</t>
    </r>
    <r>
      <rPr>
        <sz val="10"/>
        <rFont val="맑은 고딕"/>
        <family val="0"/>
        <charset val="1"/>
      </rPr>
      <t xml:space="preserve">: </t>
    </r>
    <r>
      <rPr>
        <sz val="10"/>
        <rFont val="Noto Sans CJK SC"/>
        <family val="2"/>
      </rPr>
      <t xml:space="preserve">한국교통연구원 스마트물류시설인증센터</t>
    </r>
  </si>
  <si>
    <t xml:space="preserve">해당 원고를 재사용할 경우 수정</t>
  </si>
  <si>
    <t xml:space="preserve">사용승인일</t>
  </si>
  <si>
    <r>
      <rPr>
        <sz val="10"/>
        <rFont val="맑은 고딕"/>
        <family val="0"/>
        <charset val="1"/>
      </rPr>
      <t xml:space="preserve">⑧: 2021</t>
    </r>
    <r>
      <rPr>
        <sz val="10"/>
        <rFont val="Noto Sans CJK SC"/>
        <family val="2"/>
      </rPr>
      <t xml:space="preserve">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월 준공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확인 필요</t>
    </r>
    <r>
      <rPr>
        <sz val="10"/>
        <rFont val="맑은 고딕"/>
        <family val="0"/>
        <charset val="1"/>
      </rPr>
      <t xml:space="preserve">)</t>
    </r>
  </si>
  <si>
    <t xml:space="preserve">건축물대장 미확보</t>
  </si>
  <si>
    <r>
      <rPr>
        <sz val="10"/>
        <rFont val="Noto Sans CJK SC"/>
        <family val="2"/>
      </rPr>
      <t xml:space="preserve">건축물대장 발급 후 신청서</t>
    </r>
    <r>
      <rPr>
        <sz val="10"/>
        <rFont val="맑은 고딕"/>
        <family val="0"/>
        <charset val="1"/>
      </rPr>
      <t xml:space="preserve">·⑧·03</t>
    </r>
    <r>
      <rPr>
        <sz val="10"/>
        <rFont val="Noto Sans CJK SC"/>
        <family val="2"/>
      </rPr>
      <t xml:space="preserve">에 반영</t>
    </r>
  </si>
  <si>
    <t xml:space="preserve">안내문 잔존</t>
  </si>
  <si>
    <r>
      <rPr>
        <sz val="10"/>
        <rFont val="맑은 고딕"/>
        <family val="0"/>
        <charset val="1"/>
      </rPr>
      <t xml:space="preserve">07·08: "▷ </t>
    </r>
    <r>
      <rPr>
        <sz val="10"/>
        <rFont val="Noto Sans CJK SC"/>
        <family val="2"/>
      </rPr>
      <t xml:space="preserve">필요한 내용</t>
    </r>
    <r>
      <rPr>
        <sz val="10"/>
        <rFont val="맑은 고딕"/>
        <family val="0"/>
        <charset val="1"/>
      </rPr>
      <t xml:space="preserve">", [</t>
    </r>
    <r>
      <rPr>
        <sz val="10"/>
        <rFont val="Noto Sans CJK SC"/>
        <family val="2"/>
      </rPr>
      <t xml:space="preserve">작성 양식</t>
    </r>
    <r>
      <rPr>
        <sz val="10"/>
        <rFont val="맑은 고딕"/>
        <family val="0"/>
        <charset val="1"/>
      </rPr>
      <t xml:space="preserve">] </t>
    </r>
    <r>
      <rPr>
        <sz val="10"/>
        <rFont val="Noto Sans CJK SC"/>
        <family val="2"/>
      </rPr>
      <t xml:space="preserve">표 </t>
    </r>
    <r>
      <rPr>
        <sz val="10"/>
        <rFont val="맑은 고딕"/>
        <family val="0"/>
        <charset val="1"/>
      </rPr>
      <t xml:space="preserve">/ 05: [</t>
    </r>
    <r>
      <rPr>
        <sz val="10"/>
        <rFont val="Noto Sans CJK SC"/>
        <family val="2"/>
      </rPr>
      <t xml:space="preserve">작성 양식</t>
    </r>
    <r>
      <rPr>
        <sz val="10"/>
        <rFont val="맑은 고딕"/>
        <family val="0"/>
        <charset val="1"/>
      </rPr>
      <t xml:space="preserve">] </t>
    </r>
    <r>
      <rPr>
        <sz val="10"/>
        <rFont val="Noto Sans CJK SC"/>
        <family val="2"/>
      </rPr>
      <t xml:space="preserve">표</t>
    </r>
  </si>
  <si>
    <t xml:space="preserve">제출 전 삭제</t>
  </si>
  <si>
    <r>
      <rPr>
        <b val="true"/>
        <sz val="14"/>
        <color rgb="FF1F3864"/>
        <rFont val="Noto Sans CJK SC"/>
        <family val="2"/>
      </rPr>
      <t xml:space="preserve">자체평가 등급</t>
    </r>
    <r>
      <rPr>
        <b val="true"/>
        <sz val="14"/>
        <color rgb="FF1F3864"/>
        <rFont val="맑은 고딕"/>
        <family val="0"/>
        <charset val="1"/>
      </rPr>
      <t xml:space="preserve">: </t>
    </r>
    <r>
      <rPr>
        <b val="true"/>
        <sz val="14"/>
        <color rgb="FF1F3864"/>
        <rFont val="Noto Sans CJK SC"/>
        <family val="2"/>
      </rPr>
      <t xml:space="preserve">기존 점수표 </t>
    </r>
    <r>
      <rPr>
        <b val="true"/>
        <sz val="14"/>
        <color rgb="FF1F3864"/>
        <rFont val="맑은 고딕"/>
        <family val="0"/>
        <charset val="1"/>
      </rPr>
      <t xml:space="preserve">vs </t>
    </r>
    <r>
      <rPr>
        <b val="true"/>
        <sz val="14"/>
        <color rgb="FF1F3864"/>
        <rFont val="Noto Sans CJK SC"/>
        <family val="2"/>
      </rPr>
      <t xml:space="preserve">근거 기준 조정</t>
    </r>
  </si>
  <si>
    <t xml:space="preserve">평가항목</t>
  </si>
  <si>
    <t xml:space="preserve">번호</t>
  </si>
  <si>
    <t xml:space="preserve">세부항목</t>
  </si>
  <si>
    <t xml:space="preserve">배점</t>
  </si>
  <si>
    <t xml:space="preserve">기존 등급</t>
  </si>
  <si>
    <t xml:space="preserve">조정 등급</t>
  </si>
  <si>
    <t xml:space="preserve">기존 득점</t>
  </si>
  <si>
    <t xml:space="preserve">조정 득점</t>
  </si>
  <si>
    <t xml:space="preserve">차이</t>
  </si>
  <si>
    <r>
      <rPr>
        <b val="true"/>
        <sz val="10"/>
        <color rgb="FFFFFFFF"/>
        <rFont val="Noto Sans CJK SC"/>
        <family val="2"/>
      </rPr>
      <t xml:space="preserve">조정 판단근거</t>
    </r>
    <r>
      <rPr>
        <b val="true"/>
        <sz val="10"/>
        <color rgb="FFFFFFFF"/>
        <rFont val="맑은 고딕"/>
        <family val="0"/>
        <charset val="1"/>
      </rPr>
      <t xml:space="preserve">(01 </t>
    </r>
    <r>
      <rPr>
        <b val="true"/>
        <sz val="10"/>
        <color rgb="FFFFFFFF"/>
        <rFont val="Noto Sans CJK SC"/>
        <family val="2"/>
      </rPr>
      <t xml:space="preserve">자체평가서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</si>
  <si>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1.1 </t>
    </r>
    <r>
      <rPr>
        <sz val="10"/>
        <rFont val="Noto Sans CJK SC"/>
        <family val="2"/>
      </rPr>
      <t xml:space="preserve">하차 및 입고</t>
    </r>
  </si>
  <si>
    <t xml:space="preserve">1.1.1</t>
  </si>
  <si>
    <t xml:space="preserve">입고예정정보의 확인</t>
  </si>
  <si>
    <r>
      <rPr>
        <sz val="10"/>
        <rFont val="Noto Sans CJK SC"/>
        <family val="2"/>
      </rPr>
      <t xml:space="preserve">입고예정정보가 정보시스템</t>
    </r>
    <r>
      <rPr>
        <sz val="10"/>
        <rFont val="맑은 고딕"/>
        <family val="0"/>
        <charset val="1"/>
      </rPr>
      <t xml:space="preserve">(OMS→WMS)</t>
    </r>
    <r>
      <rPr>
        <sz val="10"/>
        <rFont val="Noto Sans CJK SC"/>
        <family val="2"/>
      </rPr>
      <t xml:space="preserve">으로 자동 연동되고 현장 </t>
    </r>
    <r>
      <rPr>
        <sz val="10"/>
        <rFont val="맑은 고딕"/>
        <family val="0"/>
        <charset val="1"/>
      </rPr>
      <t xml:space="preserve">PDA</t>
    </r>
    <r>
      <rPr>
        <sz val="10"/>
        <rFont val="Noto Sans CJK SC"/>
        <family val="2"/>
      </rPr>
      <t xml:space="preserve">와 실시간 연동되어 작업지시에 활용되며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승인 단계에서 입고 슬롯을 배정해 조업계획과 연동하므로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등급으로 평가함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자원운영계획의 자동 최적화</t>
    </r>
    <r>
      <rPr>
        <sz val="10"/>
        <rFont val="맑은 고딕"/>
        <family val="0"/>
        <charset val="1"/>
      </rPr>
      <t xml:space="preserve">(1</t>
    </r>
    <r>
      <rPr>
        <sz val="10"/>
        <rFont val="Noto Sans CJK SC"/>
        <family val="2"/>
      </rPr>
      <t xml:space="preserve">등급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는 해당하지 않음</t>
    </r>
    <r>
      <rPr>
        <sz val="10"/>
        <rFont val="맑은 고딕"/>
        <family val="0"/>
        <charset val="1"/>
      </rPr>
      <t xml:space="preserve">.</t>
    </r>
  </si>
  <si>
    <t xml:space="preserve">1.1.2</t>
  </si>
  <si>
    <t xml:space="preserve">하역 작업</t>
  </si>
  <si>
    <r>
      <rPr>
        <sz val="10"/>
        <rFont val="Noto Sans CJK SC"/>
        <family val="2"/>
      </rPr>
      <t xml:space="preserve">하역 작업 시 정보시스템에서 제공된 작업정보를 온라인으로 확인하고 실시간 연동되므로 </t>
    </r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등급으로 평가함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하역 실적의 실시간 분석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최적화</t>
    </r>
    <r>
      <rPr>
        <sz val="10"/>
        <rFont val="맑은 고딕"/>
        <family val="0"/>
        <charset val="1"/>
      </rPr>
      <t xml:space="preserve">(2</t>
    </r>
    <r>
      <rPr>
        <sz val="10"/>
        <rFont val="Noto Sans CJK SC"/>
        <family val="2"/>
      </rPr>
      <t xml:space="preserve">등급</t>
    </r>
    <r>
      <rPr>
        <sz val="10"/>
        <rFont val="맑은 고딕"/>
        <family val="0"/>
        <charset val="1"/>
      </rPr>
      <t xml:space="preserve">) </t>
    </r>
    <r>
      <rPr>
        <sz val="10"/>
        <rFont val="Noto Sans CJK SC"/>
        <family val="2"/>
      </rPr>
      <t xml:space="preserve">근거는 현재 없음</t>
    </r>
    <r>
      <rPr>
        <sz val="10"/>
        <rFont val="맑은 고딕"/>
        <family val="0"/>
        <charset val="1"/>
      </rPr>
      <t xml:space="preserve">.</t>
    </r>
  </si>
  <si>
    <t xml:space="preserve">1.1.3</t>
  </si>
  <si>
    <r>
      <rPr>
        <sz val="10"/>
        <rFont val="Noto Sans CJK SC"/>
        <family val="2"/>
      </rPr>
      <t xml:space="preserve">상품 검수</t>
    </r>
    <r>
      <rPr>
        <sz val="10"/>
        <rFont val="맑은 고딕"/>
        <family val="0"/>
        <charset val="1"/>
      </rPr>
      <t xml:space="preserve">/</t>
    </r>
    <r>
      <rPr>
        <sz val="10"/>
        <rFont val="Noto Sans CJK SC"/>
        <family val="2"/>
      </rPr>
      <t xml:space="preserve">검품</t>
    </r>
    <r>
      <rPr>
        <sz val="10"/>
        <rFont val="맑은 고딕"/>
        <family val="0"/>
        <charset val="1"/>
      </rPr>
      <t xml:space="preserve">/</t>
    </r>
    <r>
      <rPr>
        <sz val="10"/>
        <rFont val="Noto Sans CJK SC"/>
        <family val="2"/>
      </rPr>
      <t xml:space="preserve">분류</t>
    </r>
  </si>
  <si>
    <r>
      <rPr>
        <sz val="10"/>
        <rFont val="Noto Sans CJK SC"/>
        <family val="2"/>
      </rPr>
      <t xml:space="preserve">검수 시 정보시스템과 실시간 연계하여 바코드 등 디지털 정보로 상품 식별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확인을 지원하므로 </t>
    </r>
    <r>
      <rPr>
        <sz val="10"/>
        <rFont val="맑은 고딕"/>
        <family val="0"/>
        <charset val="1"/>
      </rPr>
      <t xml:space="preserve">4</t>
    </r>
    <r>
      <rPr>
        <sz val="10"/>
        <rFont val="Noto Sans CJK SC"/>
        <family val="2"/>
      </rPr>
      <t xml:space="preserve">등급으로 평가함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외관 검사가 육안 중심이라 부분 자동화</t>
    </r>
    <r>
      <rPr>
        <sz val="10"/>
        <rFont val="맑은 고딕"/>
        <family val="0"/>
        <charset val="1"/>
      </rPr>
      <t xml:space="preserve">(3</t>
    </r>
    <r>
      <rPr>
        <sz val="10"/>
        <rFont val="Noto Sans CJK SC"/>
        <family val="2"/>
      </rPr>
      <t xml:space="preserve">등급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는 보수적으로 적용하지 않음</t>
    </r>
    <r>
      <rPr>
        <sz val="10"/>
        <rFont val="맑은 고딕"/>
        <family val="0"/>
        <charset val="1"/>
      </rPr>
      <t xml:space="preserve">.</t>
    </r>
  </si>
  <si>
    <t xml:space="preserve">1.1.4</t>
  </si>
  <si>
    <t xml:space="preserve">제품정보의 인식 및 등록</t>
  </si>
  <si>
    <r>
      <rPr>
        <sz val="10"/>
        <rFont val="Noto Sans CJK SC"/>
        <family val="2"/>
      </rPr>
      <t xml:space="preserve">상품정보 인식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등록이 전사 정보시스템과 연계되고 </t>
    </r>
    <r>
      <rPr>
        <sz val="10"/>
        <rFont val="맑은 고딕"/>
        <family val="0"/>
        <charset val="1"/>
      </rPr>
      <t xml:space="preserve">DWS</t>
    </r>
    <r>
      <rPr>
        <sz val="10"/>
        <rFont val="Noto Sans CJK SC"/>
        <family val="2"/>
      </rPr>
      <t xml:space="preserve">에 의해 규격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중량 측정이 부분 자동화되어 있어 </t>
    </r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등급으로 평가함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실시간 분석을 통한 최적화</t>
    </r>
    <r>
      <rPr>
        <sz val="10"/>
        <rFont val="맑은 고딕"/>
        <family val="0"/>
        <charset val="1"/>
      </rPr>
      <t xml:space="preserve">(2</t>
    </r>
    <r>
      <rPr>
        <sz val="10"/>
        <rFont val="Noto Sans CJK SC"/>
        <family val="2"/>
      </rPr>
      <t xml:space="preserve">등급</t>
    </r>
    <r>
      <rPr>
        <sz val="10"/>
        <rFont val="맑은 고딕"/>
        <family val="0"/>
        <charset val="1"/>
      </rPr>
      <t xml:space="preserve">) </t>
    </r>
    <r>
      <rPr>
        <sz val="10"/>
        <rFont val="Noto Sans CJK SC"/>
        <family val="2"/>
      </rPr>
      <t xml:space="preserve">근거는 부족하여 기존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등급에서 조정함</t>
    </r>
    <r>
      <rPr>
        <sz val="10"/>
        <rFont val="맑은 고딕"/>
        <family val="0"/>
        <charset val="1"/>
      </rPr>
      <t xml:space="preserve">.</t>
    </r>
  </si>
  <si>
    <t xml:space="preserve">1.1.5</t>
  </si>
  <si>
    <t xml:space="preserve">입고 처리</t>
  </si>
  <si>
    <r>
      <rPr>
        <sz val="10"/>
        <rFont val="Noto Sans CJK SC"/>
        <family val="2"/>
      </rPr>
      <t xml:space="preserve">입고 처리가 정보시스템에서 실시간으로 확정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반영되므로 </t>
    </r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등급으로 평가함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</si>
  <si>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1.2 </t>
    </r>
    <r>
      <rPr>
        <sz val="10"/>
        <rFont val="Noto Sans CJK SC"/>
        <family val="2"/>
      </rPr>
      <t xml:space="preserve">운반 및 적치</t>
    </r>
  </si>
  <si>
    <t xml:space="preserve">1.2.1</t>
  </si>
  <si>
    <t xml:space="preserve">작업정보의 정보제공</t>
  </si>
  <si>
    <r>
      <rPr>
        <sz val="10"/>
        <rFont val="Noto Sans CJK SC"/>
        <family val="2"/>
      </rPr>
      <t xml:space="preserve">작업정보를 정보시스템에서 실시간 온라인으로 제공하므로 </t>
    </r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등급으로 평가함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로케이션 추천 로직의 최적화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회전율</t>
    </r>
    <r>
      <rPr>
        <sz val="10"/>
        <rFont val="맑은 고딕"/>
        <family val="0"/>
        <charset val="1"/>
      </rPr>
      <t xml:space="preserve">·ABC </t>
    </r>
    <r>
      <rPr>
        <sz val="10"/>
        <rFont val="Noto Sans CJK SC"/>
        <family val="2"/>
      </rPr>
      <t xml:space="preserve">분석 등</t>
    </r>
    <r>
      <rPr>
        <sz val="10"/>
        <rFont val="맑은 고딕"/>
        <family val="0"/>
        <charset val="1"/>
      </rPr>
      <t xml:space="preserve">) </t>
    </r>
    <r>
      <rPr>
        <sz val="10"/>
        <rFont val="Noto Sans CJK SC"/>
        <family val="2"/>
      </rPr>
      <t xml:space="preserve">근거를 제시하면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등급 검토 가능</t>
    </r>
    <r>
      <rPr>
        <sz val="10"/>
        <rFont val="맑은 고딕"/>
        <family val="0"/>
        <charset val="1"/>
      </rPr>
      <t xml:space="preserve">.</t>
    </r>
  </si>
  <si>
    <t xml:space="preserve">1.2.2</t>
  </si>
  <si>
    <t xml:space="preserve">적치장소 이동</t>
  </si>
  <si>
    <r>
      <rPr>
        <sz val="10"/>
        <rFont val="Noto Sans CJK SC"/>
        <family val="2"/>
      </rPr>
      <t xml:space="preserve">물리적 이동은 지게차 수작업이나 이동 지시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확정이 실시간 시스템 연동되므로 </t>
    </r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등급으로 평가함</t>
    </r>
    <r>
      <rPr>
        <sz val="10"/>
        <rFont val="맑은 고딕"/>
        <family val="0"/>
        <charset val="1"/>
      </rPr>
      <t xml:space="preserve">.</t>
    </r>
  </si>
  <si>
    <t xml:space="preserve">1.2.3</t>
  </si>
  <si>
    <t xml:space="preserve">작업경로 관리</t>
  </si>
  <si>
    <r>
      <rPr>
        <sz val="10"/>
        <rFont val="Noto Sans CJK SC"/>
        <family val="2"/>
      </rPr>
      <t xml:space="preserve">작업경로 정보는 온라인으로 제공되나 실시간 경로 관리가 이루어지지 않아 </t>
    </r>
    <r>
      <rPr>
        <sz val="10"/>
        <rFont val="맑은 고딕"/>
        <family val="0"/>
        <charset val="1"/>
      </rPr>
      <t xml:space="preserve">4</t>
    </r>
    <r>
      <rPr>
        <sz val="10"/>
        <rFont val="Noto Sans CJK SC"/>
        <family val="2"/>
      </rPr>
      <t xml:space="preserve">등급으로 평가함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기존 </t>
    </r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등급에서 조정</t>
    </r>
    <r>
      <rPr>
        <sz val="10"/>
        <rFont val="맑은 고딕"/>
        <family val="0"/>
        <charset val="1"/>
      </rPr>
      <t xml:space="preserve">).</t>
    </r>
  </si>
  <si>
    <t xml:space="preserve">1.2.4</t>
  </si>
  <si>
    <t xml:space="preserve">적치장소 식별 및 작업</t>
  </si>
  <si>
    <r>
      <rPr>
        <sz val="10"/>
        <rFont val="Noto Sans CJK SC"/>
        <family val="2"/>
      </rPr>
      <t xml:space="preserve">적치장소 식별과 확인이 실시간 시스템 연동으로 이루어지므로 </t>
    </r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등급으로 평가함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</si>
  <si>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1.3 </t>
    </r>
    <r>
      <rPr>
        <sz val="10"/>
        <rFont val="Noto Sans CJK SC"/>
        <family val="2"/>
      </rPr>
      <t xml:space="preserve">보관 및 재고관리</t>
    </r>
  </si>
  <si>
    <t xml:space="preserve">1.3.1</t>
  </si>
  <si>
    <t xml:space="preserve">재고조사의 수행 및 방법</t>
  </si>
  <si>
    <r>
      <rPr>
        <sz val="10"/>
        <rFont val="Noto Sans CJK SC"/>
        <family val="2"/>
      </rPr>
      <t xml:space="preserve">재고조사가 정보시스템과 전사적으로 연계되어 수행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분석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피드백되므로 </t>
    </r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등급으로 평가함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차이 분석 자동화와 주기적 개선 실적을 제시하면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등급 검토 가능</t>
    </r>
    <r>
      <rPr>
        <sz val="10"/>
        <rFont val="맑은 고딕"/>
        <family val="0"/>
        <charset val="1"/>
      </rPr>
      <t xml:space="preserve">.</t>
    </r>
  </si>
  <si>
    <t xml:space="preserve">1.3.2</t>
  </si>
  <si>
    <t xml:space="preserve">재고보충정보의 생성 및 지시</t>
  </si>
  <si>
    <r>
      <rPr>
        <sz val="10"/>
        <rFont val="Noto Sans CJK SC"/>
        <family val="2"/>
      </rPr>
      <t xml:space="preserve">보충정보가 정보시스템에서 생성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전달되고 실시간 관리되므로 </t>
    </r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등급으로 평가함</t>
    </r>
    <r>
      <rPr>
        <sz val="10"/>
        <rFont val="맑은 고딕"/>
        <family val="0"/>
        <charset val="1"/>
      </rPr>
      <t xml:space="preserve">.</t>
    </r>
  </si>
  <si>
    <t xml:space="preserve">1.3.3</t>
  </si>
  <si>
    <t xml:space="preserve">재고 보관위치의 조정</t>
  </si>
  <si>
    <r>
      <rPr>
        <sz val="10"/>
        <rFont val="Noto Sans CJK SC"/>
        <family val="2"/>
      </rPr>
      <t xml:space="preserve">보관위치 조정이 시스템에서 실시간 관리되므로 </t>
    </r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등급으로 평가함</t>
    </r>
    <r>
      <rPr>
        <sz val="10"/>
        <rFont val="맑은 고딕"/>
        <family val="0"/>
        <charset val="1"/>
      </rPr>
      <t xml:space="preserve">.</t>
    </r>
  </si>
  <si>
    <t xml:space="preserve">1.3.4</t>
  </si>
  <si>
    <t xml:space="preserve">보관장소의 모니터링 및 관리</t>
  </si>
  <si>
    <r>
      <rPr>
        <sz val="10"/>
        <rFont val="Noto Sans CJK SC"/>
        <family val="2"/>
      </rPr>
      <t xml:space="preserve">보관장소 모니터링이 실시간 연계되고 주기적 분석으로 통합 관리되므로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등급으로 평가함</t>
    </r>
    <r>
      <rPr>
        <sz val="10"/>
        <rFont val="맑은 고딕"/>
        <family val="0"/>
        <charset val="1"/>
      </rPr>
      <t xml:space="preserve">.</t>
    </r>
  </si>
  <si>
    <t xml:space="preserve">1.3.5</t>
  </si>
  <si>
    <r>
      <rPr>
        <sz val="10"/>
        <rFont val="Noto Sans CJK SC"/>
        <family val="2"/>
      </rPr>
      <t xml:space="preserve">재고 이력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선입선출 등</t>
    </r>
    <r>
      <rPr>
        <sz val="10"/>
        <rFont val="맑은 고딕"/>
        <family val="0"/>
        <charset val="1"/>
      </rPr>
      <t xml:space="preserve">) </t>
    </r>
    <r>
      <rPr>
        <sz val="10"/>
        <rFont val="Noto Sans CJK SC"/>
        <family val="2"/>
      </rPr>
      <t xml:space="preserve">및 품질관리</t>
    </r>
  </si>
  <si>
    <r>
      <rPr>
        <sz val="10"/>
        <rFont val="Noto Sans CJK SC"/>
        <family val="2"/>
      </rPr>
      <t xml:space="preserve">재고 이력과 품질관리 정보가 정보시스템에 연계되어 관리되므로 </t>
    </r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등급으로 평가함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</si>
  <si>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1.4 </t>
    </r>
    <r>
      <rPr>
        <sz val="10"/>
        <rFont val="Noto Sans CJK SC"/>
        <family val="2"/>
      </rPr>
      <t xml:space="preserve">피킹 및 분류</t>
    </r>
  </si>
  <si>
    <t xml:space="preserve">1.4.1</t>
  </si>
  <si>
    <t xml:space="preserve">작업정보의 생성 및 지시</t>
  </si>
  <si>
    <r>
      <rPr>
        <sz val="10"/>
        <rFont val="Noto Sans CJK SC"/>
        <family val="2"/>
      </rPr>
      <t xml:space="preserve">정보시스템에서 실시간으로 작업지시를 생성하고 온라인 전달하므로 </t>
    </r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등급으로 평가함</t>
    </r>
    <r>
      <rPr>
        <sz val="10"/>
        <rFont val="맑은 고딕"/>
        <family val="0"/>
        <charset val="1"/>
      </rPr>
      <t xml:space="preserve">.</t>
    </r>
  </si>
  <si>
    <t xml:space="preserve">1.4.2</t>
  </si>
  <si>
    <t xml:space="preserve">작업정보의 확인 방법</t>
  </si>
  <si>
    <r>
      <rPr>
        <sz val="10"/>
        <rFont val="Noto Sans CJK SC"/>
        <family val="2"/>
      </rPr>
      <t xml:space="preserve">작업정보를 </t>
    </r>
    <r>
      <rPr>
        <sz val="10"/>
        <rFont val="맑은 고딕"/>
        <family val="0"/>
        <charset val="1"/>
      </rPr>
      <t xml:space="preserve">PDA·PTL</t>
    </r>
    <r>
      <rPr>
        <sz val="10"/>
        <rFont val="Noto Sans CJK SC"/>
        <family val="2"/>
      </rPr>
      <t xml:space="preserve">로 실시간 확인하므로 </t>
    </r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등급으로 평가함</t>
    </r>
    <r>
      <rPr>
        <sz val="10"/>
        <rFont val="맑은 고딕"/>
        <family val="0"/>
        <charset val="1"/>
      </rPr>
      <t xml:space="preserve">.</t>
    </r>
  </si>
  <si>
    <t xml:space="preserve">1.4.3</t>
  </si>
  <si>
    <t xml:space="preserve">작업경로의 실시간 관리</t>
  </si>
  <si>
    <r>
      <rPr>
        <sz val="10"/>
        <rFont val="Noto Sans CJK SC"/>
        <family val="2"/>
      </rPr>
      <t xml:space="preserve">경로 정보는 온라인 제공되나 실시간 경로 관리가 이루어지지 않아 </t>
    </r>
    <r>
      <rPr>
        <sz val="10"/>
        <rFont val="맑은 고딕"/>
        <family val="0"/>
        <charset val="1"/>
      </rPr>
      <t xml:space="preserve">4</t>
    </r>
    <r>
      <rPr>
        <sz val="10"/>
        <rFont val="Noto Sans CJK SC"/>
        <family val="2"/>
      </rPr>
      <t xml:space="preserve">등급으로 평가함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기존 </t>
    </r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등급에서 조정</t>
    </r>
    <r>
      <rPr>
        <sz val="10"/>
        <rFont val="맑은 고딕"/>
        <family val="0"/>
        <charset val="1"/>
      </rPr>
      <t xml:space="preserve">).</t>
    </r>
  </si>
  <si>
    <t xml:space="preserve">1.4.4</t>
  </si>
  <si>
    <t xml:space="preserve">피킹 장소의 확인 및 작업</t>
  </si>
  <si>
    <r>
      <rPr>
        <sz val="10"/>
        <rFont val="Noto Sans CJK SC"/>
        <family val="2"/>
      </rPr>
      <t xml:space="preserve">피킹 장소 확인과 작업이 실시간 스캔 검증으로 이루어지므로 </t>
    </r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등급으로 평가함</t>
    </r>
    <r>
      <rPr>
        <sz val="10"/>
        <rFont val="맑은 고딕"/>
        <family val="0"/>
        <charset val="1"/>
      </rPr>
      <t xml:space="preserve">.</t>
    </r>
  </si>
  <si>
    <t xml:space="preserve">1.4.5</t>
  </si>
  <si>
    <t xml:space="preserve">분류정보의 생성 및 지시</t>
  </si>
  <si>
    <r>
      <rPr>
        <sz val="10"/>
        <rFont val="Noto Sans CJK SC"/>
        <family val="2"/>
      </rPr>
      <t xml:space="preserve">정보시스템에서 실시간으로 분류지시를 생성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전달하므로 </t>
    </r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등급으로 평가함</t>
    </r>
    <r>
      <rPr>
        <sz val="10"/>
        <rFont val="맑은 고딕"/>
        <family val="0"/>
        <charset val="1"/>
      </rPr>
      <t xml:space="preserve">.</t>
    </r>
  </si>
  <si>
    <t xml:space="preserve">1.4.6</t>
  </si>
  <si>
    <t xml:space="preserve">분류 작업</t>
  </si>
  <si>
    <r>
      <rPr>
        <sz val="10"/>
        <rFont val="Noto Sans CJK SC"/>
        <family val="2"/>
      </rPr>
      <t xml:space="preserve">분류 작업이 전사 정보시스템과 연계된 자동화 설비로 운영되므로 </t>
    </r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등급으로 평가함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분류 실적의 주기적 분석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개선 실적을 제시하면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등급 검토 가능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</si>
  <si>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1.5 </t>
    </r>
    <r>
      <rPr>
        <sz val="10"/>
        <rFont val="Noto Sans CJK SC"/>
        <family val="2"/>
      </rPr>
      <t xml:space="preserve">검품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검수 및 포장</t>
    </r>
  </si>
  <si>
    <t xml:space="preserve">1.5.1</t>
  </si>
  <si>
    <t xml:space="preserve">포장장소로의 정보 제공 및 이동</t>
  </si>
  <si>
    <r>
      <rPr>
        <sz val="10"/>
        <rFont val="Noto Sans CJK SC"/>
        <family val="2"/>
      </rPr>
      <t xml:space="preserve">포장장소로의 작업정보가 실시간 온라인 제공되나 이동은 수작업이므로 </t>
    </r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등급으로 평가함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기존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등급에서 조정</t>
    </r>
    <r>
      <rPr>
        <sz val="10"/>
        <rFont val="맑은 고딕"/>
        <family val="0"/>
        <charset val="1"/>
      </rPr>
      <t xml:space="preserve">).</t>
    </r>
  </si>
  <si>
    <t xml:space="preserve">1.5.2</t>
  </si>
  <si>
    <t xml:space="preserve">포장재 및 포장물품 관리</t>
  </si>
  <si>
    <r>
      <rPr>
        <sz val="10"/>
        <rFont val="Noto Sans CJK SC"/>
        <family val="2"/>
      </rPr>
      <t xml:space="preserve">포장물품 정보는 온라인 관리되나 포장재 관리가 실시간 시스템 연동되지 않아 </t>
    </r>
    <r>
      <rPr>
        <sz val="10"/>
        <rFont val="맑은 고딕"/>
        <family val="0"/>
        <charset val="1"/>
      </rPr>
      <t xml:space="preserve">4</t>
    </r>
    <r>
      <rPr>
        <sz val="10"/>
        <rFont val="Noto Sans CJK SC"/>
        <family val="2"/>
      </rPr>
      <t xml:space="preserve">등급으로 평가함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기존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등급에서 조정</t>
    </r>
    <r>
      <rPr>
        <sz val="10"/>
        <rFont val="맑은 고딕"/>
        <family val="0"/>
        <charset val="1"/>
      </rPr>
      <t xml:space="preserve">).</t>
    </r>
  </si>
  <si>
    <t xml:space="preserve">1.5.3</t>
  </si>
  <si>
    <r>
      <rPr>
        <sz val="10"/>
        <rFont val="Noto Sans CJK SC"/>
        <family val="2"/>
      </rPr>
      <t xml:space="preserve">검품</t>
    </r>
    <r>
      <rPr>
        <sz val="10"/>
        <rFont val="맑은 고딕"/>
        <family val="0"/>
        <charset val="1"/>
      </rPr>
      <t xml:space="preserve">/</t>
    </r>
    <r>
      <rPr>
        <sz val="10"/>
        <rFont val="Noto Sans CJK SC"/>
        <family val="2"/>
      </rPr>
      <t xml:space="preserve">검수 및 오류관리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인식 및 처리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</si>
  <si>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검품 오류를 정보시스템과 연계해 실시간 인식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처리하고 분석하므로 </t>
    </r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등급으로 평가함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오류 분석의 자동화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주기적 개선 실적을 제시하면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등급 검토 가능</t>
    </r>
    <r>
      <rPr>
        <sz val="10"/>
        <rFont val="맑은 고딕"/>
        <family val="0"/>
        <charset val="1"/>
      </rPr>
      <t xml:space="preserve">.</t>
    </r>
  </si>
  <si>
    <t xml:space="preserve">1.5.4</t>
  </si>
  <si>
    <t xml:space="preserve">포장 작업</t>
  </si>
  <si>
    <r>
      <rPr>
        <sz val="10"/>
        <rFont val="Noto Sans CJK SC"/>
        <family val="2"/>
      </rPr>
      <t xml:space="preserve">포장 공정 중 봉함만 자동화되어 있고 포장 작업은 인력 중심이므로 </t>
    </r>
    <r>
      <rPr>
        <sz val="10"/>
        <rFont val="맑은 고딕"/>
        <family val="0"/>
        <charset val="1"/>
      </rPr>
      <t xml:space="preserve">4</t>
    </r>
    <r>
      <rPr>
        <sz val="10"/>
        <rFont val="Noto Sans CJK SC"/>
        <family val="2"/>
      </rPr>
      <t xml:space="preserve">등급으로 평가함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기존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등급에서 조정</t>
    </r>
    <r>
      <rPr>
        <sz val="10"/>
        <rFont val="맑은 고딕"/>
        <family val="0"/>
        <charset val="1"/>
      </rPr>
      <t xml:space="preserve">).</t>
    </r>
  </si>
  <si>
    <t xml:space="preserve">1.5.5</t>
  </si>
  <si>
    <r>
      <rPr>
        <sz val="10"/>
        <rFont val="Noto Sans CJK SC"/>
        <family val="2"/>
      </rPr>
      <t xml:space="preserve">배송정보 표시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라벨</t>
    </r>
    <r>
      <rPr>
        <sz val="10"/>
        <rFont val="맑은 고딕"/>
        <family val="0"/>
        <charset val="1"/>
      </rPr>
      <t xml:space="preserve">) </t>
    </r>
    <r>
      <rPr>
        <sz val="10"/>
        <rFont val="Noto Sans CJK SC"/>
        <family val="2"/>
      </rPr>
      <t xml:space="preserve">및 부착</t>
    </r>
  </si>
  <si>
    <r>
      <rPr>
        <sz val="10"/>
        <rFont val="Noto Sans CJK SC"/>
        <family val="2"/>
      </rPr>
      <t xml:space="preserve">배송정보가 시스템에서 자동 발행되고 일부 공정은 자동 부착되므로 </t>
    </r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등급으로 평가함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기존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등급에서 조정</t>
    </r>
    <r>
      <rPr>
        <sz val="10"/>
        <rFont val="맑은 고딕"/>
        <family val="0"/>
        <charset val="1"/>
      </rPr>
      <t xml:space="preserve">).</t>
    </r>
  </si>
  <si>
    <r>
      <rPr>
        <sz val="10"/>
        <rFont val="맑은 고딕"/>
        <family val="0"/>
        <charset val="1"/>
      </rPr>
      <t xml:space="preserve">1.6 </t>
    </r>
    <r>
      <rPr>
        <sz val="10"/>
        <rFont val="Noto Sans CJK SC"/>
        <family val="2"/>
      </rPr>
      <t xml:space="preserve">상차 및 출고</t>
    </r>
  </si>
  <si>
    <t xml:space="preserve">1.6.1</t>
  </si>
  <si>
    <t xml:space="preserve">발주처별 분류</t>
  </si>
  <si>
    <r>
      <rPr>
        <sz val="10"/>
        <rFont val="Noto Sans CJK SC"/>
        <family val="2"/>
      </rPr>
      <t xml:space="preserve">배송처별 분류가 시스템 연계 자동화 설비로 이루어지므로 </t>
    </r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등급으로 평가함</t>
    </r>
    <r>
      <rPr>
        <sz val="10"/>
        <rFont val="맑은 고딕"/>
        <family val="0"/>
        <charset val="1"/>
      </rPr>
      <t xml:space="preserve">.</t>
    </r>
  </si>
  <si>
    <t xml:space="preserve">1.6.2</t>
  </si>
  <si>
    <t xml:space="preserve">차량입차정보의 인식</t>
  </si>
  <si>
    <r>
      <rPr>
        <sz val="10"/>
        <rFont val="Noto Sans CJK SC"/>
        <family val="2"/>
      </rPr>
      <t xml:space="preserve">인계 일정은 시스템에서 관리되나 차량 입차 인식은 현장 확인에 의존하므로 </t>
    </r>
    <r>
      <rPr>
        <sz val="10"/>
        <rFont val="맑은 고딕"/>
        <family val="0"/>
        <charset val="1"/>
      </rPr>
      <t xml:space="preserve">5</t>
    </r>
    <r>
      <rPr>
        <sz val="10"/>
        <rFont val="Noto Sans CJK SC"/>
        <family val="2"/>
      </rPr>
      <t xml:space="preserve">등급으로 평가함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기존 </t>
    </r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등급에서 조정</t>
    </r>
    <r>
      <rPr>
        <sz val="10"/>
        <rFont val="맑은 고딕"/>
        <family val="0"/>
        <charset val="1"/>
      </rPr>
      <t xml:space="preserve">).</t>
    </r>
  </si>
  <si>
    <t xml:space="preserve">1.6.3</t>
  </si>
  <si>
    <t xml:space="preserve">상차순서 관리 및 작업</t>
  </si>
  <si>
    <r>
      <rPr>
        <sz val="10"/>
        <rFont val="Noto Sans CJK SC"/>
        <family val="2"/>
      </rPr>
      <t xml:space="preserve">상차 정보는 온라인 확인되나 순서 관리가 실시간 시스템화되지 않아 </t>
    </r>
    <r>
      <rPr>
        <sz val="10"/>
        <rFont val="맑은 고딕"/>
        <family val="0"/>
        <charset val="1"/>
      </rPr>
      <t xml:space="preserve">4</t>
    </r>
    <r>
      <rPr>
        <sz val="10"/>
        <rFont val="Noto Sans CJK SC"/>
        <family val="2"/>
      </rPr>
      <t xml:space="preserve">등급으로 평가함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기존 </t>
    </r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등급에서 조정</t>
    </r>
    <r>
      <rPr>
        <sz val="10"/>
        <rFont val="맑은 고딕"/>
        <family val="0"/>
        <charset val="1"/>
      </rPr>
      <t xml:space="preserve">).</t>
    </r>
  </si>
  <si>
    <t xml:space="preserve">1.6.4</t>
  </si>
  <si>
    <t xml:space="preserve">출고정보의 전달</t>
  </si>
  <si>
    <r>
      <rPr>
        <sz val="10"/>
        <rFont val="Noto Sans CJK SC"/>
        <family val="2"/>
      </rPr>
      <t xml:space="preserve">출고정보가 실시간으로 시스템 간 자동 전달되므로 </t>
    </r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등급으로 평가함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</si>
  <si>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2.1 </t>
    </r>
    <r>
      <rPr>
        <sz val="10"/>
        <rFont val="Noto Sans CJK SC"/>
        <family val="2"/>
      </rPr>
      <t xml:space="preserve">구조적 성능</t>
    </r>
  </si>
  <si>
    <t xml:space="preserve">2.1.1</t>
  </si>
  <si>
    <r>
      <rPr>
        <sz val="10"/>
        <rFont val="Noto Sans CJK SC"/>
        <family val="2"/>
      </rPr>
      <t xml:space="preserve">도크 및 바닥성능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재질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평탄도 및 하중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</si>
  <si>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도크는 확인 항목 </t>
    </r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개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바닥은 미적용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개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확인 </t>
    </r>
    <r>
      <rPr>
        <sz val="10"/>
        <rFont val="맑은 고딕"/>
        <family val="0"/>
        <charset val="1"/>
      </rPr>
      <t xml:space="preserve">4</t>
    </r>
    <r>
      <rPr>
        <sz val="10"/>
        <rFont val="Noto Sans CJK SC"/>
        <family val="2"/>
      </rPr>
      <t xml:space="preserve">개로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확인 항목의 결과에 따라 </t>
    </r>
    <r>
      <rPr>
        <sz val="10"/>
        <rFont val="맑은 고딕"/>
        <family val="0"/>
        <charset val="1"/>
      </rPr>
      <t xml:space="preserve">2~4</t>
    </r>
    <r>
      <rPr>
        <sz val="10"/>
        <rFont val="Noto Sans CJK SC"/>
        <family val="2"/>
      </rPr>
      <t xml:space="preserve">등급 범위임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보수적으로 </t>
    </r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등급으로 평가함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기존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등급에서 조정</t>
    </r>
    <r>
      <rPr>
        <sz val="10"/>
        <rFont val="맑은 고딕"/>
        <family val="0"/>
        <charset val="1"/>
      </rPr>
      <t xml:space="preserve">).</t>
    </r>
  </si>
  <si>
    <t xml:space="preserve">2.1.2</t>
  </si>
  <si>
    <r>
      <rPr>
        <sz val="10"/>
        <rFont val="Noto Sans CJK SC"/>
        <family val="2"/>
      </rPr>
      <t xml:space="preserve">내부구조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층고 및 기둥의 배치구조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</si>
  <si>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10</t>
    </r>
    <r>
      <rPr>
        <sz val="10"/>
        <rFont val="Noto Sans CJK SC"/>
        <family val="2"/>
      </rPr>
      <t xml:space="preserve">개 평가요소 중 </t>
    </r>
    <r>
      <rPr>
        <sz val="10"/>
        <rFont val="맑은 고딕"/>
        <family val="0"/>
        <charset val="1"/>
      </rPr>
      <t xml:space="preserve">9</t>
    </r>
    <r>
      <rPr>
        <sz val="10"/>
        <rFont val="Noto Sans CJK SC"/>
        <family val="2"/>
      </rPr>
      <t xml:space="preserve">개 적용</t>
    </r>
    <r>
      <rPr>
        <sz val="10"/>
        <rFont val="맑은 고딕"/>
        <family val="0"/>
        <charset val="1"/>
      </rPr>
      <t xml:space="preserve">, 1</t>
    </r>
    <r>
      <rPr>
        <sz val="10"/>
        <rFont val="Noto Sans CJK SC"/>
        <family val="2"/>
      </rPr>
      <t xml:space="preserve">개 확인 대상으로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등급으로 평가함</t>
    </r>
    <r>
      <rPr>
        <sz val="10"/>
        <rFont val="맑은 고딕"/>
        <family val="0"/>
        <charset val="1"/>
      </rPr>
      <t xml:space="preserve">.</t>
    </r>
  </si>
  <si>
    <t xml:space="preserve">2.1.3</t>
  </si>
  <si>
    <t xml:space="preserve">배치 및 동선 관리</t>
  </si>
  <si>
    <r>
      <rPr>
        <sz val="10"/>
        <rFont val="Noto Sans CJK SC"/>
        <family val="2"/>
      </rPr>
      <t xml:space="preserve">확인 대상 </t>
    </r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개 항목의 결과에 따라 </t>
    </r>
    <r>
      <rPr>
        <sz val="10"/>
        <rFont val="맑은 고딕"/>
        <family val="0"/>
        <charset val="1"/>
      </rPr>
      <t xml:space="preserve">1~4</t>
    </r>
    <r>
      <rPr>
        <sz val="10"/>
        <rFont val="Noto Sans CJK SC"/>
        <family val="2"/>
      </rPr>
      <t xml:space="preserve">등급 범위임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보수적으로 </t>
    </r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등급으로 평가함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기존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등급에서 조정</t>
    </r>
    <r>
      <rPr>
        <sz val="10"/>
        <rFont val="맑은 고딕"/>
        <family val="0"/>
        <charset val="1"/>
      </rPr>
      <t xml:space="preserve">).</t>
    </r>
  </si>
  <si>
    <t xml:space="preserve">2.1.4</t>
  </si>
  <si>
    <r>
      <rPr>
        <sz val="10"/>
        <rFont val="Noto Sans CJK SC"/>
        <family val="2"/>
      </rPr>
      <t xml:space="preserve">작업환경 관리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공조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온도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습도 등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</si>
  <si>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미적용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개로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나머지 확인 항목이 모두 적용되는 경우 </t>
    </r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등급임</t>
    </r>
    <r>
      <rPr>
        <sz val="10"/>
        <rFont val="맑은 고딕"/>
        <family val="0"/>
        <charset val="1"/>
      </rPr>
      <t xml:space="preserve">. 3</t>
    </r>
    <r>
      <rPr>
        <sz val="10"/>
        <rFont val="Noto Sans CJK SC"/>
        <family val="2"/>
      </rPr>
      <t xml:space="preserve">등급으로 평가함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기존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등급에서 조정</t>
    </r>
    <r>
      <rPr>
        <sz val="10"/>
        <rFont val="맑은 고딕"/>
        <family val="0"/>
        <charset val="1"/>
      </rPr>
      <t xml:space="preserve">).</t>
    </r>
  </si>
  <si>
    <t xml:space="preserve">2.1.5</t>
  </si>
  <si>
    <r>
      <rPr>
        <sz val="10"/>
        <rFont val="Noto Sans CJK SC"/>
        <family val="2"/>
      </rPr>
      <t xml:space="preserve">재해 및 안전관리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방화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내진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소방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대피시설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안전사고관리 등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</si>
  <si>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미적용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개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확인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개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랙 내진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로 </t>
    </r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등급으로 평가함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기존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등급에서 조정</t>
    </r>
    <r>
      <rPr>
        <sz val="10"/>
        <rFont val="맑은 고딕"/>
        <family val="0"/>
        <charset val="1"/>
      </rPr>
      <t xml:space="preserve">).</t>
    </r>
  </si>
  <si>
    <r>
      <rPr>
        <sz val="10"/>
        <rFont val="맑은 고딕"/>
        <family val="0"/>
        <charset val="1"/>
      </rPr>
      <t xml:space="preserve">2.2 </t>
    </r>
    <r>
      <rPr>
        <sz val="10"/>
        <rFont val="Noto Sans CJK SC"/>
        <family val="2"/>
      </rPr>
      <t xml:space="preserve">성과관리</t>
    </r>
  </si>
  <si>
    <t xml:space="preserve">2.2.1</t>
  </si>
  <si>
    <t xml:space="preserve">비용 절감</t>
  </si>
  <si>
    <r>
      <rPr>
        <sz val="10"/>
        <rFont val="Noto Sans CJK SC"/>
        <family val="2"/>
      </rPr>
      <t xml:space="preserve">물류정보시스템과 연계해 비용 정보를 수집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모니터링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분석하고 피드백하므로 </t>
    </r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등급으로 평가함</t>
    </r>
    <r>
      <rPr>
        <sz val="10"/>
        <rFont val="맑은 고딕"/>
        <family val="0"/>
        <charset val="1"/>
      </rPr>
      <t xml:space="preserve">.</t>
    </r>
  </si>
  <si>
    <t xml:space="preserve">2.2.2</t>
  </si>
  <si>
    <t xml:space="preserve">생산성 향상</t>
  </si>
  <si>
    <r>
      <rPr>
        <sz val="10"/>
        <rFont val="Noto Sans CJK SC"/>
        <family val="2"/>
      </rPr>
      <t xml:space="preserve">정보시스템과 연계해 생산성 정보를 수집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모니터링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분석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피드백하므로 </t>
    </r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등급으로 평가함</t>
    </r>
    <r>
      <rPr>
        <sz val="10"/>
        <rFont val="맑은 고딕"/>
        <family val="0"/>
        <charset val="1"/>
      </rPr>
      <t xml:space="preserve">.</t>
    </r>
  </si>
  <si>
    <t xml:space="preserve">2.2.3</t>
  </si>
  <si>
    <t xml:space="preserve">품질 및 안전관리</t>
  </si>
  <si>
    <r>
      <rPr>
        <sz val="10"/>
        <rFont val="Noto Sans CJK SC"/>
        <family val="2"/>
      </rPr>
      <t xml:space="preserve">품질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안전 정보를 정보시스템과 연계해 수집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분석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피드백하므로 </t>
    </r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등급으로 평가함</t>
    </r>
    <r>
      <rPr>
        <sz val="10"/>
        <rFont val="맑은 고딕"/>
        <family val="0"/>
        <charset val="1"/>
      </rPr>
      <t xml:space="preserve">.</t>
    </r>
  </si>
  <si>
    <t xml:space="preserve">2.2.4</t>
  </si>
  <si>
    <r>
      <rPr>
        <sz val="10"/>
        <rFont val="Noto Sans CJK SC"/>
        <family val="2"/>
      </rPr>
      <t xml:space="preserve">친환경관리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절수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절전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폐기물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재활용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조명 등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</si>
  <si>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친환경 활동 정보가 전체적으로 수집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모니터링되나 시스템 연계 분석은 부족하여 </t>
    </r>
    <r>
      <rPr>
        <sz val="10"/>
        <rFont val="맑은 고딕"/>
        <family val="0"/>
        <charset val="1"/>
      </rPr>
      <t xml:space="preserve">4</t>
    </r>
    <r>
      <rPr>
        <sz val="10"/>
        <rFont val="Noto Sans CJK SC"/>
        <family val="2"/>
      </rPr>
      <t xml:space="preserve">등급으로 평가함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기존 </t>
    </r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등급에서 조정</t>
    </r>
    <r>
      <rPr>
        <sz val="10"/>
        <rFont val="맑은 고딕"/>
        <family val="0"/>
        <charset val="1"/>
      </rPr>
      <t xml:space="preserve">).</t>
    </r>
  </si>
  <si>
    <r>
      <rPr>
        <sz val="10"/>
        <rFont val="맑은 고딕"/>
        <family val="0"/>
        <charset val="1"/>
      </rPr>
      <t xml:space="preserve">2.3 </t>
    </r>
    <r>
      <rPr>
        <sz val="10"/>
        <rFont val="Noto Sans CJK SC"/>
        <family val="2"/>
      </rPr>
      <t xml:space="preserve">정보시스템</t>
    </r>
  </si>
  <si>
    <t xml:space="preserve">2.3.1-1</t>
  </si>
  <si>
    <r>
      <rPr>
        <sz val="10"/>
        <rFont val="Noto Sans CJK SC"/>
        <family val="2"/>
      </rPr>
      <t xml:space="preserve">수발주시스템</t>
    </r>
    <r>
      <rPr>
        <sz val="10"/>
        <rFont val="맑은 고딕"/>
        <family val="0"/>
        <charset val="1"/>
      </rPr>
      <t xml:space="preserve">/</t>
    </r>
    <r>
      <rPr>
        <sz val="10"/>
        <rFont val="Noto Sans CJK SC"/>
        <family val="2"/>
      </rPr>
      <t xml:space="preserve">상품분류시스템</t>
    </r>
  </si>
  <si>
    <r>
      <rPr>
        <sz val="10"/>
        <rFont val="Noto Sans CJK SC"/>
        <family val="2"/>
      </rPr>
      <t xml:space="preserve">수발주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상품분류가 전사 시스템으로 연계되어 운영되므로 </t>
    </r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등급으로 평가함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기존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등급에서 조정</t>
    </r>
    <r>
      <rPr>
        <sz val="10"/>
        <rFont val="맑은 고딕"/>
        <family val="0"/>
        <charset val="1"/>
      </rPr>
      <t xml:space="preserve">).</t>
    </r>
  </si>
  <si>
    <t xml:space="preserve">2.3.1-2</t>
  </si>
  <si>
    <t xml:space="preserve">입출고 및 배차배송시스템</t>
  </si>
  <si>
    <r>
      <rPr>
        <sz val="10"/>
        <rFont val="Noto Sans CJK SC"/>
        <family val="2"/>
      </rPr>
      <t xml:space="preserve">입출고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배송 정보가 시스템 간 실시간 연계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관리되므로 </t>
    </r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등급으로 평가함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기존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등급에서 조정</t>
    </r>
    <r>
      <rPr>
        <sz val="10"/>
        <rFont val="맑은 고딕"/>
        <family val="0"/>
        <charset val="1"/>
      </rPr>
      <t xml:space="preserve">).</t>
    </r>
  </si>
  <si>
    <t xml:space="preserve">2.3.1-3</t>
  </si>
  <si>
    <t xml:space="preserve">재고관리시스템</t>
  </si>
  <si>
    <r>
      <rPr>
        <sz val="10"/>
        <rFont val="Noto Sans CJK SC"/>
        <family val="2"/>
      </rPr>
      <t xml:space="preserve">재고관리가 실시간 연계되고 주기적 분석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통합 관리되므로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등급으로 평가함</t>
    </r>
    <r>
      <rPr>
        <sz val="10"/>
        <rFont val="맑은 고딕"/>
        <family val="0"/>
        <charset val="1"/>
      </rPr>
      <t xml:space="preserve">.</t>
    </r>
  </si>
  <si>
    <t xml:space="preserve">2.3.1-4</t>
  </si>
  <si>
    <t xml:space="preserve">자원관리시스템</t>
  </si>
  <si>
    <r>
      <rPr>
        <sz val="10"/>
        <rFont val="Noto Sans CJK SC"/>
        <family val="2"/>
      </rPr>
      <t xml:space="preserve">자원 정보가 전사 시스템에서 수집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모니터링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분석되므로 </t>
    </r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등급으로 평가함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기존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등급에서 조정</t>
    </r>
    <r>
      <rPr>
        <sz val="10"/>
        <rFont val="맑은 고딕"/>
        <family val="0"/>
        <charset val="1"/>
      </rPr>
      <t xml:space="preserve">).</t>
    </r>
  </si>
  <si>
    <t xml:space="preserve">2.3.1-5</t>
  </si>
  <si>
    <t xml:space="preserve">물류지원시스템</t>
  </si>
  <si>
    <r>
      <rPr>
        <sz val="10"/>
        <rFont val="Noto Sans CJK SC"/>
        <family val="2"/>
      </rPr>
      <t xml:space="preserve">물류지원 기능이 전사 시스템과 연계되어 운영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분석되므로 </t>
    </r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등급으로 평가함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기존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등급에서 조정</t>
    </r>
    <r>
      <rPr>
        <sz val="10"/>
        <rFont val="맑은 고딕"/>
        <family val="0"/>
        <charset val="1"/>
      </rPr>
      <t xml:space="preserve">).</t>
    </r>
  </si>
  <si>
    <t xml:space="preserve">2.3.2</t>
  </si>
  <si>
    <r>
      <rPr>
        <sz val="10"/>
        <rFont val="Noto Sans CJK SC"/>
        <family val="2"/>
      </rPr>
      <t xml:space="preserve">창고제어시스템</t>
    </r>
    <r>
      <rPr>
        <sz val="10"/>
        <rFont val="맑은 고딕"/>
        <family val="0"/>
        <charset val="1"/>
      </rPr>
      <t xml:space="preserve">(WCS, MCS)</t>
    </r>
  </si>
  <si>
    <r>
      <rPr>
        <sz val="10"/>
        <rFont val="Noto Sans CJK SC"/>
        <family val="2"/>
      </rPr>
      <t xml:space="preserve">자동화 물류기기 전반에 대한 실시간 연동을 지원하므로 </t>
    </r>
    <r>
      <rPr>
        <sz val="10"/>
        <rFont val="맑은 고딕"/>
        <family val="0"/>
        <charset val="1"/>
      </rPr>
      <t xml:space="preserve">4</t>
    </r>
    <r>
      <rPr>
        <sz val="10"/>
        <rFont val="Noto Sans CJK SC"/>
        <family val="2"/>
      </rPr>
      <t xml:space="preserve">등급으로 평가함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건축물 설비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공조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조명 등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까지의 연동</t>
    </r>
    <r>
      <rPr>
        <sz val="10"/>
        <rFont val="맑은 고딕"/>
        <family val="0"/>
        <charset val="1"/>
      </rPr>
      <t xml:space="preserve">(3</t>
    </r>
    <r>
      <rPr>
        <sz val="10"/>
        <rFont val="Noto Sans CJK SC"/>
        <family val="2"/>
      </rPr>
      <t xml:space="preserve">등급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과 </t>
    </r>
    <r>
      <rPr>
        <sz val="10"/>
        <rFont val="맑은 고딕"/>
        <family val="0"/>
        <charset val="1"/>
      </rPr>
      <t xml:space="preserve">ERP </t>
    </r>
    <r>
      <rPr>
        <sz val="10"/>
        <rFont val="Noto Sans CJK SC"/>
        <family val="2"/>
      </rPr>
      <t xml:space="preserve">연계 최적화</t>
    </r>
    <r>
      <rPr>
        <sz val="10"/>
        <rFont val="맑은 고딕"/>
        <family val="0"/>
        <charset val="1"/>
      </rPr>
      <t xml:space="preserve">(2</t>
    </r>
    <r>
      <rPr>
        <sz val="10"/>
        <rFont val="Noto Sans CJK SC"/>
        <family val="2"/>
      </rPr>
      <t xml:space="preserve">등급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는 미해당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기존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등급에서 조정</t>
    </r>
    <r>
      <rPr>
        <sz val="10"/>
        <rFont val="맑은 고딕"/>
        <family val="0"/>
        <charset val="1"/>
      </rPr>
      <t xml:space="preserve">).</t>
    </r>
  </si>
  <si>
    <t xml:space="preserve">합계</t>
  </si>
  <si>
    <t xml:space="preserve">예상 인증등급</t>
  </si>
  <si>
    <r>
      <rPr>
        <b val="true"/>
        <sz val="14"/>
        <color rgb="FF1F3864"/>
        <rFont val="Noto Sans CJK SC"/>
        <family val="2"/>
      </rPr>
      <t xml:space="preserve">자체평가서 증명자료</t>
    </r>
    <r>
      <rPr>
        <b val="true"/>
        <sz val="14"/>
        <color rgb="FF1F3864"/>
        <rFont val="맑은 고딕"/>
        <family val="0"/>
        <charset val="1"/>
      </rPr>
      <t xml:space="preserve">(</t>
    </r>
    <r>
      <rPr>
        <b val="true"/>
        <sz val="14"/>
        <color rgb="FF1F3864"/>
        <rFont val="Noto Sans CJK SC"/>
        <family val="2"/>
      </rPr>
      <t xml:space="preserve">사진</t>
    </r>
    <r>
      <rPr>
        <b val="true"/>
        <sz val="14"/>
        <color rgb="FF1F3864"/>
        <rFont val="맑은 고딕"/>
        <family val="0"/>
        <charset val="1"/>
      </rPr>
      <t xml:space="preserve">·</t>
    </r>
    <r>
      <rPr>
        <b val="true"/>
        <sz val="14"/>
        <color rgb="FF1F3864"/>
        <rFont val="Noto Sans CJK SC"/>
        <family val="2"/>
      </rPr>
      <t xml:space="preserve">캡처</t>
    </r>
    <r>
      <rPr>
        <b val="true"/>
        <sz val="14"/>
        <color rgb="FF1F3864"/>
        <rFont val="맑은 고딕"/>
        <family val="0"/>
        <charset val="1"/>
      </rPr>
      <t xml:space="preserve">·</t>
    </r>
    <r>
      <rPr>
        <b val="true"/>
        <sz val="14"/>
        <color rgb="FF1F3864"/>
        <rFont val="Noto Sans CJK SC"/>
        <family val="2"/>
      </rPr>
      <t xml:space="preserve">자료</t>
    </r>
    <r>
      <rPr>
        <b val="true"/>
        <sz val="14"/>
        <color rgb="FF1F3864"/>
        <rFont val="맑은 고딕"/>
        <family val="0"/>
        <charset val="1"/>
      </rPr>
      <t xml:space="preserve">) </t>
    </r>
    <r>
      <rPr>
        <b val="true"/>
        <sz val="14"/>
        <color rgb="FF1F3864"/>
        <rFont val="Noto Sans CJK SC"/>
        <family val="2"/>
      </rPr>
      <t xml:space="preserve">수집 목록</t>
    </r>
  </si>
  <si>
    <r>
      <rPr>
        <sz val="9"/>
        <color rgb="FF595959"/>
        <rFont val="Noto Sans CJK SC"/>
        <family val="2"/>
      </rPr>
      <t xml:space="preserve">시스템 화면 캡처는 「</t>
    </r>
    <r>
      <rPr>
        <sz val="9"/>
        <color rgb="FF595959"/>
        <rFont val="맑은 고딕"/>
        <family val="0"/>
        <charset val="1"/>
      </rPr>
      <t xml:space="preserve">4_</t>
    </r>
    <r>
      <rPr>
        <sz val="9"/>
        <color rgb="FF595959"/>
        <rFont val="Noto Sans CJK SC"/>
        <family val="2"/>
      </rPr>
      <t xml:space="preserve">시스템사용자매뉴얼</t>
    </r>
    <r>
      <rPr>
        <sz val="9"/>
        <color rgb="FF595959"/>
        <rFont val="맑은 고딕"/>
        <family val="0"/>
        <charset val="1"/>
      </rPr>
      <t xml:space="preserve">_</t>
    </r>
    <r>
      <rPr>
        <sz val="9"/>
        <color rgb="FF595959"/>
        <rFont val="Noto Sans CJK SC"/>
        <family val="2"/>
      </rPr>
      <t xml:space="preserve">영종센터」 수록 화면을 우선 활용</t>
    </r>
  </si>
  <si>
    <t xml:space="preserve">자체평가서 쪽</t>
  </si>
  <si>
    <t xml:space="preserve">사진 번호</t>
  </si>
  <si>
    <t xml:space="preserve">증명자료</t>
  </si>
  <si>
    <t xml:space="preserve">유형</t>
  </si>
  <si>
    <r>
      <rPr>
        <b val="true"/>
        <sz val="10"/>
        <color rgb="FFFFFFFF"/>
        <rFont val="Noto Sans CJK SC"/>
        <family val="2"/>
      </rPr>
      <t xml:space="preserve">수집 완료</t>
    </r>
    <r>
      <rPr>
        <b val="true"/>
        <sz val="10"/>
        <color rgb="FFFFFFFF"/>
        <rFont val="맑은 고딕"/>
        <family val="0"/>
        <charset val="1"/>
      </rPr>
      <t xml:space="preserve">(O)</t>
    </r>
  </si>
  <si>
    <t xml:space="preserve">p.7</t>
  </si>
  <si>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사진 </t>
    </r>
    <r>
      <rPr>
        <sz val="10"/>
        <rFont val="맑은 고딕"/>
        <family val="0"/>
        <charset val="1"/>
      </rPr>
      <t xml:space="preserve">1]</t>
    </r>
  </si>
  <si>
    <r>
      <rPr>
        <sz val="10"/>
        <rFont val="맑은 고딕"/>
        <family val="0"/>
        <charset val="1"/>
      </rPr>
      <t xml:space="preserve">Smartship </t>
    </r>
    <r>
      <rPr>
        <sz val="10"/>
        <rFont val="Noto Sans CJK SC"/>
        <family val="2"/>
      </rPr>
      <t xml:space="preserve">재고 입고신청 화면 캡처</t>
    </r>
  </si>
  <si>
    <t xml:space="preserve">캡처</t>
  </si>
  <si>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사진 </t>
    </r>
    <r>
      <rPr>
        <sz val="10"/>
        <rFont val="맑은 고딕"/>
        <family val="0"/>
        <charset val="1"/>
      </rPr>
      <t xml:space="preserve">2]</t>
    </r>
  </si>
  <si>
    <r>
      <rPr>
        <sz val="10"/>
        <rFont val="맑은 고딕"/>
        <family val="0"/>
        <charset val="1"/>
      </rPr>
      <t xml:space="preserve">SW </t>
    </r>
    <r>
      <rPr>
        <sz val="10"/>
        <rFont val="Noto Sans CJK SC"/>
        <family val="2"/>
      </rPr>
      <t xml:space="preserve">입고신청 화면</t>
    </r>
    <r>
      <rPr>
        <sz val="10"/>
        <rFont val="맑은 고딕"/>
        <family val="0"/>
        <charset val="1"/>
      </rPr>
      <t xml:space="preserve">(C1~CC </t>
    </r>
    <r>
      <rPr>
        <sz val="10"/>
        <rFont val="Noto Sans CJK SC"/>
        <family val="2"/>
      </rPr>
      <t xml:space="preserve">상태</t>
    </r>
    <r>
      <rPr>
        <sz val="10"/>
        <rFont val="맑은 고딕"/>
        <family val="0"/>
        <charset val="1"/>
      </rPr>
      <t xml:space="preserve">) </t>
    </r>
    <r>
      <rPr>
        <sz val="10"/>
        <rFont val="Noto Sans CJK SC"/>
        <family val="2"/>
      </rPr>
      <t xml:space="preserve">캡처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</si>
  <si>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사진 </t>
    </r>
    <r>
      <rPr>
        <sz val="10"/>
        <rFont val="맑은 고딕"/>
        <family val="0"/>
        <charset val="1"/>
      </rPr>
      <t xml:space="preserve">3]</t>
    </r>
  </si>
  <si>
    <t xml:space="preserve">입고 슬롯 배정 화면 또는 일일 입고계획표</t>
  </si>
  <si>
    <t xml:space="preserve">p.8</t>
  </si>
  <si>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층 입고 도크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도크레벨러 현장 사진</t>
    </r>
  </si>
  <si>
    <t xml:space="preserve">사진</t>
  </si>
  <si>
    <t xml:space="preserve">램프웨이 차량 접안 사진</t>
  </si>
  <si>
    <r>
      <rPr>
        <sz val="10"/>
        <rFont val="맑은 고딕"/>
        <family val="0"/>
        <charset val="1"/>
      </rPr>
      <t xml:space="preserve">PDA </t>
    </r>
    <r>
      <rPr>
        <sz val="10"/>
        <rFont val="Noto Sans CJK SC"/>
        <family val="2"/>
      </rPr>
      <t xml:space="preserve">도착 처리 화면</t>
    </r>
  </si>
  <si>
    <t xml:space="preserve">p.9</t>
  </si>
  <si>
    <r>
      <rPr>
        <sz val="10"/>
        <rFont val="Noto Sans CJK SC"/>
        <family val="2"/>
      </rPr>
      <t xml:space="preserve">입고 검수대 </t>
    </r>
    <r>
      <rPr>
        <sz val="10"/>
        <rFont val="맑은 고딕"/>
        <family val="0"/>
        <charset val="1"/>
      </rPr>
      <t xml:space="preserve">PDA </t>
    </r>
    <r>
      <rPr>
        <sz val="10"/>
        <rFont val="Noto Sans CJK SC"/>
        <family val="2"/>
      </rPr>
      <t xml:space="preserve">스캔 작업 사진</t>
    </r>
  </si>
  <si>
    <r>
      <rPr>
        <sz val="10"/>
        <rFont val="Noto Sans CJK SC"/>
        <family val="2"/>
      </rPr>
      <t xml:space="preserve">입고 </t>
    </r>
    <r>
      <rPr>
        <sz val="10"/>
        <rFont val="맑은 고딕"/>
        <family val="0"/>
        <charset val="1"/>
      </rPr>
      <t xml:space="preserve">SKU </t>
    </r>
    <r>
      <rPr>
        <sz val="10"/>
        <rFont val="Noto Sans CJK SC"/>
        <family val="2"/>
      </rPr>
      <t xml:space="preserve">화면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도착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손상수량 입력</t>
    </r>
    <r>
      <rPr>
        <sz val="10"/>
        <rFont val="맑은 고딕"/>
        <family val="0"/>
        <charset val="1"/>
      </rPr>
      <t xml:space="preserve">) </t>
    </r>
    <r>
      <rPr>
        <sz val="10"/>
        <rFont val="Noto Sans CJK SC"/>
        <family val="2"/>
      </rPr>
      <t xml:space="preserve">캡처</t>
    </r>
  </si>
  <si>
    <t xml:space="preserve">입고 검수 기록서 양식</t>
  </si>
  <si>
    <t xml:space="preserve">자료</t>
  </si>
  <si>
    <t xml:space="preserve">p.10</t>
  </si>
  <si>
    <r>
      <rPr>
        <sz val="10"/>
        <rFont val="Noto Sans CJK SC"/>
        <family val="2"/>
      </rPr>
      <t xml:space="preserve">휴대용 </t>
    </r>
    <r>
      <rPr>
        <sz val="10"/>
        <rFont val="맑은 고딕"/>
        <family val="0"/>
        <charset val="1"/>
      </rPr>
      <t xml:space="preserve">DWS </t>
    </r>
    <r>
      <rPr>
        <sz val="10"/>
        <rFont val="Noto Sans CJK SC"/>
        <family val="2"/>
      </rPr>
      <t xml:space="preserve">측정 사진</t>
    </r>
  </si>
  <si>
    <r>
      <rPr>
        <sz val="10"/>
        <rFont val="맑은 고딕"/>
        <family val="0"/>
        <charset val="1"/>
      </rPr>
      <t xml:space="preserve">SKU </t>
    </r>
    <r>
      <rPr>
        <sz val="10"/>
        <rFont val="Noto Sans CJK SC"/>
        <family val="2"/>
      </rPr>
      <t xml:space="preserve">관리 화면 캡처</t>
    </r>
  </si>
  <si>
    <r>
      <rPr>
        <sz val="10"/>
        <rFont val="맑은 고딕"/>
        <family val="0"/>
        <charset val="1"/>
      </rPr>
      <t xml:space="preserve">DWS </t>
    </r>
    <r>
      <rPr>
        <sz val="10"/>
        <rFont val="Noto Sans CJK SC"/>
        <family val="2"/>
      </rPr>
      <t xml:space="preserve">측정값 반영 화면</t>
    </r>
  </si>
  <si>
    <t xml:space="preserve">p.11</t>
  </si>
  <si>
    <t xml:space="preserve">입고 확정 화면 캡처</t>
  </si>
  <si>
    <r>
      <rPr>
        <sz val="10"/>
        <rFont val="맑은 고딕"/>
        <family val="0"/>
        <charset val="1"/>
      </rPr>
      <t xml:space="preserve">Smartship </t>
    </r>
    <r>
      <rPr>
        <sz val="10"/>
        <rFont val="Noto Sans CJK SC"/>
        <family val="2"/>
      </rPr>
      <t xml:space="preserve">재고 반영 화면 캡처</t>
    </r>
  </si>
  <si>
    <t xml:space="preserve">p.12</t>
  </si>
  <si>
    <r>
      <rPr>
        <sz val="10"/>
        <rFont val="맑은 고딕"/>
        <family val="0"/>
        <charset val="1"/>
      </rPr>
      <t xml:space="preserve">PDA </t>
    </r>
    <r>
      <rPr>
        <sz val="10"/>
        <rFont val="Noto Sans CJK SC"/>
        <family val="2"/>
      </rPr>
      <t xml:space="preserve">추천 로케이션 화면 캡처</t>
    </r>
  </si>
  <si>
    <t xml:space="preserve">적치 작업 사진</t>
  </si>
  <si>
    <t xml:space="preserve">p.13</t>
  </si>
  <si>
    <t xml:space="preserve">지게차 적치 작업 사진</t>
  </si>
  <si>
    <t xml:space="preserve">셀렉티브 랙 전경 사진</t>
  </si>
  <si>
    <t xml:space="preserve">p.14</t>
  </si>
  <si>
    <t xml:space="preserve">레이아웃관리 화면 캡처</t>
  </si>
  <si>
    <t xml:space="preserve">보관 영역 로케이션 배치도</t>
  </si>
  <si>
    <t xml:space="preserve">p.15</t>
  </si>
  <si>
    <t xml:space="preserve">로케이션 라벨 부착 사진</t>
  </si>
  <si>
    <t xml:space="preserve">셀 상세 화면 캡처</t>
  </si>
  <si>
    <t xml:space="preserve">p.16</t>
  </si>
  <si>
    <r>
      <rPr>
        <sz val="10"/>
        <rFont val="Noto Sans CJK SC"/>
        <family val="2"/>
      </rPr>
      <t xml:space="preserve">재고실사 생성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수행 화면 캡처</t>
    </r>
  </si>
  <si>
    <t xml:space="preserve">실사 결과 및 재고 조정 이력</t>
  </si>
  <si>
    <t xml:space="preserve">p.17</t>
  </si>
  <si>
    <r>
      <rPr>
        <sz val="10"/>
        <rFont val="Noto Sans CJK SC"/>
        <family val="2"/>
      </rPr>
      <t xml:space="preserve">재고 재배치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보충</t>
    </r>
    <r>
      <rPr>
        <sz val="10"/>
        <rFont val="맑은 고딕"/>
        <family val="0"/>
        <charset val="1"/>
      </rPr>
      <t xml:space="preserve">) </t>
    </r>
    <r>
      <rPr>
        <sz val="10"/>
        <rFont val="Noto Sans CJK SC"/>
        <family val="2"/>
      </rPr>
      <t xml:space="preserve">화면 캡처</t>
    </r>
  </si>
  <si>
    <t xml:space="preserve">p.18</t>
  </si>
  <si>
    <t xml:space="preserve">재배치 상세 화면 캡처</t>
  </si>
  <si>
    <t xml:space="preserve">p.19</t>
  </si>
  <si>
    <r>
      <rPr>
        <sz val="10"/>
        <rFont val="Noto Sans CJK SC"/>
        <family val="2"/>
      </rPr>
      <t xml:space="preserve">전체 대시보드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대시보드 모니터 화면 캡처</t>
    </r>
  </si>
  <si>
    <t xml:space="preserve">현장 상황판 사진</t>
  </si>
  <si>
    <t xml:space="preserve">마감리포트 캡처</t>
  </si>
  <si>
    <t xml:space="preserve">p.20</t>
  </si>
  <si>
    <r>
      <rPr>
        <sz val="10"/>
        <rFont val="Noto Sans CJK SC"/>
        <family val="2"/>
      </rPr>
      <t xml:space="preserve">유통기한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입고일 조회 화면 캡처</t>
    </r>
  </si>
  <si>
    <t xml:space="preserve">p.21</t>
  </si>
  <si>
    <r>
      <rPr>
        <sz val="10"/>
        <rFont val="Noto Sans CJK SC"/>
        <family val="2"/>
      </rPr>
      <t xml:space="preserve">픽킹 리스트 생성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관리 화면 캡처</t>
    </r>
  </si>
  <si>
    <r>
      <rPr>
        <sz val="10"/>
        <rFont val="맑은 고딕"/>
        <family val="0"/>
        <charset val="1"/>
      </rPr>
      <t xml:space="preserve">PDA </t>
    </r>
    <r>
      <rPr>
        <sz val="10"/>
        <rFont val="Noto Sans CJK SC"/>
        <family val="2"/>
      </rPr>
      <t xml:space="preserve">피킹 지시 화면</t>
    </r>
  </si>
  <si>
    <t xml:space="preserve">p.22</t>
  </si>
  <si>
    <r>
      <rPr>
        <sz val="10"/>
        <rFont val="맑은 고딕"/>
        <family val="0"/>
        <charset val="1"/>
      </rPr>
      <t xml:space="preserve">PDA </t>
    </r>
    <r>
      <rPr>
        <sz val="10"/>
        <rFont val="Noto Sans CJK SC"/>
        <family val="2"/>
      </rPr>
      <t xml:space="preserve">피킹 화면</t>
    </r>
  </si>
  <si>
    <r>
      <rPr>
        <sz val="10"/>
        <rFont val="맑은 고딕"/>
        <family val="0"/>
        <charset val="1"/>
      </rPr>
      <t xml:space="preserve">PTL </t>
    </r>
    <r>
      <rPr>
        <sz val="10"/>
        <rFont val="Noto Sans CJK SC"/>
        <family val="2"/>
      </rPr>
      <t xml:space="preserve">점등 사진</t>
    </r>
  </si>
  <si>
    <t xml:space="preserve">p.23</t>
  </si>
  <si>
    <r>
      <rPr>
        <sz val="10"/>
        <rFont val="Noto Sans CJK SC"/>
        <family val="2"/>
      </rPr>
      <t xml:space="preserve">픽킹 리스트 상세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로케이션 순</t>
    </r>
    <r>
      <rPr>
        <sz val="10"/>
        <rFont val="맑은 고딕"/>
        <family val="0"/>
        <charset val="1"/>
      </rPr>
      <t xml:space="preserve">) </t>
    </r>
    <r>
      <rPr>
        <sz val="10"/>
        <rFont val="Noto Sans CJK SC"/>
        <family val="2"/>
      </rPr>
      <t xml:space="preserve">캡처</t>
    </r>
  </si>
  <si>
    <t xml:space="preserve">p.24</t>
  </si>
  <si>
    <t xml:space="preserve">카트피킹 작업 사진</t>
  </si>
  <si>
    <r>
      <rPr>
        <sz val="10"/>
        <rFont val="맑은 고딕"/>
        <family val="0"/>
        <charset val="1"/>
      </rPr>
      <t xml:space="preserve">PDA </t>
    </r>
    <r>
      <rPr>
        <sz val="10"/>
        <rFont val="Noto Sans CJK SC"/>
        <family val="2"/>
      </rPr>
      <t xml:space="preserve">스캔 검증 화면</t>
    </r>
  </si>
  <si>
    <t xml:space="preserve">p.25</t>
  </si>
  <si>
    <t xml:space="preserve">슈트 설정 화면 캡처</t>
  </si>
  <si>
    <t xml:space="preserve">분류 영역 전경 사진</t>
  </si>
  <si>
    <t xml:space="preserve">p.26</t>
  </si>
  <si>
    <r>
      <rPr>
        <sz val="10"/>
        <rFont val="Noto Sans CJK SC"/>
        <family val="2"/>
      </rPr>
      <t xml:space="preserve">휠소터</t>
    </r>
    <r>
      <rPr>
        <sz val="10"/>
        <rFont val="맑은 고딕"/>
        <family val="0"/>
        <charset val="1"/>
      </rPr>
      <t xml:space="preserve">·3D </t>
    </r>
    <r>
      <rPr>
        <sz val="10"/>
        <rFont val="Noto Sans CJK SC"/>
        <family val="2"/>
      </rPr>
      <t xml:space="preserve">소터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싱귤레이터 사진</t>
    </r>
  </si>
  <si>
    <t xml:space="preserve">소터 모니터링 화면 캡처</t>
  </si>
  <si>
    <t xml:space="preserve">p.27</t>
  </si>
  <si>
    <t xml:space="preserve">패킹 리스트 화면 캡처</t>
  </si>
  <si>
    <t xml:space="preserve">포장대 전경 사진</t>
  </si>
  <si>
    <t xml:space="preserve">p.28</t>
  </si>
  <si>
    <t xml:space="preserve">포장재 보관 구역 사진</t>
  </si>
  <si>
    <t xml:space="preserve">p.29</t>
  </si>
  <si>
    <t xml:space="preserve">검품 스캔 화면</t>
  </si>
  <si>
    <t xml:space="preserve">녹화 영상 조회 화면 캡처</t>
  </si>
  <si>
    <r>
      <rPr>
        <sz val="10"/>
        <rFont val="맑은 고딕"/>
        <family val="0"/>
        <charset val="1"/>
      </rPr>
      <t xml:space="preserve">DWS </t>
    </r>
    <r>
      <rPr>
        <sz val="10"/>
        <rFont val="Noto Sans CJK SC"/>
        <family val="2"/>
      </rPr>
      <t xml:space="preserve">계측 사진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</si>
  <si>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사진 </t>
    </r>
    <r>
      <rPr>
        <sz val="10"/>
        <rFont val="맑은 고딕"/>
        <family val="0"/>
        <charset val="1"/>
      </rPr>
      <t xml:space="preserve">4]</t>
    </r>
  </si>
  <si>
    <r>
      <rPr>
        <sz val="10"/>
        <rFont val="Noto Sans CJK SC"/>
        <family val="2"/>
      </rPr>
      <t xml:space="preserve">이상</t>
    </r>
    <r>
      <rPr>
        <sz val="10"/>
        <rFont val="맑은 고딕"/>
        <family val="0"/>
        <charset val="1"/>
      </rPr>
      <t xml:space="preserve">/</t>
    </r>
    <r>
      <rPr>
        <sz val="10"/>
        <rFont val="Noto Sans CJK SC"/>
        <family val="2"/>
      </rPr>
      <t xml:space="preserve">클레임 보고서 양식</t>
    </r>
  </si>
  <si>
    <t xml:space="preserve">p.30</t>
  </si>
  <si>
    <r>
      <rPr>
        <sz val="10"/>
        <rFont val="Noto Sans CJK SC"/>
        <family val="2"/>
      </rPr>
      <t xml:space="preserve">포장대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봉함기 사진</t>
    </r>
  </si>
  <si>
    <t xml:space="preserve">p.31</t>
  </si>
  <si>
    <t xml:space="preserve">오토라벨러 사진</t>
  </si>
  <si>
    <t xml:space="preserve">송장 출력 화면</t>
  </si>
  <si>
    <t xml:space="preserve">p.32</t>
  </si>
  <si>
    <t xml:space="preserve">슈트별 분류 사진</t>
  </si>
  <si>
    <r>
      <rPr>
        <sz val="10"/>
        <rFont val="Noto Sans CJK SC"/>
        <family val="2"/>
      </rPr>
      <t xml:space="preserve">번들 검증 </t>
    </r>
    <r>
      <rPr>
        <sz val="10"/>
        <rFont val="맑은 고딕"/>
        <family val="0"/>
        <charset val="1"/>
      </rPr>
      <t xml:space="preserve">PDA </t>
    </r>
    <r>
      <rPr>
        <sz val="10"/>
        <rFont val="Noto Sans CJK SC"/>
        <family val="2"/>
      </rPr>
      <t xml:space="preserve">화면</t>
    </r>
  </si>
  <si>
    <t xml:space="preserve">p.33</t>
  </si>
  <si>
    <t xml:space="preserve">상차 도크 사진</t>
  </si>
  <si>
    <r>
      <rPr>
        <sz val="10"/>
        <rFont val="맑은 고딕"/>
        <family val="0"/>
        <charset val="1"/>
      </rPr>
      <t xml:space="preserve">TLPS </t>
    </r>
    <r>
      <rPr>
        <sz val="10"/>
        <rFont val="Noto Sans CJK SC"/>
        <family val="2"/>
      </rPr>
      <t xml:space="preserve">인계 일정 화면</t>
    </r>
  </si>
  <si>
    <t xml:space="preserve">p.34</t>
  </si>
  <si>
    <t xml:space="preserve">상차 작업 사진</t>
  </si>
  <si>
    <r>
      <rPr>
        <sz val="10"/>
        <rFont val="Noto Sans CJK SC"/>
        <family val="2"/>
      </rPr>
      <t xml:space="preserve">인계 확인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스캔</t>
    </r>
    <r>
      <rPr>
        <sz val="10"/>
        <rFont val="맑은 고딕"/>
        <family val="0"/>
        <charset val="1"/>
      </rPr>
      <t xml:space="preserve">) </t>
    </r>
    <r>
      <rPr>
        <sz val="10"/>
        <rFont val="Noto Sans CJK SC"/>
        <family val="2"/>
      </rPr>
      <t xml:space="preserve">화면</t>
    </r>
  </si>
  <si>
    <t xml:space="preserve">p.35</t>
  </si>
  <si>
    <r>
      <rPr>
        <sz val="10"/>
        <rFont val="Noto Sans CJK SC"/>
        <family val="2"/>
      </rPr>
      <t xml:space="preserve">출고 확정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송장 조회 화면</t>
    </r>
  </si>
  <si>
    <t xml:space="preserve">출고 영상 매핑 화면</t>
  </si>
  <si>
    <t xml:space="preserve">p.36</t>
  </si>
  <si>
    <r>
      <rPr>
        <sz val="10"/>
        <rFont val="Noto Sans CJK SC"/>
        <family val="2"/>
      </rPr>
      <t xml:space="preserve">도크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레벨러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차양 사진</t>
    </r>
  </si>
  <si>
    <r>
      <rPr>
        <sz val="10"/>
        <rFont val="Noto Sans CJK SC"/>
        <family val="2"/>
      </rPr>
      <t xml:space="preserve">바닥 평탄도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하중 근거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건축 설계도서 또는 임대인 제원표</t>
    </r>
    <r>
      <rPr>
        <sz val="10"/>
        <rFont val="맑은 고딕"/>
        <family val="0"/>
        <charset val="1"/>
      </rPr>
      <t xml:space="preserve">)</t>
    </r>
  </si>
  <si>
    <t xml:space="preserve">바닥 라인 표시 사진</t>
  </si>
  <si>
    <t xml:space="preserve">p.38</t>
  </si>
  <si>
    <r>
      <rPr>
        <sz val="10"/>
        <rFont val="Noto Sans CJK SC"/>
        <family val="2"/>
      </rPr>
      <t xml:space="preserve">평면도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기둥 격자 치수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</si>
  <si>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보관 영역 전경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층고</t>
    </r>
    <r>
      <rPr>
        <sz val="10"/>
        <rFont val="맑은 고딕"/>
        <family val="0"/>
        <charset val="1"/>
      </rPr>
      <t xml:space="preserve">) </t>
    </r>
    <r>
      <rPr>
        <sz val="10"/>
        <rFont val="Noto Sans CJK SC"/>
        <family val="2"/>
      </rPr>
      <t xml:space="preserve">사진</t>
    </r>
  </si>
  <si>
    <t xml:space="preserve">p.39</t>
  </si>
  <si>
    <r>
      <rPr>
        <sz val="10"/>
        <rFont val="Noto Sans CJK SC"/>
        <family val="2"/>
      </rPr>
      <t xml:space="preserve">운영 </t>
    </r>
    <r>
      <rPr>
        <sz val="10"/>
        <rFont val="맑은 고딕"/>
        <family val="0"/>
        <charset val="1"/>
      </rPr>
      <t xml:space="preserve">Lay-out </t>
    </r>
    <r>
      <rPr>
        <sz val="10"/>
        <rFont val="Noto Sans CJK SC"/>
        <family val="2"/>
      </rPr>
      <t xml:space="preserve">도면</t>
    </r>
  </si>
  <si>
    <r>
      <rPr>
        <sz val="10"/>
        <rFont val="Noto Sans CJK SC"/>
        <family val="2"/>
      </rPr>
      <t xml:space="preserve">램프웨이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동선 표시 사진</t>
    </r>
  </si>
  <si>
    <t xml:space="preserve">p.40</t>
  </si>
  <si>
    <r>
      <rPr>
        <sz val="10"/>
        <rFont val="Noto Sans CJK SC"/>
        <family val="2"/>
      </rPr>
      <t xml:space="preserve">조도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온습도 측정 기록</t>
    </r>
  </si>
  <si>
    <r>
      <rPr>
        <sz val="10"/>
        <rFont val="Noto Sans CJK SC"/>
        <family val="2"/>
      </rPr>
      <t xml:space="preserve">방충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방서 관리 기록</t>
    </r>
  </si>
  <si>
    <t xml:space="preserve">휴게실 사진</t>
  </si>
  <si>
    <t xml:space="preserve">p.41</t>
  </si>
  <si>
    <t xml:space="preserve">소방시설 자체점검 결과보고서</t>
  </si>
  <si>
    <r>
      <rPr>
        <sz val="10"/>
        <rFont val="Noto Sans CJK SC"/>
        <family val="2"/>
      </rPr>
      <t xml:space="preserve">비상구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소화설비 사진</t>
    </r>
  </si>
  <si>
    <t xml:space="preserve">안전교육 이수 기록</t>
  </si>
  <si>
    <r>
      <rPr>
        <sz val="10"/>
        <rFont val="Noto Sans CJK SC"/>
        <family val="2"/>
      </rPr>
      <t xml:space="preserve">작업자 추적</t>
    </r>
    <r>
      <rPr>
        <sz val="10"/>
        <rFont val="맑은 고딕"/>
        <family val="0"/>
        <charset val="1"/>
      </rPr>
      <t xml:space="preserve">(QR) </t>
    </r>
    <r>
      <rPr>
        <sz val="10"/>
        <rFont val="Noto Sans CJK SC"/>
        <family val="2"/>
      </rPr>
      <t xml:space="preserve">화면</t>
    </r>
  </si>
  <si>
    <t xml:space="preserve">p.42</t>
  </si>
  <si>
    <r>
      <rPr>
        <sz val="10"/>
        <rFont val="Noto Sans CJK SC"/>
        <family val="2"/>
      </rPr>
      <t xml:space="preserve">최근 </t>
    </r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년 물류비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절감률 실적표</t>
    </r>
  </si>
  <si>
    <t xml:space="preserve">월간 성과보고 자료</t>
  </si>
  <si>
    <t xml:space="preserve">p.43</t>
  </si>
  <si>
    <r>
      <rPr>
        <sz val="10"/>
        <rFont val="Noto Sans CJK SC"/>
        <family val="2"/>
      </rPr>
      <t xml:space="preserve">작업자 추적 화면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리포트 캡처</t>
    </r>
  </si>
  <si>
    <r>
      <rPr>
        <sz val="10"/>
        <rFont val="Noto Sans CJK SC"/>
        <family val="2"/>
      </rPr>
      <t xml:space="preserve">최근 </t>
    </r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년 </t>
    </r>
    <r>
      <rPr>
        <sz val="10"/>
        <rFont val="맑은 고딕"/>
        <family val="0"/>
        <charset val="1"/>
      </rPr>
      <t xml:space="preserve">UPH </t>
    </r>
    <r>
      <rPr>
        <sz val="10"/>
        <rFont val="Noto Sans CJK SC"/>
        <family val="2"/>
      </rPr>
      <t xml:space="preserve">실적표</t>
    </r>
  </si>
  <si>
    <t xml:space="preserve">p.44</t>
  </si>
  <si>
    <r>
      <rPr>
        <sz val="10"/>
        <rFont val="Noto Sans CJK SC"/>
        <family val="2"/>
      </rPr>
      <t xml:space="preserve">최근 </t>
    </r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년 오출고율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정확도 실적</t>
    </r>
  </si>
  <si>
    <t xml:space="preserve">클레임 처리 이력</t>
  </si>
  <si>
    <t xml:space="preserve">안전교육 기록</t>
  </si>
  <si>
    <t xml:space="preserve">p.45</t>
  </si>
  <si>
    <t xml:space="preserve">친환경 포장재 적용률 실적</t>
  </si>
  <si>
    <t xml:space="preserve">폐기물 재활용 실적</t>
  </si>
  <si>
    <r>
      <rPr>
        <sz val="10"/>
        <rFont val="맑은 고딕"/>
        <family val="0"/>
        <charset val="1"/>
      </rPr>
      <t xml:space="preserve">LED </t>
    </r>
    <r>
      <rPr>
        <sz val="10"/>
        <rFont val="Noto Sans CJK SC"/>
        <family val="2"/>
      </rPr>
      <t xml:space="preserve">조명 등 설비 사진</t>
    </r>
  </si>
  <si>
    <t xml:space="preserve">p.46</t>
  </si>
  <si>
    <r>
      <rPr>
        <sz val="10"/>
        <rFont val="맑은 고딕"/>
        <family val="0"/>
        <charset val="1"/>
      </rPr>
      <t xml:space="preserve">Smartship </t>
    </r>
    <r>
      <rPr>
        <sz val="10"/>
        <rFont val="Noto Sans CJK SC"/>
        <family val="2"/>
      </rPr>
      <t xml:space="preserve">주문 수집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검증 화면</t>
    </r>
  </si>
  <si>
    <t xml:space="preserve">채널 연동 현황 화면</t>
  </si>
  <si>
    <t xml:space="preserve">p.47</t>
  </si>
  <si>
    <r>
      <rPr>
        <sz val="10"/>
        <rFont val="Noto Sans CJK SC"/>
        <family val="2"/>
      </rPr>
      <t xml:space="preserve">입고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출고 화면</t>
    </r>
  </si>
  <si>
    <r>
      <rPr>
        <sz val="10"/>
        <rFont val="맑은 고딕"/>
        <family val="0"/>
        <charset val="1"/>
      </rPr>
      <t xml:space="preserve">TLPS </t>
    </r>
    <r>
      <rPr>
        <sz val="10"/>
        <rFont val="Noto Sans CJK SC"/>
        <family val="2"/>
      </rPr>
      <t xml:space="preserve">운송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인계 화면</t>
    </r>
  </si>
  <si>
    <t xml:space="preserve">p.48</t>
  </si>
  <si>
    <r>
      <rPr>
        <sz val="10"/>
        <rFont val="Noto Sans CJK SC"/>
        <family val="2"/>
      </rPr>
      <t xml:space="preserve">대시보드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셀 상세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실사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마감리포트 화면</t>
    </r>
  </si>
  <si>
    <t xml:space="preserve">p.49</t>
  </si>
  <si>
    <r>
      <rPr>
        <sz val="10"/>
        <rFont val="Noto Sans CJK SC"/>
        <family val="2"/>
      </rPr>
      <t xml:space="preserve">레이아웃관리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디바이스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작업자 추적 화면</t>
    </r>
  </si>
  <si>
    <t xml:space="preserve">p.50</t>
  </si>
  <si>
    <t xml:space="preserve">풀필먼트 주문관리 대시보드</t>
  </si>
  <si>
    <t xml:space="preserve">반품 출고 관리 화면</t>
  </si>
  <si>
    <t xml:space="preserve">오류화물 관리 화면</t>
  </si>
  <si>
    <t xml:space="preserve">p.51</t>
  </si>
  <si>
    <r>
      <rPr>
        <sz val="10"/>
        <rFont val="Noto Sans CJK SC"/>
        <family val="2"/>
      </rPr>
      <t xml:space="preserve">소터 모니터링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슈트 설정 화면</t>
    </r>
  </si>
  <si>
    <t xml:space="preserve">설비 구성도</t>
  </si>
  <si>
    <t xml:space="preserve">확인 결과에 따라 등급이 오르내릴 수 있는 항목</t>
  </si>
  <si>
    <r>
      <rPr>
        <b val="true"/>
        <sz val="10"/>
        <color rgb="FFFFFFFF"/>
        <rFont val="Noto Sans CJK SC"/>
        <family val="2"/>
      </rPr>
      <t xml:space="preserve">현재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조정</t>
    </r>
    <r>
      <rPr>
        <b val="true"/>
        <sz val="10"/>
        <color rgb="FFFFFFFF"/>
        <rFont val="맑은 고딕"/>
        <family val="0"/>
        <charset val="1"/>
      </rPr>
      <t xml:space="preserve">) </t>
    </r>
    <r>
      <rPr>
        <b val="true"/>
        <sz val="10"/>
        <color rgb="FFFFFFFF"/>
        <rFont val="Noto Sans CJK SC"/>
        <family val="2"/>
      </rPr>
      <t xml:space="preserve">등급</t>
    </r>
  </si>
  <si>
    <r>
      <rPr>
        <b val="true"/>
        <sz val="10"/>
        <color rgb="FFFFFFFF"/>
        <rFont val="Noto Sans CJK SC"/>
        <family val="2"/>
      </rPr>
      <t xml:space="preserve">확인 사항 </t>
    </r>
    <r>
      <rPr>
        <b val="true"/>
        <sz val="10"/>
        <color rgb="FFFFFFFF"/>
        <rFont val="맑은 고딕"/>
        <family val="0"/>
        <charset val="1"/>
      </rPr>
      <t xml:space="preserve">· </t>
    </r>
    <r>
      <rPr>
        <b val="true"/>
        <sz val="10"/>
        <color rgb="FFFFFFFF"/>
        <rFont val="Noto Sans CJK SC"/>
        <family val="2"/>
      </rPr>
      <t xml:space="preserve">등급 변동 조건</t>
    </r>
  </si>
  <si>
    <r>
      <rPr>
        <sz val="10"/>
        <rFont val="Noto Sans CJK SC"/>
        <family val="2"/>
      </rPr>
      <t xml:space="preserve">입고 슬롯 배정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인력 배치가 시스템 기능인지 확인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수기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엑셀</t>
    </r>
    <r>
      <rPr>
        <sz val="10"/>
        <rFont val="맑은 고딕"/>
        <family val="0"/>
        <charset val="1"/>
      </rPr>
      <t xml:space="preserve">) </t>
    </r>
    <r>
      <rPr>
        <sz val="10"/>
        <rFont val="Noto Sans CJK SC"/>
        <family val="2"/>
      </rPr>
      <t xml:space="preserve">운영이면 </t>
    </r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등급으로 조정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</si>
  <si>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도크레벨러 수량 확인 필요</t>
    </r>
    <r>
      <rPr>
        <sz val="10"/>
        <rFont val="맑은 고딕"/>
        <family val="0"/>
        <charset val="1"/>
      </rPr>
      <t xml:space="preserve">: 02 </t>
    </r>
    <r>
      <rPr>
        <sz val="10"/>
        <rFont val="Noto Sans CJK SC"/>
        <family val="2"/>
      </rPr>
      <t xml:space="preserve">설계설명서는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개소</t>
    </r>
    <r>
      <rPr>
        <sz val="10"/>
        <rFont val="맑은 고딕"/>
        <family val="0"/>
        <charset val="1"/>
      </rPr>
      <t xml:space="preserve">, Lay-out(2026.07.27)</t>
    </r>
    <r>
      <rPr>
        <sz val="10"/>
        <rFont val="Noto Sans CJK SC"/>
        <family val="2"/>
      </rPr>
      <t xml:space="preserve">에는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개소 표기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</si>
  <si>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화물 입고 라인의 </t>
    </r>
    <r>
      <rPr>
        <sz val="10"/>
        <rFont val="맑은 고딕"/>
        <family val="0"/>
        <charset val="1"/>
      </rPr>
      <t xml:space="preserve">DWS·</t>
    </r>
    <r>
      <rPr>
        <sz val="10"/>
        <rFont val="Noto Sans CJK SC"/>
        <family val="2"/>
      </rPr>
      <t xml:space="preserve">오토라벨러 자동 계측을 검수 자동화 근거로 제시하면 </t>
    </r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등급 검토 가능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</si>
  <si>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DWS </t>
    </r>
    <r>
      <rPr>
        <sz val="10"/>
        <rFont val="Noto Sans CJK SC"/>
        <family val="2"/>
      </rPr>
      <t xml:space="preserve">수량 불일치</t>
    </r>
    <r>
      <rPr>
        <sz val="10"/>
        <rFont val="맑은 고딕"/>
        <family val="0"/>
        <charset val="1"/>
      </rPr>
      <t xml:space="preserve">: 04 </t>
    </r>
    <r>
      <rPr>
        <sz val="10"/>
        <rFont val="Noto Sans CJK SC"/>
        <family val="2"/>
      </rPr>
      <t xml:space="preserve">명세서 휴대용 </t>
    </r>
    <r>
      <rPr>
        <sz val="10"/>
        <rFont val="맑은 고딕"/>
        <family val="0"/>
        <charset val="1"/>
      </rPr>
      <t xml:space="preserve">DWS 6</t>
    </r>
    <r>
      <rPr>
        <sz val="10"/>
        <rFont val="Noto Sans CJK SC"/>
        <family val="2"/>
      </rPr>
      <t xml:space="preserve">대 </t>
    </r>
    <r>
      <rPr>
        <sz val="10"/>
        <rFont val="맑은 고딕"/>
        <family val="0"/>
        <charset val="1"/>
      </rPr>
      <t xml:space="preserve">/ 02·05 DWS 2</t>
    </r>
    <r>
      <rPr>
        <sz val="10"/>
        <rFont val="Noto Sans CJK SC"/>
        <family val="2"/>
      </rPr>
      <t xml:space="preserve">대 </t>
    </r>
    <r>
      <rPr>
        <sz val="10"/>
        <rFont val="맑은 고딕"/>
        <family val="0"/>
        <charset val="1"/>
      </rPr>
      <t xml:space="preserve">/ 07 </t>
    </r>
    <r>
      <rPr>
        <sz val="10"/>
        <rFont val="Noto Sans CJK SC"/>
        <family val="2"/>
      </rPr>
      <t xml:space="preserve">입고용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대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설비 대장으로 통일 필요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</si>
  <si>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로케이션 추천 기준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규칙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을 문서화하면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등급 근거가 됨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</si>
  <si>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지게차 보유 대수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동력원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전동</t>
    </r>
    <r>
      <rPr>
        <sz val="10"/>
        <rFont val="맑은 고딕"/>
        <family val="0"/>
        <charset val="1"/>
      </rPr>
      <t xml:space="preserve">/</t>
    </r>
    <r>
      <rPr>
        <sz val="10"/>
        <rFont val="Noto Sans CJK SC"/>
        <family val="2"/>
      </rPr>
      <t xml:space="preserve">디젤</t>
    </r>
    <r>
      <rPr>
        <sz val="10"/>
        <rFont val="맑은 고딕"/>
        <family val="0"/>
        <charset val="1"/>
      </rPr>
      <t xml:space="preserve">) </t>
    </r>
    <r>
      <rPr>
        <sz val="10"/>
        <rFont val="Noto Sans CJK SC"/>
        <family val="2"/>
      </rPr>
      <t xml:space="preserve">확인 후 </t>
    </r>
    <r>
      <rPr>
        <sz val="10"/>
        <rFont val="맑은 고딕"/>
        <family val="0"/>
        <charset val="1"/>
      </rPr>
      <t xml:space="preserve">04 </t>
    </r>
    <r>
      <rPr>
        <sz val="10"/>
        <rFont val="Noto Sans CJK SC"/>
        <family val="2"/>
      </rPr>
      <t xml:space="preserve">명세서에 추가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</si>
  <si>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최근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년 재고 정확도 실적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실사 결과</t>
    </r>
    <r>
      <rPr>
        <sz val="10"/>
        <rFont val="맑은 고딕"/>
        <family val="0"/>
        <charset val="1"/>
      </rPr>
      <t xml:space="preserve">) </t>
    </r>
    <r>
      <rPr>
        <sz val="10"/>
        <rFont val="Noto Sans CJK SC"/>
        <family val="2"/>
      </rPr>
      <t xml:space="preserve">확보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</si>
  <si>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보충 요청이 기준재고에 의해 자동 생성되는지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관리자가 수동 등록하는지 확인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수동이면 </t>
    </r>
    <r>
      <rPr>
        <sz val="10"/>
        <rFont val="맑은 고딕"/>
        <family val="0"/>
        <charset val="1"/>
      </rPr>
      <t xml:space="preserve">4</t>
    </r>
    <r>
      <rPr>
        <sz val="10"/>
        <rFont val="Noto Sans CJK SC"/>
        <family val="2"/>
      </rPr>
      <t xml:space="preserve">등급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</si>
  <si>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WMS</t>
    </r>
    <r>
      <rPr>
        <sz val="10"/>
        <rFont val="Noto Sans CJK SC"/>
        <family val="2"/>
      </rPr>
      <t xml:space="preserve">가 유통기한 기준 자동 할당</t>
    </r>
    <r>
      <rPr>
        <sz val="10"/>
        <rFont val="맑은 고딕"/>
        <family val="0"/>
        <charset val="1"/>
      </rPr>
      <t xml:space="preserve">(FEFO)</t>
    </r>
    <r>
      <rPr>
        <sz val="10"/>
        <rFont val="Noto Sans CJK SC"/>
        <family val="2"/>
      </rPr>
      <t xml:space="preserve">을 지원하는지 확인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수기 확인뿐이면 </t>
    </r>
    <r>
      <rPr>
        <sz val="10"/>
        <rFont val="맑은 고딕"/>
        <family val="0"/>
        <charset val="1"/>
      </rPr>
      <t xml:space="preserve">4</t>
    </r>
    <r>
      <rPr>
        <sz val="10"/>
        <rFont val="Noto Sans CJK SC"/>
        <family val="2"/>
      </rPr>
      <t xml:space="preserve">등급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</si>
  <si>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피킹 방식 자동 결정 로직을 증빙하면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등급 검토 가능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</si>
  <si>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픽킹 리스트가 동선 최적 순서로 정렬되는지 확인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정렬 로직이 있으면 </t>
    </r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등급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</si>
  <si>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DWS </t>
    </r>
    <r>
      <rPr>
        <sz val="10"/>
        <rFont val="Noto Sans CJK SC"/>
        <family val="2"/>
      </rPr>
      <t xml:space="preserve">계측값 기반 박스 규격 추천이나 포장재 재고 관리 기능이 있으면 </t>
    </r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등급 이상 검토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</si>
  <si>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TLPS</t>
    </r>
    <r>
      <rPr>
        <sz val="10"/>
        <rFont val="Noto Sans CJK SC"/>
        <family val="2"/>
      </rPr>
      <t xml:space="preserve">에서 배차 차량 정보를 온라인으로 확인할 수 있으면 </t>
    </r>
    <r>
      <rPr>
        <sz val="10"/>
        <rFont val="맑은 고딕"/>
        <family val="0"/>
        <charset val="1"/>
      </rPr>
      <t xml:space="preserve">4</t>
    </r>
    <r>
      <rPr>
        <sz val="10"/>
        <rFont val="Noto Sans CJK SC"/>
        <family val="2"/>
      </rPr>
      <t xml:space="preserve">등급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차량번호 인식</t>
    </r>
    <r>
      <rPr>
        <sz val="10"/>
        <rFont val="맑은 고딕"/>
        <family val="0"/>
        <charset val="1"/>
      </rPr>
      <t xml:space="preserve">(LPR) </t>
    </r>
    <r>
      <rPr>
        <sz val="10"/>
        <rFont val="Noto Sans CJK SC"/>
        <family val="2"/>
      </rPr>
      <t xml:space="preserve">등 도입 시 가점 여지가 가장 큰 항목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</si>
  <si>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"</t>
    </r>
    <r>
      <rPr>
        <sz val="10"/>
        <rFont val="Noto Sans CJK SC"/>
        <family val="2"/>
      </rPr>
      <t xml:space="preserve">확인</t>
    </r>
    <r>
      <rPr>
        <sz val="10"/>
        <rFont val="맑은 고딕"/>
        <family val="0"/>
        <charset val="1"/>
      </rPr>
      <t xml:space="preserve">" </t>
    </r>
    <r>
      <rPr>
        <sz val="10"/>
        <rFont val="Noto Sans CJK SC"/>
        <family val="2"/>
      </rPr>
      <t xml:space="preserve">항목은 현장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임대인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아레나스</t>
    </r>
    <r>
      <rPr>
        <sz val="10"/>
        <rFont val="맑은 고딕"/>
        <family val="0"/>
        <charset val="1"/>
      </rPr>
      <t xml:space="preserve">) </t>
    </r>
    <r>
      <rPr>
        <sz val="10"/>
        <rFont val="Noto Sans CJK SC"/>
        <family val="2"/>
      </rPr>
      <t xml:space="preserve">제원으로 적용 여부를 확정한 뒤 등급 재계산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</si>
  <si>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"</t>
    </r>
    <r>
      <rPr>
        <sz val="10"/>
        <rFont val="Noto Sans CJK SC"/>
        <family val="2"/>
      </rPr>
      <t xml:space="preserve">확인</t>
    </r>
    <r>
      <rPr>
        <sz val="10"/>
        <rFont val="맑은 고딕"/>
        <family val="0"/>
        <charset val="1"/>
      </rPr>
      <t xml:space="preserve">" 3</t>
    </r>
    <r>
      <rPr>
        <sz val="10"/>
        <rFont val="Noto Sans CJK SC"/>
        <family val="2"/>
      </rPr>
      <t xml:space="preserve">개가 모두 적용이면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등급까지 가능하므로 현장 확인 우선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</si>
  <si>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확인 항목 중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개라도 미적용이면 </t>
    </r>
    <r>
      <rPr>
        <sz val="10"/>
        <rFont val="맑은 고딕"/>
        <family val="0"/>
        <charset val="1"/>
      </rPr>
      <t xml:space="preserve">4</t>
    </r>
    <r>
      <rPr>
        <sz val="10"/>
        <rFont val="Noto Sans CJK SC"/>
        <family val="2"/>
      </rPr>
      <t xml:space="preserve">등급 이하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조도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온습도 측정 기록 확보가 핵심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</si>
  <si>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랙 내진 설계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시공 확인서 확보 시 유지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미확보 시 </t>
    </r>
    <r>
      <rPr>
        <sz val="10"/>
        <rFont val="맑은 고딕"/>
        <family val="0"/>
        <charset val="1"/>
      </rPr>
      <t xml:space="preserve">4</t>
    </r>
    <r>
      <rPr>
        <sz val="10"/>
        <rFont val="Noto Sans CJK SC"/>
        <family val="2"/>
      </rPr>
      <t xml:space="preserve">등급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</si>
  <si>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05 </t>
    </r>
    <r>
      <rPr>
        <sz val="10"/>
        <rFont val="Noto Sans CJK SC"/>
        <family val="2"/>
      </rPr>
      <t xml:space="preserve">매뉴얼의 </t>
    </r>
    <r>
      <rPr>
        <sz val="10"/>
        <rFont val="맑은 고딕"/>
        <family val="0"/>
        <charset val="1"/>
      </rPr>
      <t xml:space="preserve">2023~2025 </t>
    </r>
    <r>
      <rPr>
        <sz val="10"/>
        <rFont val="Noto Sans CJK SC"/>
        <family val="2"/>
      </rPr>
      <t xml:space="preserve">수치는 </t>
    </r>
    <r>
      <rPr>
        <sz val="10"/>
        <rFont val="맑은 고딕"/>
        <family val="0"/>
        <charset val="1"/>
      </rPr>
      <t xml:space="preserve">"</t>
    </r>
    <r>
      <rPr>
        <sz val="10"/>
        <rFont val="Noto Sans CJK SC"/>
        <family val="2"/>
      </rPr>
      <t xml:space="preserve">예시</t>
    </r>
    <r>
      <rPr>
        <sz val="10"/>
        <rFont val="맑은 고딕"/>
        <family val="0"/>
        <charset val="1"/>
      </rPr>
      <t xml:space="preserve">"</t>
    </r>
    <r>
      <rPr>
        <sz val="10"/>
        <rFont val="Noto Sans CJK SC"/>
        <family val="2"/>
      </rPr>
      <t xml:space="preserve">로 표기됨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실제 결산 자료가 없으면 </t>
    </r>
    <r>
      <rPr>
        <sz val="10"/>
        <rFont val="맑은 고딕"/>
        <family val="0"/>
        <charset val="1"/>
      </rPr>
      <t xml:space="preserve">4~5</t>
    </r>
    <r>
      <rPr>
        <sz val="10"/>
        <rFont val="Noto Sans CJK SC"/>
        <family val="2"/>
      </rPr>
      <t xml:space="preserve">등급으로 하락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확정 실적 확보 필수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</si>
  <si>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UPH </t>
    </r>
    <r>
      <rPr>
        <sz val="10"/>
        <rFont val="Noto Sans CJK SC"/>
        <family val="2"/>
      </rPr>
      <t xml:space="preserve">실적</t>
    </r>
    <r>
      <rPr>
        <sz val="10"/>
        <rFont val="맑은 고딕"/>
        <family val="0"/>
        <charset val="1"/>
      </rPr>
      <t xml:space="preserve">(42→46→50</t>
    </r>
    <r>
      <rPr>
        <sz val="10"/>
        <rFont val="Noto Sans CJK SC"/>
        <family val="2"/>
      </rPr>
      <t xml:space="preserve">건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이 </t>
    </r>
    <r>
      <rPr>
        <sz val="10"/>
        <rFont val="맑은 고딕"/>
        <family val="0"/>
        <charset val="1"/>
      </rPr>
      <t xml:space="preserve">"</t>
    </r>
    <r>
      <rPr>
        <sz val="10"/>
        <rFont val="Noto Sans CJK SC"/>
        <family val="2"/>
      </rPr>
      <t xml:space="preserve">예시</t>
    </r>
    <r>
      <rPr>
        <sz val="10"/>
        <rFont val="맑은 고딕"/>
        <family val="0"/>
        <charset val="1"/>
      </rPr>
      <t xml:space="preserve">" </t>
    </r>
    <r>
      <rPr>
        <sz val="10"/>
        <rFont val="Noto Sans CJK SC"/>
        <family val="2"/>
      </rPr>
      <t xml:space="preserve">수치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실제 데이터로 교체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</si>
  <si>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오출고율 실적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예시 </t>
    </r>
    <r>
      <rPr>
        <sz val="10"/>
        <rFont val="맑은 고딕"/>
        <family val="0"/>
        <charset val="1"/>
      </rPr>
      <t xml:space="preserve">0.35%→0.15%)</t>
    </r>
    <r>
      <rPr>
        <sz val="10"/>
        <rFont val="Noto Sans CJK SC"/>
        <family val="2"/>
      </rPr>
      <t xml:space="preserve">과 회사소개서의 </t>
    </r>
    <r>
      <rPr>
        <sz val="10"/>
        <rFont val="맑은 고딕"/>
        <family val="0"/>
        <charset val="1"/>
      </rPr>
      <t xml:space="preserve">0.0001%</t>
    </r>
    <r>
      <rPr>
        <sz val="10"/>
        <rFont val="Noto Sans CJK SC"/>
        <family val="2"/>
      </rPr>
      <t xml:space="preserve">가 상충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기준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센터 단위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산식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을 정해 통일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</si>
  <si>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LED </t>
    </r>
    <r>
      <rPr>
        <sz val="10"/>
        <rFont val="Noto Sans CJK SC"/>
        <family val="2"/>
      </rPr>
      <t xml:space="preserve">조명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전력 사용량 데이터가 있으면 </t>
    </r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등급 검토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</si>
  <si>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실제 연동 완료 채널 목록 확정</t>
    </r>
    <r>
      <rPr>
        <sz val="10"/>
        <rFont val="맑은 고딕"/>
        <family val="0"/>
        <charset val="1"/>
      </rPr>
      <t xml:space="preserve">(07 </t>
    </r>
    <r>
      <rPr>
        <sz val="10"/>
        <rFont val="Noto Sans CJK SC"/>
        <family val="2"/>
      </rPr>
      <t xml:space="preserve">기술서 </t>
    </r>
    <r>
      <rPr>
        <sz val="10"/>
        <rFont val="맑은 고딕"/>
        <family val="0"/>
        <charset val="1"/>
      </rPr>
      <t xml:space="preserve">1.3</t>
    </r>
    <r>
      <rPr>
        <sz val="10"/>
        <rFont val="Noto Sans CJK SC"/>
        <family val="2"/>
      </rPr>
      <t xml:space="preserve">에 미확정 표기</t>
    </r>
    <r>
      <rPr>
        <sz val="10"/>
        <rFont val="맑은 고딕"/>
        <family val="0"/>
        <charset val="1"/>
      </rPr>
      <t xml:space="preserve">).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</si>
</sst>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Noto Sans CJK SC"/>
      <family val="2"/>
    </font>
    <font>
      <b val="true"/>
      <sz val="14"/>
      <color rgb="FF1F3864"/>
      <name val="맑은 고딕"/>
      <family val="0"/>
      <charset val="1"/>
    </font>
    <font>
      <sz val="9"/>
      <color rgb="FF595959"/>
      <name val="Noto Sans CJK SC"/>
      <family val="2"/>
    </font>
    <font>
      <sz val="9"/>
      <color rgb="FF595959"/>
      <name val="맑은 고딕"/>
      <family val="0"/>
      <charset val="1"/>
    </font>
    <font>
      <b val="true"/>
      <sz val="10"/>
      <color rgb="FFFFFFFF"/>
      <name val="맑은 고딕"/>
      <family val="0"/>
      <charset val="1"/>
    </font>
    <font>
      <b val="true"/>
      <sz val="10"/>
      <color rgb="FFFFFFFF"/>
      <name val="Noto Sans CJK SC"/>
      <family val="2"/>
    </font>
    <font>
      <sz val="10"/>
      <name val="맑은 고딕"/>
      <family val="0"/>
      <charset val="1"/>
    </font>
    <font>
      <sz val="10"/>
      <name val="Noto Sans CJK SC"/>
      <family val="2"/>
    </font>
    <font>
      <b val="true"/>
      <sz val="11"/>
      <name val="Noto Sans CJK SC"/>
      <family val="2"/>
    </font>
    <font>
      <sz val="11"/>
      <name val="Noto Sans CJK SC"/>
      <family val="2"/>
    </font>
    <font>
      <sz val="11"/>
      <name val="맑은 고딕"/>
      <family val="0"/>
      <charset val="1"/>
    </font>
    <font>
      <b val="true"/>
      <sz val="11"/>
      <name val="맑은 고딕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EB9C"/>
        <bgColor rgb="FFFCE4D6"/>
      </patternFill>
    </fill>
    <fill>
      <patternFill patternType="solid">
        <fgColor rgb="FFDDEBF7"/>
        <bgColor rgb="FFEDEDED"/>
      </patternFill>
    </fill>
    <fill>
      <patternFill patternType="solid">
        <fgColor rgb="FFF8CBAD"/>
        <bgColor rgb="FFFCE4D6"/>
      </patternFill>
    </fill>
    <fill>
      <patternFill patternType="solid">
        <fgColor rgb="FFEDEDED"/>
        <bgColor rgb="FFE2EFDA"/>
      </patternFill>
    </fill>
    <fill>
      <patternFill patternType="solid">
        <fgColor rgb="FFC6EFCE"/>
        <bgColor rgb="FFE2EFDA"/>
      </patternFill>
    </fill>
    <fill>
      <patternFill patternType="solid">
        <fgColor rgb="FFE2EFDA"/>
        <bgColor rgb="FFEDEDED"/>
      </patternFill>
    </fill>
    <fill>
      <patternFill patternType="solid">
        <fgColor rgb="FFFCE4D6"/>
        <bgColor rgb="FFEDEDED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1" fillId="5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1" fillId="6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1" fillId="7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5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1" fillId="8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0" fillId="9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1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CE4D6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EDEDED"/>
      <rgbColor rgb="FFDDEBF7"/>
      <rgbColor rgb="FF660066"/>
      <rgbColor rgb="FFFF8080"/>
      <rgbColor rgb="FF0066CC"/>
      <rgbColor rgb="FFFCE4D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30"/>
    <col collapsed="false" customWidth="true" hidden="false" outlineLevel="0" max="3" min="3" style="0" width="16"/>
    <col collapsed="false" customWidth="true" hidden="false" outlineLevel="0" max="4" min="4" style="0" width="34"/>
    <col collapsed="false" customWidth="true" hidden="false" outlineLevel="0" max="5" min="5" style="0" width="13"/>
    <col collapsed="false" customWidth="true" hidden="false" outlineLevel="0" max="6" min="6" style="0" width="58"/>
    <col collapsed="false" customWidth="true" hidden="false" outlineLevel="0" max="7" min="7" style="0" width="34"/>
  </cols>
  <sheetData>
    <row r="1" customFormat="false" ht="21.6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2</v>
      </c>
      <c r="B3" s="4" t="s">
        <v>3</v>
      </c>
      <c r="C3" s="4" t="s">
        <v>4</v>
      </c>
      <c r="D3" s="4" t="s">
        <v>5</v>
      </c>
      <c r="E3" s="4" t="s">
        <v>6</v>
      </c>
      <c r="F3" s="4" t="s">
        <v>7</v>
      </c>
      <c r="G3" s="4" t="s">
        <v>8</v>
      </c>
    </row>
    <row r="4" customFormat="false" ht="29.85" hidden="false" customHeight="false" outlineLevel="0" collapsed="false">
      <c r="A4" s="5" t="s">
        <v>9</v>
      </c>
      <c r="B4" s="6" t="s">
        <v>10</v>
      </c>
      <c r="C4" s="6" t="s">
        <v>11</v>
      </c>
      <c r="D4" s="5" t="s">
        <v>12</v>
      </c>
      <c r="E4" s="7" t="s">
        <v>13</v>
      </c>
      <c r="F4" s="5" t="s">
        <v>14</v>
      </c>
      <c r="G4" s="6" t="s">
        <v>15</v>
      </c>
    </row>
    <row r="5" customFormat="false" ht="29.85" hidden="false" customHeight="false" outlineLevel="0" collapsed="false">
      <c r="A5" s="5" t="s">
        <v>16</v>
      </c>
      <c r="B5" s="6" t="s">
        <v>17</v>
      </c>
      <c r="C5" s="6" t="s">
        <v>18</v>
      </c>
      <c r="D5" s="5" t="s">
        <v>19</v>
      </c>
      <c r="E5" s="8" t="s">
        <v>20</v>
      </c>
      <c r="F5" s="5" t="s">
        <v>21</v>
      </c>
      <c r="G5" s="5" t="s">
        <v>22</v>
      </c>
    </row>
    <row r="6" customFormat="false" ht="29.85" hidden="false" customHeight="false" outlineLevel="0" collapsed="false">
      <c r="A6" s="5" t="s">
        <v>23</v>
      </c>
      <c r="B6" s="6" t="s">
        <v>24</v>
      </c>
      <c r="C6" s="6" t="s">
        <v>11</v>
      </c>
      <c r="D6" s="5" t="s">
        <v>25</v>
      </c>
      <c r="E6" s="8" t="s">
        <v>20</v>
      </c>
      <c r="F6" s="5" t="s">
        <v>26</v>
      </c>
      <c r="G6" s="5" t="s">
        <v>27</v>
      </c>
    </row>
    <row r="7" customFormat="false" ht="15" hidden="false" customHeight="false" outlineLevel="0" collapsed="false">
      <c r="A7" s="5" t="s">
        <v>28</v>
      </c>
      <c r="B7" s="6" t="s">
        <v>29</v>
      </c>
      <c r="C7" s="6" t="s">
        <v>18</v>
      </c>
      <c r="D7" s="5" t="s">
        <v>30</v>
      </c>
      <c r="E7" s="9" t="s">
        <v>31</v>
      </c>
      <c r="F7" s="5" t="s">
        <v>32</v>
      </c>
      <c r="G7" s="5" t="s">
        <v>33</v>
      </c>
    </row>
    <row r="8" customFormat="false" ht="29.85" hidden="false" customHeight="false" outlineLevel="0" collapsed="false">
      <c r="A8" s="5" t="s">
        <v>34</v>
      </c>
      <c r="B8" s="6" t="s">
        <v>35</v>
      </c>
      <c r="C8" s="6" t="s">
        <v>18</v>
      </c>
      <c r="D8" s="5" t="s">
        <v>36</v>
      </c>
      <c r="E8" s="7" t="s">
        <v>13</v>
      </c>
      <c r="F8" s="5" t="s">
        <v>37</v>
      </c>
      <c r="G8" s="5" t="s">
        <v>38</v>
      </c>
    </row>
    <row r="9" customFormat="false" ht="29.85" hidden="false" customHeight="false" outlineLevel="0" collapsed="false">
      <c r="A9" s="5" t="s">
        <v>39</v>
      </c>
      <c r="B9" s="6" t="s">
        <v>40</v>
      </c>
      <c r="C9" s="6" t="s">
        <v>11</v>
      </c>
      <c r="D9" s="5" t="s">
        <v>41</v>
      </c>
      <c r="E9" s="7" t="s">
        <v>13</v>
      </c>
      <c r="F9" s="5" t="s">
        <v>42</v>
      </c>
      <c r="G9" s="5" t="s">
        <v>38</v>
      </c>
    </row>
    <row r="10" customFormat="false" ht="29.85" hidden="false" customHeight="false" outlineLevel="0" collapsed="false">
      <c r="A10" s="5" t="s">
        <v>43</v>
      </c>
      <c r="B10" s="6" t="s">
        <v>44</v>
      </c>
      <c r="C10" s="6" t="s">
        <v>11</v>
      </c>
      <c r="D10" s="5" t="s">
        <v>45</v>
      </c>
      <c r="E10" s="8" t="s">
        <v>20</v>
      </c>
      <c r="F10" s="6" t="s">
        <v>46</v>
      </c>
      <c r="G10" s="5" t="s">
        <v>47</v>
      </c>
    </row>
    <row r="11" customFormat="false" ht="29.85" hidden="false" customHeight="false" outlineLevel="0" collapsed="false">
      <c r="A11" s="5" t="s">
        <v>48</v>
      </c>
      <c r="B11" s="6" t="s">
        <v>49</v>
      </c>
      <c r="C11" s="6" t="s">
        <v>50</v>
      </c>
      <c r="D11" s="5" t="s">
        <v>51</v>
      </c>
      <c r="E11" s="7" t="s">
        <v>13</v>
      </c>
      <c r="F11" s="6" t="s">
        <v>52</v>
      </c>
      <c r="G11" s="5" t="s">
        <v>38</v>
      </c>
    </row>
    <row r="12" customFormat="false" ht="15" hidden="false" customHeight="false" outlineLevel="0" collapsed="false">
      <c r="A12" s="5" t="s">
        <v>53</v>
      </c>
      <c r="B12" s="6" t="s">
        <v>54</v>
      </c>
      <c r="C12" s="6" t="s">
        <v>50</v>
      </c>
      <c r="D12" s="5" t="s">
        <v>55</v>
      </c>
      <c r="E12" s="7" t="s">
        <v>13</v>
      </c>
      <c r="F12" s="6" t="s">
        <v>56</v>
      </c>
      <c r="G12" s="5" t="s">
        <v>38</v>
      </c>
    </row>
    <row r="13" customFormat="false" ht="15" hidden="false" customHeight="false" outlineLevel="0" collapsed="false">
      <c r="A13" s="5" t="s">
        <v>57</v>
      </c>
      <c r="B13" s="6" t="s">
        <v>58</v>
      </c>
      <c r="C13" s="5" t="s">
        <v>38</v>
      </c>
      <c r="D13" s="5" t="s">
        <v>59</v>
      </c>
      <c r="E13" s="10" t="s">
        <v>60</v>
      </c>
      <c r="F13" s="6" t="s">
        <v>61</v>
      </c>
      <c r="G13" s="5" t="s">
        <v>38</v>
      </c>
    </row>
    <row r="14" customFormat="false" ht="29.85" hidden="false" customHeight="false" outlineLevel="0" collapsed="false">
      <c r="A14" s="5" t="s">
        <v>62</v>
      </c>
      <c r="B14" s="6" t="s">
        <v>63</v>
      </c>
      <c r="C14" s="6" t="s">
        <v>64</v>
      </c>
      <c r="D14" s="6" t="s">
        <v>65</v>
      </c>
      <c r="E14" s="9" t="s">
        <v>66</v>
      </c>
      <c r="F14" s="6" t="s">
        <v>67</v>
      </c>
      <c r="G14" s="5" t="s">
        <v>38</v>
      </c>
    </row>
    <row r="15" customFormat="false" ht="15" hidden="false" customHeight="false" outlineLevel="0" collapsed="false">
      <c r="A15" s="5" t="s">
        <v>68</v>
      </c>
      <c r="B15" s="6" t="s">
        <v>69</v>
      </c>
      <c r="C15" s="6" t="s">
        <v>64</v>
      </c>
      <c r="D15" s="6" t="s">
        <v>70</v>
      </c>
      <c r="E15" s="9" t="s">
        <v>66</v>
      </c>
      <c r="F15" s="6" t="s">
        <v>71</v>
      </c>
      <c r="G15" s="5" t="s">
        <v>38</v>
      </c>
    </row>
    <row r="16" customFormat="false" ht="29.85" hidden="false" customHeight="false" outlineLevel="0" collapsed="false">
      <c r="A16" s="5" t="s">
        <v>72</v>
      </c>
      <c r="B16" s="6" t="s">
        <v>73</v>
      </c>
      <c r="C16" s="6" t="s">
        <v>64</v>
      </c>
      <c r="D16" s="5" t="s">
        <v>74</v>
      </c>
      <c r="E16" s="11" t="s">
        <v>75</v>
      </c>
      <c r="F16" s="6" t="s">
        <v>76</v>
      </c>
      <c r="G16" s="5" t="s">
        <v>38</v>
      </c>
    </row>
    <row r="17" customFormat="false" ht="15" hidden="false" customHeight="false" outlineLevel="0" collapsed="false">
      <c r="A17" s="5" t="s">
        <v>77</v>
      </c>
      <c r="B17" s="6" t="s">
        <v>78</v>
      </c>
      <c r="C17" s="6" t="s">
        <v>18</v>
      </c>
      <c r="D17" s="5" t="s">
        <v>79</v>
      </c>
      <c r="E17" s="7" t="s">
        <v>13</v>
      </c>
      <c r="F17" s="6" t="s">
        <v>80</v>
      </c>
      <c r="G17" s="5" t="s">
        <v>38</v>
      </c>
    </row>
    <row r="18" customFormat="false" ht="15" hidden="false" customHeight="false" outlineLevel="0" collapsed="false">
      <c r="A18" s="5" t="s">
        <v>81</v>
      </c>
      <c r="B18" s="6" t="s">
        <v>82</v>
      </c>
      <c r="C18" s="6" t="s">
        <v>18</v>
      </c>
      <c r="D18" s="6" t="s">
        <v>83</v>
      </c>
      <c r="E18" s="8" t="s">
        <v>20</v>
      </c>
      <c r="F18" s="6" t="s">
        <v>84</v>
      </c>
      <c r="G18" s="6" t="s">
        <v>85</v>
      </c>
    </row>
    <row r="19" customFormat="false" ht="15" hidden="false" customHeight="false" outlineLevel="0" collapsed="false">
      <c r="A19" s="5" t="s">
        <v>86</v>
      </c>
      <c r="B19" s="6" t="s">
        <v>87</v>
      </c>
      <c r="C19" s="6" t="s">
        <v>18</v>
      </c>
      <c r="D19" s="6" t="s">
        <v>70</v>
      </c>
      <c r="E19" s="8" t="s">
        <v>20</v>
      </c>
      <c r="F19" s="5" t="s">
        <v>88</v>
      </c>
      <c r="G19" s="5" t="s">
        <v>89</v>
      </c>
    </row>
    <row r="20" customFormat="false" ht="29.85" hidden="false" customHeight="false" outlineLevel="0" collapsed="false">
      <c r="A20" s="5" t="s">
        <v>90</v>
      </c>
      <c r="B20" s="6" t="s">
        <v>91</v>
      </c>
      <c r="C20" s="6" t="s">
        <v>92</v>
      </c>
      <c r="D20" s="5" t="s">
        <v>93</v>
      </c>
      <c r="E20" s="7" t="s">
        <v>13</v>
      </c>
      <c r="F20" s="6" t="s">
        <v>94</v>
      </c>
      <c r="G20" s="5" t="s">
        <v>38</v>
      </c>
    </row>
    <row r="21" customFormat="false" ht="29.85" hidden="false" customHeight="false" outlineLevel="0" collapsed="false">
      <c r="A21" s="5" t="s">
        <v>95</v>
      </c>
      <c r="B21" s="6" t="s">
        <v>96</v>
      </c>
      <c r="C21" s="6" t="s">
        <v>92</v>
      </c>
      <c r="D21" s="5" t="s">
        <v>97</v>
      </c>
      <c r="E21" s="7" t="s">
        <v>13</v>
      </c>
      <c r="F21" s="6" t="s">
        <v>98</v>
      </c>
      <c r="G21" s="5" t="s">
        <v>38</v>
      </c>
    </row>
    <row r="22" customFormat="false" ht="29.85" hidden="false" customHeight="false" outlineLevel="0" collapsed="false">
      <c r="A22" s="5" t="s">
        <v>99</v>
      </c>
      <c r="B22" s="6" t="s">
        <v>100</v>
      </c>
      <c r="C22" s="6" t="s">
        <v>11</v>
      </c>
      <c r="D22" s="6" t="s">
        <v>70</v>
      </c>
      <c r="E22" s="9" t="s">
        <v>66</v>
      </c>
      <c r="F22" s="6" t="s">
        <v>101</v>
      </c>
      <c r="G22" s="5" t="s">
        <v>38</v>
      </c>
    </row>
    <row r="23" customFormat="false" ht="15" hidden="false" customHeight="false" outlineLevel="0" collapsed="false">
      <c r="A23" s="5" t="s">
        <v>102</v>
      </c>
      <c r="B23" s="6" t="s">
        <v>103</v>
      </c>
      <c r="C23" s="6" t="s">
        <v>64</v>
      </c>
      <c r="D23" s="6" t="s">
        <v>104</v>
      </c>
      <c r="E23" s="11" t="s">
        <v>75</v>
      </c>
      <c r="F23" s="6" t="s">
        <v>105</v>
      </c>
      <c r="G23" s="5" t="s">
        <v>38</v>
      </c>
    </row>
    <row r="24" customFormat="false" ht="29.85" hidden="false" customHeight="false" outlineLevel="0" collapsed="false">
      <c r="A24" s="5" t="s">
        <v>106</v>
      </c>
      <c r="B24" s="6" t="s">
        <v>107</v>
      </c>
      <c r="C24" s="6" t="s">
        <v>11</v>
      </c>
      <c r="D24" s="6" t="s">
        <v>70</v>
      </c>
      <c r="E24" s="9" t="s">
        <v>31</v>
      </c>
      <c r="F24" s="6" t="s">
        <v>108</v>
      </c>
      <c r="G24" s="5" t="s">
        <v>38</v>
      </c>
    </row>
    <row r="25" customFormat="false" ht="15" hidden="false" customHeight="false" outlineLevel="0" collapsed="false">
      <c r="A25" s="6" t="s">
        <v>109</v>
      </c>
      <c r="B25" s="5" t="s">
        <v>110</v>
      </c>
      <c r="C25" s="6" t="s">
        <v>11</v>
      </c>
      <c r="D25" s="5" t="s">
        <v>38</v>
      </c>
      <c r="E25" s="9" t="s">
        <v>66</v>
      </c>
      <c r="F25" s="6" t="s">
        <v>111</v>
      </c>
      <c r="G25" s="5" t="s">
        <v>38</v>
      </c>
    </row>
    <row r="27" customFormat="false" ht="15" hidden="false" customHeight="false" outlineLevel="0" collapsed="false">
      <c r="B27" s="12" t="s">
        <v>112</v>
      </c>
    </row>
    <row r="28" customFormat="false" ht="15" hidden="false" customHeight="false" outlineLevel="0" collapsed="false">
      <c r="B28" s="13" t="s">
        <v>13</v>
      </c>
      <c r="C28" s="13" t="n">
        <f aca="false">COUNTIF(E4:E25,"보완 필요")</f>
        <v>8</v>
      </c>
    </row>
    <row r="29" customFormat="false" ht="15" hidden="false" customHeight="false" outlineLevel="0" collapsed="false">
      <c r="B29" s="13" t="s">
        <v>20</v>
      </c>
      <c r="C29" s="13" t="n">
        <f aca="false">COUNTIF(E4:E25,"초안 완료")</f>
        <v>5</v>
      </c>
    </row>
    <row r="30" customFormat="false" ht="15" hidden="false" customHeight="false" outlineLevel="0" collapsed="false">
      <c r="B30" s="13" t="s">
        <v>31</v>
      </c>
      <c r="C30" s="13" t="n">
        <f aca="false">COUNTIF(E4:E25,"결정 필요")</f>
        <v>2</v>
      </c>
    </row>
    <row r="31" customFormat="false" ht="15" hidden="false" customHeight="false" outlineLevel="0" collapsed="false">
      <c r="B31" s="13" t="s">
        <v>60</v>
      </c>
      <c r="C31" s="13" t="n">
        <f aca="false">COUNTIF(E4:E25,"해당 없음")</f>
        <v>1</v>
      </c>
    </row>
    <row r="32" customFormat="false" ht="17.15" hidden="false" customHeight="false" outlineLevel="0" collapsed="false">
      <c r="B32" s="13" t="s">
        <v>113</v>
      </c>
      <c r="C32" s="13" t="n">
        <f aca="false">COUNTIF(E4:E25,"발급·수집 필요")</f>
        <v>4</v>
      </c>
    </row>
    <row r="33" customFormat="false" ht="15" hidden="false" customHeight="false" outlineLevel="0" collapsed="false">
      <c r="B33" s="13" t="s">
        <v>75</v>
      </c>
      <c r="C33" s="13" t="n">
        <f aca="false">COUNTIF(E4:E25,"완료")</f>
        <v>2</v>
      </c>
    </row>
  </sheetData>
  <autoFilter ref="A3:G2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6"/>
    <col collapsed="false" customWidth="true" hidden="false" outlineLevel="0" max="3" min="3" style="0" width="42"/>
    <col collapsed="false" customWidth="true" hidden="false" outlineLevel="0" max="5" min="4" style="0" width="48"/>
    <col collapsed="false" customWidth="true" hidden="false" outlineLevel="0" max="6" min="6" style="0" width="9"/>
  </cols>
  <sheetData>
    <row r="1" customFormat="false" ht="17.35" hidden="false" customHeight="false" outlineLevel="0" collapsed="false">
      <c r="A1" s="1" t="s">
        <v>114</v>
      </c>
    </row>
    <row r="3" customFormat="false" ht="15" hidden="false" customHeight="false" outlineLevel="0" collapsed="false">
      <c r="A3" s="3" t="s">
        <v>115</v>
      </c>
      <c r="B3" s="4" t="s">
        <v>116</v>
      </c>
      <c r="C3" s="4" t="s">
        <v>117</v>
      </c>
      <c r="D3" s="4" t="s">
        <v>118</v>
      </c>
      <c r="E3" s="4" t="s">
        <v>119</v>
      </c>
      <c r="F3" s="4" t="s">
        <v>120</v>
      </c>
    </row>
    <row r="4" customFormat="false" ht="29.85" hidden="false" customHeight="false" outlineLevel="0" collapsed="false">
      <c r="A4" s="5" t="n">
        <v>1</v>
      </c>
      <c r="B4" s="6" t="s">
        <v>121</v>
      </c>
      <c r="C4" s="6" t="s">
        <v>122</v>
      </c>
      <c r="D4" s="6" t="s">
        <v>123</v>
      </c>
      <c r="E4" s="6" t="s">
        <v>124</v>
      </c>
      <c r="F4" s="14" t="s">
        <v>125</v>
      </c>
    </row>
    <row r="5" customFormat="false" ht="15" hidden="false" customHeight="false" outlineLevel="0" collapsed="false">
      <c r="A5" s="5" t="n">
        <v>2</v>
      </c>
      <c r="B5" s="6" t="s">
        <v>126</v>
      </c>
      <c r="C5" s="5" t="s">
        <v>127</v>
      </c>
      <c r="D5" s="6" t="s">
        <v>128</v>
      </c>
      <c r="E5" s="6" t="s">
        <v>129</v>
      </c>
      <c r="F5" s="14" t="s">
        <v>125</v>
      </c>
    </row>
    <row r="6" customFormat="false" ht="29.85" hidden="false" customHeight="false" outlineLevel="0" collapsed="false">
      <c r="A6" s="5" t="n">
        <v>3</v>
      </c>
      <c r="B6" s="6" t="s">
        <v>130</v>
      </c>
      <c r="C6" s="5" t="s">
        <v>131</v>
      </c>
      <c r="D6" s="5" t="s">
        <v>132</v>
      </c>
      <c r="E6" s="6" t="s">
        <v>133</v>
      </c>
      <c r="F6" s="14" t="s">
        <v>125</v>
      </c>
    </row>
    <row r="7" customFormat="false" ht="15" hidden="false" customHeight="false" outlineLevel="0" collapsed="false">
      <c r="A7" s="5" t="n">
        <v>4</v>
      </c>
      <c r="B7" s="6" t="s">
        <v>134</v>
      </c>
      <c r="C7" s="5" t="s">
        <v>135</v>
      </c>
      <c r="D7" s="5" t="s">
        <v>136</v>
      </c>
      <c r="E7" s="6" t="s">
        <v>137</v>
      </c>
      <c r="F7" s="15" t="s">
        <v>138</v>
      </c>
    </row>
    <row r="8" customFormat="false" ht="15" hidden="false" customHeight="false" outlineLevel="0" collapsed="false">
      <c r="A8" s="5" t="n">
        <v>5</v>
      </c>
      <c r="B8" s="6" t="s">
        <v>139</v>
      </c>
      <c r="C8" s="5" t="s">
        <v>140</v>
      </c>
      <c r="D8" s="5" t="s">
        <v>141</v>
      </c>
      <c r="E8" s="5" t="s">
        <v>142</v>
      </c>
      <c r="F8" s="16" t="s">
        <v>143</v>
      </c>
    </row>
    <row r="9" customFormat="false" ht="15" hidden="false" customHeight="false" outlineLevel="0" collapsed="false">
      <c r="A9" s="5" t="n">
        <v>6</v>
      </c>
      <c r="B9" s="5" t="s">
        <v>144</v>
      </c>
      <c r="C9" s="5" t="s">
        <v>145</v>
      </c>
      <c r="D9" s="5" t="s">
        <v>146</v>
      </c>
      <c r="E9" s="6" t="s">
        <v>147</v>
      </c>
      <c r="F9" s="14" t="s">
        <v>125</v>
      </c>
    </row>
    <row r="10" customFormat="false" ht="15" hidden="false" customHeight="false" outlineLevel="0" collapsed="false">
      <c r="A10" s="5" t="n">
        <v>7</v>
      </c>
      <c r="B10" s="5" t="s">
        <v>148</v>
      </c>
      <c r="C10" s="5" t="s">
        <v>149</v>
      </c>
      <c r="D10" s="5" t="s">
        <v>150</v>
      </c>
      <c r="E10" s="5" t="s">
        <v>151</v>
      </c>
      <c r="F10" s="15" t="s">
        <v>138</v>
      </c>
    </row>
    <row r="11" customFormat="false" ht="15" hidden="false" customHeight="false" outlineLevel="0" collapsed="false">
      <c r="A11" s="5" t="n">
        <v>8</v>
      </c>
      <c r="B11" s="6" t="s">
        <v>152</v>
      </c>
      <c r="C11" s="5" t="s">
        <v>153</v>
      </c>
      <c r="D11" s="5" t="s">
        <v>154</v>
      </c>
      <c r="E11" s="6" t="s">
        <v>155</v>
      </c>
      <c r="F11" s="15" t="s">
        <v>138</v>
      </c>
    </row>
    <row r="12" customFormat="false" ht="15" hidden="false" customHeight="false" outlineLevel="0" collapsed="false">
      <c r="A12" s="5" t="n">
        <v>9</v>
      </c>
      <c r="B12" s="6" t="s">
        <v>156</v>
      </c>
      <c r="C12" s="5" t="s">
        <v>157</v>
      </c>
      <c r="D12" s="5" t="s">
        <v>158</v>
      </c>
      <c r="E12" s="6" t="s">
        <v>159</v>
      </c>
      <c r="F12" s="15" t="s">
        <v>138</v>
      </c>
    </row>
    <row r="13" customFormat="false" ht="29.85" hidden="false" customHeight="false" outlineLevel="0" collapsed="false">
      <c r="A13" s="5" t="n">
        <v>10</v>
      </c>
      <c r="B13" s="6" t="s">
        <v>160</v>
      </c>
      <c r="C13" s="5" t="s">
        <v>161</v>
      </c>
      <c r="D13" s="6" t="s">
        <v>162</v>
      </c>
      <c r="E13" s="6" t="s">
        <v>163</v>
      </c>
      <c r="F13" s="14" t="s">
        <v>125</v>
      </c>
    </row>
    <row r="14" customFormat="false" ht="15" hidden="false" customHeight="false" outlineLevel="0" collapsed="false">
      <c r="A14" s="5" t="n">
        <v>11</v>
      </c>
      <c r="B14" s="6" t="s">
        <v>164</v>
      </c>
      <c r="C14" s="5" t="s">
        <v>165</v>
      </c>
      <c r="D14" s="6" t="s">
        <v>166</v>
      </c>
      <c r="E14" s="6" t="s">
        <v>167</v>
      </c>
      <c r="F14" s="14" t="s">
        <v>125</v>
      </c>
    </row>
    <row r="15" customFormat="false" ht="15" hidden="false" customHeight="false" outlineLevel="0" collapsed="false">
      <c r="A15" s="5" t="n">
        <v>12</v>
      </c>
      <c r="B15" s="6" t="s">
        <v>168</v>
      </c>
      <c r="C15" s="5" t="s">
        <v>169</v>
      </c>
      <c r="D15" s="6" t="s">
        <v>170</v>
      </c>
      <c r="E15" s="6" t="s">
        <v>171</v>
      </c>
      <c r="F15" s="15" t="s">
        <v>138</v>
      </c>
    </row>
    <row r="16" customFormat="false" ht="15" hidden="false" customHeight="false" outlineLevel="0" collapsed="false">
      <c r="A16" s="5" t="n">
        <v>13</v>
      </c>
      <c r="B16" s="5" t="s">
        <v>172</v>
      </c>
      <c r="C16" s="5" t="s">
        <v>173</v>
      </c>
      <c r="D16" s="5" t="s">
        <v>174</v>
      </c>
      <c r="E16" s="6" t="s">
        <v>175</v>
      </c>
      <c r="F16" s="16" t="s">
        <v>143</v>
      </c>
    </row>
    <row r="17" customFormat="false" ht="15" hidden="false" customHeight="false" outlineLevel="0" collapsed="false">
      <c r="A17" s="5" t="n">
        <v>14</v>
      </c>
      <c r="B17" s="5" t="s">
        <v>176</v>
      </c>
      <c r="C17" s="5" t="s">
        <v>177</v>
      </c>
      <c r="D17" s="6" t="s">
        <v>178</v>
      </c>
      <c r="E17" s="6" t="s">
        <v>179</v>
      </c>
      <c r="F17" s="15" t="s">
        <v>138</v>
      </c>
    </row>
    <row r="18" customFormat="false" ht="15" hidden="false" customHeight="false" outlineLevel="0" collapsed="false">
      <c r="A18" s="5" t="n">
        <v>15</v>
      </c>
      <c r="B18" s="6" t="s">
        <v>180</v>
      </c>
      <c r="C18" s="5" t="s">
        <v>181</v>
      </c>
      <c r="D18" s="5" t="s">
        <v>182</v>
      </c>
      <c r="E18" s="6" t="s">
        <v>183</v>
      </c>
      <c r="F18" s="14" t="s">
        <v>125</v>
      </c>
    </row>
    <row r="19" customFormat="false" ht="29.85" hidden="false" customHeight="false" outlineLevel="0" collapsed="false">
      <c r="A19" s="5" t="n">
        <v>16</v>
      </c>
      <c r="B19" s="6" t="s">
        <v>184</v>
      </c>
      <c r="C19" s="6" t="s">
        <v>185</v>
      </c>
      <c r="D19" s="6" t="s">
        <v>186</v>
      </c>
      <c r="E19" s="6" t="s">
        <v>187</v>
      </c>
      <c r="F19" s="16" t="s">
        <v>143</v>
      </c>
    </row>
    <row r="20" customFormat="false" ht="15" hidden="false" customHeight="false" outlineLevel="0" collapsed="false">
      <c r="A20" s="5" t="n">
        <v>17</v>
      </c>
      <c r="B20" s="6" t="s">
        <v>188</v>
      </c>
      <c r="C20" s="5" t="s">
        <v>189</v>
      </c>
      <c r="D20" s="6" t="s">
        <v>190</v>
      </c>
      <c r="E20" s="6" t="s">
        <v>191</v>
      </c>
      <c r="F20" s="14" t="s">
        <v>125</v>
      </c>
    </row>
    <row r="21" customFormat="false" ht="29.85" hidden="false" customHeight="false" outlineLevel="0" collapsed="false">
      <c r="A21" s="5" t="n">
        <v>18</v>
      </c>
      <c r="B21" s="6" t="s">
        <v>192</v>
      </c>
      <c r="C21" s="5" t="s">
        <v>193</v>
      </c>
      <c r="D21" s="5" t="s">
        <v>38</v>
      </c>
      <c r="E21" s="6" t="s">
        <v>194</v>
      </c>
      <c r="F21" s="15" t="s">
        <v>138</v>
      </c>
    </row>
  </sheetData>
  <autoFilter ref="A3:F2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9"/>
    <col collapsed="false" customWidth="true" hidden="false" outlineLevel="0" max="3" min="3" style="0" width="32"/>
    <col collapsed="false" customWidth="true" hidden="false" outlineLevel="0" max="4" min="4" style="0" width="7"/>
    <col collapsed="false" customWidth="true" hidden="false" outlineLevel="0" max="6" min="5" style="0" width="9"/>
    <col collapsed="false" customWidth="true" hidden="false" outlineLevel="0" max="8" min="7" style="0" width="10"/>
    <col collapsed="false" customWidth="true" hidden="false" outlineLevel="0" max="9" min="9" style="0" width="8"/>
    <col collapsed="false" customWidth="true" hidden="false" outlineLevel="0" max="10" min="10" style="0" width="80"/>
  </cols>
  <sheetData>
    <row r="1" customFormat="false" ht="21.6" hidden="false" customHeight="false" outlineLevel="0" collapsed="false">
      <c r="A1" s="1" t="s">
        <v>195</v>
      </c>
    </row>
    <row r="3" customFormat="false" ht="15" hidden="false" customHeight="false" outlineLevel="0" collapsed="false">
      <c r="A3" s="4" t="s">
        <v>196</v>
      </c>
      <c r="B3" s="4" t="s">
        <v>197</v>
      </c>
      <c r="C3" s="4" t="s">
        <v>198</v>
      </c>
      <c r="D3" s="4" t="s">
        <v>199</v>
      </c>
      <c r="E3" s="4" t="s">
        <v>200</v>
      </c>
      <c r="F3" s="4" t="s">
        <v>201</v>
      </c>
      <c r="G3" s="4" t="s">
        <v>202</v>
      </c>
      <c r="H3" s="4" t="s">
        <v>203</v>
      </c>
      <c r="I3" s="4" t="s">
        <v>204</v>
      </c>
      <c r="J3" s="4" t="s">
        <v>205</v>
      </c>
    </row>
    <row r="4" customFormat="false" ht="44" hidden="false" customHeight="false" outlineLevel="0" collapsed="false">
      <c r="A4" s="5" t="s">
        <v>206</v>
      </c>
      <c r="B4" s="5" t="s">
        <v>207</v>
      </c>
      <c r="C4" s="6" t="s">
        <v>208</v>
      </c>
      <c r="D4" s="17" t="n">
        <v>25</v>
      </c>
      <c r="E4" s="17" t="n">
        <v>2</v>
      </c>
      <c r="F4" s="17" t="n">
        <v>2</v>
      </c>
      <c r="G4" s="18" t="n">
        <f aca="false">0.5*D4+0.5*D4*(1-(E4-1)/5)</f>
        <v>22.5</v>
      </c>
      <c r="H4" s="18" t="n">
        <f aca="false">0.5*D4+0.5*D4*(1-(F4-1)/5)</f>
        <v>22.5</v>
      </c>
      <c r="I4" s="18" t="n">
        <f aca="false">H4-G4</f>
        <v>0</v>
      </c>
      <c r="J4" s="6" t="s">
        <v>209</v>
      </c>
    </row>
    <row r="5" customFormat="false" ht="29.85" hidden="false" customHeight="false" outlineLevel="0" collapsed="false">
      <c r="A5" s="5" t="s">
        <v>206</v>
      </c>
      <c r="B5" s="5" t="s">
        <v>210</v>
      </c>
      <c r="C5" s="6" t="s">
        <v>211</v>
      </c>
      <c r="D5" s="17" t="n">
        <v>20</v>
      </c>
      <c r="E5" s="17" t="n">
        <v>3</v>
      </c>
      <c r="F5" s="17" t="n">
        <v>3</v>
      </c>
      <c r="G5" s="18" t="n">
        <f aca="false">0.5*D5+0.5*D5*(1-(E5-1)/5)</f>
        <v>16</v>
      </c>
      <c r="H5" s="18" t="n">
        <f aca="false">0.5*D5+0.5*D5*(1-(F5-1)/5)</f>
        <v>16</v>
      </c>
      <c r="I5" s="18" t="n">
        <f aca="false">H5-G5</f>
        <v>0</v>
      </c>
      <c r="J5" s="6" t="s">
        <v>212</v>
      </c>
    </row>
    <row r="6" customFormat="false" ht="29.85" hidden="false" customHeight="false" outlineLevel="0" collapsed="false">
      <c r="A6" s="5" t="s">
        <v>206</v>
      </c>
      <c r="B6" s="5" t="s">
        <v>213</v>
      </c>
      <c r="C6" s="6" t="s">
        <v>214</v>
      </c>
      <c r="D6" s="17" t="n">
        <v>20</v>
      </c>
      <c r="E6" s="17" t="n">
        <v>4</v>
      </c>
      <c r="F6" s="17" t="n">
        <v>4</v>
      </c>
      <c r="G6" s="18" t="n">
        <f aca="false">0.5*D6+0.5*D6*(1-(E6-1)/5)</f>
        <v>14</v>
      </c>
      <c r="H6" s="18" t="n">
        <f aca="false">0.5*D6+0.5*D6*(1-(F6-1)/5)</f>
        <v>14</v>
      </c>
      <c r="I6" s="18" t="n">
        <f aca="false">H6-G6</f>
        <v>0</v>
      </c>
      <c r="J6" s="6" t="s">
        <v>215</v>
      </c>
    </row>
    <row r="7" customFormat="false" ht="29.85" hidden="false" customHeight="false" outlineLevel="0" collapsed="false">
      <c r="A7" s="5" t="s">
        <v>206</v>
      </c>
      <c r="B7" s="5" t="s">
        <v>216</v>
      </c>
      <c r="C7" s="6" t="s">
        <v>217</v>
      </c>
      <c r="D7" s="17" t="n">
        <v>20</v>
      </c>
      <c r="E7" s="19" t="n">
        <v>2</v>
      </c>
      <c r="F7" s="19" t="n">
        <v>3</v>
      </c>
      <c r="G7" s="18" t="n">
        <f aca="false">0.5*D7+0.5*D7*(1-(E7-1)/5)</f>
        <v>18</v>
      </c>
      <c r="H7" s="18" t="n">
        <f aca="false">0.5*D7+0.5*D7*(1-(F7-1)/5)</f>
        <v>16</v>
      </c>
      <c r="I7" s="18" t="n">
        <f aca="false">H7-G7</f>
        <v>-2</v>
      </c>
      <c r="J7" s="6" t="s">
        <v>218</v>
      </c>
    </row>
    <row r="8" customFormat="false" ht="15" hidden="false" customHeight="false" outlineLevel="0" collapsed="false">
      <c r="A8" s="5" t="s">
        <v>206</v>
      </c>
      <c r="B8" s="5" t="s">
        <v>219</v>
      </c>
      <c r="C8" s="6" t="s">
        <v>220</v>
      </c>
      <c r="D8" s="17" t="n">
        <v>15</v>
      </c>
      <c r="E8" s="17" t="n">
        <v>3</v>
      </c>
      <c r="F8" s="17" t="n">
        <v>3</v>
      </c>
      <c r="G8" s="18" t="n">
        <f aca="false">0.5*D8+0.5*D8*(1-(E8-1)/5)</f>
        <v>12</v>
      </c>
      <c r="H8" s="18" t="n">
        <f aca="false">0.5*D8+0.5*D8*(1-(F8-1)/5)</f>
        <v>12</v>
      </c>
      <c r="I8" s="18" t="n">
        <f aca="false">H8-G8</f>
        <v>0</v>
      </c>
      <c r="J8" s="6" t="s">
        <v>221</v>
      </c>
    </row>
    <row r="9" customFormat="false" ht="29.85" hidden="false" customHeight="false" outlineLevel="0" collapsed="false">
      <c r="A9" s="5" t="s">
        <v>222</v>
      </c>
      <c r="B9" s="5" t="s">
        <v>223</v>
      </c>
      <c r="C9" s="6" t="s">
        <v>224</v>
      </c>
      <c r="D9" s="17" t="n">
        <v>30</v>
      </c>
      <c r="E9" s="19" t="n">
        <v>2</v>
      </c>
      <c r="F9" s="19" t="n">
        <v>3</v>
      </c>
      <c r="G9" s="18" t="n">
        <f aca="false">0.5*D9+0.5*D9*(1-(E9-1)/5)</f>
        <v>27</v>
      </c>
      <c r="H9" s="18" t="n">
        <f aca="false">0.5*D9+0.5*D9*(1-(F9-1)/5)</f>
        <v>24</v>
      </c>
      <c r="I9" s="18" t="n">
        <f aca="false">H9-G9</f>
        <v>-3</v>
      </c>
      <c r="J9" s="6" t="s">
        <v>225</v>
      </c>
    </row>
    <row r="10" customFormat="false" ht="15" hidden="false" customHeight="false" outlineLevel="0" collapsed="false">
      <c r="A10" s="5" t="s">
        <v>222</v>
      </c>
      <c r="B10" s="5" t="s">
        <v>226</v>
      </c>
      <c r="C10" s="6" t="s">
        <v>227</v>
      </c>
      <c r="D10" s="17" t="n">
        <v>30</v>
      </c>
      <c r="E10" s="17" t="n">
        <v>3</v>
      </c>
      <c r="F10" s="17" t="n">
        <v>3</v>
      </c>
      <c r="G10" s="18" t="n">
        <f aca="false">0.5*D10+0.5*D10*(1-(E10-1)/5)</f>
        <v>24</v>
      </c>
      <c r="H10" s="18" t="n">
        <f aca="false">0.5*D10+0.5*D10*(1-(F10-1)/5)</f>
        <v>24</v>
      </c>
      <c r="I10" s="18" t="n">
        <f aca="false">H10-G10</f>
        <v>0</v>
      </c>
      <c r="J10" s="6" t="s">
        <v>228</v>
      </c>
    </row>
    <row r="11" customFormat="false" ht="29.85" hidden="false" customHeight="false" outlineLevel="0" collapsed="false">
      <c r="A11" s="5" t="s">
        <v>222</v>
      </c>
      <c r="B11" s="5" t="s">
        <v>229</v>
      </c>
      <c r="C11" s="6" t="s">
        <v>230</v>
      </c>
      <c r="D11" s="17" t="n">
        <v>20</v>
      </c>
      <c r="E11" s="19" t="n">
        <v>3</v>
      </c>
      <c r="F11" s="19" t="n">
        <v>4</v>
      </c>
      <c r="G11" s="18" t="n">
        <f aca="false">0.5*D11+0.5*D11*(1-(E11-1)/5)</f>
        <v>16</v>
      </c>
      <c r="H11" s="18" t="n">
        <f aca="false">0.5*D11+0.5*D11*(1-(F11-1)/5)</f>
        <v>14</v>
      </c>
      <c r="I11" s="18" t="n">
        <f aca="false">H11-G11</f>
        <v>-2</v>
      </c>
      <c r="J11" s="6" t="s">
        <v>231</v>
      </c>
    </row>
    <row r="12" customFormat="false" ht="15" hidden="false" customHeight="false" outlineLevel="0" collapsed="false">
      <c r="A12" s="5" t="s">
        <v>222</v>
      </c>
      <c r="B12" s="5" t="s">
        <v>232</v>
      </c>
      <c r="C12" s="6" t="s">
        <v>233</v>
      </c>
      <c r="D12" s="17" t="n">
        <v>20</v>
      </c>
      <c r="E12" s="17" t="n">
        <v>3</v>
      </c>
      <c r="F12" s="17" t="n">
        <v>3</v>
      </c>
      <c r="G12" s="18" t="n">
        <f aca="false">0.5*D12+0.5*D12*(1-(E12-1)/5)</f>
        <v>16</v>
      </c>
      <c r="H12" s="18" t="n">
        <f aca="false">0.5*D12+0.5*D12*(1-(F12-1)/5)</f>
        <v>16</v>
      </c>
      <c r="I12" s="18" t="n">
        <f aca="false">H12-G12</f>
        <v>0</v>
      </c>
      <c r="J12" s="6" t="s">
        <v>234</v>
      </c>
    </row>
    <row r="13" customFormat="false" ht="29.85" hidden="false" customHeight="false" outlineLevel="0" collapsed="false">
      <c r="A13" s="5" t="s">
        <v>235</v>
      </c>
      <c r="B13" s="5" t="s">
        <v>236</v>
      </c>
      <c r="C13" s="6" t="s">
        <v>237</v>
      </c>
      <c r="D13" s="17" t="n">
        <v>30</v>
      </c>
      <c r="E13" s="19" t="n">
        <v>2</v>
      </c>
      <c r="F13" s="19" t="n">
        <v>3</v>
      </c>
      <c r="G13" s="18" t="n">
        <f aca="false">0.5*D13+0.5*D13*(1-(E13-1)/5)</f>
        <v>27</v>
      </c>
      <c r="H13" s="18" t="n">
        <f aca="false">0.5*D13+0.5*D13*(1-(F13-1)/5)</f>
        <v>24</v>
      </c>
      <c r="I13" s="18" t="n">
        <f aca="false">H13-G13</f>
        <v>-3</v>
      </c>
      <c r="J13" s="6" t="s">
        <v>238</v>
      </c>
    </row>
    <row r="14" customFormat="false" ht="15" hidden="false" customHeight="false" outlineLevel="0" collapsed="false">
      <c r="A14" s="5" t="s">
        <v>235</v>
      </c>
      <c r="B14" s="5" t="s">
        <v>239</v>
      </c>
      <c r="C14" s="6" t="s">
        <v>240</v>
      </c>
      <c r="D14" s="17" t="n">
        <v>25</v>
      </c>
      <c r="E14" s="19" t="n">
        <v>2</v>
      </c>
      <c r="F14" s="19" t="n">
        <v>3</v>
      </c>
      <c r="G14" s="18" t="n">
        <f aca="false">0.5*D14+0.5*D14*(1-(E14-1)/5)</f>
        <v>22.5</v>
      </c>
      <c r="H14" s="18" t="n">
        <f aca="false">0.5*D14+0.5*D14*(1-(F14-1)/5)</f>
        <v>20</v>
      </c>
      <c r="I14" s="18" t="n">
        <f aca="false">H14-G14</f>
        <v>-2.5</v>
      </c>
      <c r="J14" s="6" t="s">
        <v>241</v>
      </c>
    </row>
    <row r="15" customFormat="false" ht="15" hidden="false" customHeight="false" outlineLevel="0" collapsed="false">
      <c r="A15" s="5" t="s">
        <v>235</v>
      </c>
      <c r="B15" s="5" t="s">
        <v>242</v>
      </c>
      <c r="C15" s="6" t="s">
        <v>243</v>
      </c>
      <c r="D15" s="17" t="n">
        <v>15</v>
      </c>
      <c r="E15" s="19" t="n">
        <v>2</v>
      </c>
      <c r="F15" s="19" t="n">
        <v>3</v>
      </c>
      <c r="G15" s="18" t="n">
        <f aca="false">0.5*D15+0.5*D15*(1-(E15-1)/5)</f>
        <v>13.5</v>
      </c>
      <c r="H15" s="18" t="n">
        <f aca="false">0.5*D15+0.5*D15*(1-(F15-1)/5)</f>
        <v>12</v>
      </c>
      <c r="I15" s="18" t="n">
        <f aca="false">H15-G15</f>
        <v>-1.5</v>
      </c>
      <c r="J15" s="6" t="s">
        <v>244</v>
      </c>
    </row>
    <row r="16" customFormat="false" ht="15" hidden="false" customHeight="false" outlineLevel="0" collapsed="false">
      <c r="A16" s="5" t="s">
        <v>235</v>
      </c>
      <c r="B16" s="5" t="s">
        <v>245</v>
      </c>
      <c r="C16" s="6" t="s">
        <v>246</v>
      </c>
      <c r="D16" s="17" t="n">
        <v>15</v>
      </c>
      <c r="E16" s="17" t="n">
        <v>2</v>
      </c>
      <c r="F16" s="17" t="n">
        <v>2</v>
      </c>
      <c r="G16" s="18" t="n">
        <f aca="false">0.5*D16+0.5*D16*(1-(E16-1)/5)</f>
        <v>13.5</v>
      </c>
      <c r="H16" s="18" t="n">
        <f aca="false">0.5*D16+0.5*D16*(1-(F16-1)/5)</f>
        <v>13.5</v>
      </c>
      <c r="I16" s="18" t="n">
        <f aca="false">H16-G16</f>
        <v>0</v>
      </c>
      <c r="J16" s="6" t="s">
        <v>247</v>
      </c>
    </row>
    <row r="17" customFormat="false" ht="15" hidden="false" customHeight="false" outlineLevel="0" collapsed="false">
      <c r="A17" s="5" t="s">
        <v>235</v>
      </c>
      <c r="B17" s="5" t="s">
        <v>248</v>
      </c>
      <c r="C17" s="6" t="s">
        <v>249</v>
      </c>
      <c r="D17" s="17" t="n">
        <v>15</v>
      </c>
      <c r="E17" s="19" t="n">
        <v>2</v>
      </c>
      <c r="F17" s="19" t="n">
        <v>3</v>
      </c>
      <c r="G17" s="18" t="n">
        <f aca="false">0.5*D17+0.5*D17*(1-(E17-1)/5)</f>
        <v>13.5</v>
      </c>
      <c r="H17" s="18" t="n">
        <f aca="false">0.5*D17+0.5*D17*(1-(F17-1)/5)</f>
        <v>12</v>
      </c>
      <c r="I17" s="18" t="n">
        <f aca="false">H17-G17</f>
        <v>-1.5</v>
      </c>
      <c r="J17" s="6" t="s">
        <v>250</v>
      </c>
    </row>
    <row r="18" customFormat="false" ht="15" hidden="false" customHeight="false" outlineLevel="0" collapsed="false">
      <c r="A18" s="5" t="s">
        <v>251</v>
      </c>
      <c r="B18" s="5" t="s">
        <v>252</v>
      </c>
      <c r="C18" s="6" t="s">
        <v>253</v>
      </c>
      <c r="D18" s="17" t="n">
        <v>20</v>
      </c>
      <c r="E18" s="17" t="n">
        <v>3</v>
      </c>
      <c r="F18" s="17" t="n">
        <v>3</v>
      </c>
      <c r="G18" s="18" t="n">
        <f aca="false">0.5*D18+0.5*D18*(1-(E18-1)/5)</f>
        <v>16</v>
      </c>
      <c r="H18" s="18" t="n">
        <f aca="false">0.5*D18+0.5*D18*(1-(F18-1)/5)</f>
        <v>16</v>
      </c>
      <c r="I18" s="18" t="n">
        <f aca="false">H18-G18</f>
        <v>0</v>
      </c>
      <c r="J18" s="6" t="s">
        <v>254</v>
      </c>
    </row>
    <row r="19" customFormat="false" ht="15" hidden="false" customHeight="false" outlineLevel="0" collapsed="false">
      <c r="A19" s="5" t="s">
        <v>251</v>
      </c>
      <c r="B19" s="5" t="s">
        <v>255</v>
      </c>
      <c r="C19" s="6" t="s">
        <v>256</v>
      </c>
      <c r="D19" s="17" t="n">
        <v>10</v>
      </c>
      <c r="E19" s="17" t="n">
        <v>3</v>
      </c>
      <c r="F19" s="17" t="n">
        <v>3</v>
      </c>
      <c r="G19" s="18" t="n">
        <f aca="false">0.5*D19+0.5*D19*(1-(E19-1)/5)</f>
        <v>8</v>
      </c>
      <c r="H19" s="18" t="n">
        <f aca="false">0.5*D19+0.5*D19*(1-(F19-1)/5)</f>
        <v>8</v>
      </c>
      <c r="I19" s="18" t="n">
        <f aca="false">H19-G19</f>
        <v>0</v>
      </c>
      <c r="J19" s="6" t="s">
        <v>257</v>
      </c>
    </row>
    <row r="20" customFormat="false" ht="15" hidden="false" customHeight="false" outlineLevel="0" collapsed="false">
      <c r="A20" s="5" t="s">
        <v>251</v>
      </c>
      <c r="B20" s="5" t="s">
        <v>258</v>
      </c>
      <c r="C20" s="6" t="s">
        <v>259</v>
      </c>
      <c r="D20" s="17" t="n">
        <v>10</v>
      </c>
      <c r="E20" s="19" t="n">
        <v>3</v>
      </c>
      <c r="F20" s="19" t="n">
        <v>4</v>
      </c>
      <c r="G20" s="18" t="n">
        <f aca="false">0.5*D20+0.5*D20*(1-(E20-1)/5)</f>
        <v>8</v>
      </c>
      <c r="H20" s="18" t="n">
        <f aca="false">0.5*D20+0.5*D20*(1-(F20-1)/5)</f>
        <v>7</v>
      </c>
      <c r="I20" s="18" t="n">
        <f aca="false">H20-G20</f>
        <v>-1</v>
      </c>
      <c r="J20" s="6" t="s">
        <v>260</v>
      </c>
    </row>
    <row r="21" customFormat="false" ht="15" hidden="false" customHeight="false" outlineLevel="0" collapsed="false">
      <c r="A21" s="5" t="s">
        <v>251</v>
      </c>
      <c r="B21" s="5" t="s">
        <v>261</v>
      </c>
      <c r="C21" s="6" t="s">
        <v>262</v>
      </c>
      <c r="D21" s="17" t="n">
        <v>20</v>
      </c>
      <c r="E21" s="17" t="n">
        <v>3</v>
      </c>
      <c r="F21" s="17" t="n">
        <v>3</v>
      </c>
      <c r="G21" s="18" t="n">
        <f aca="false">0.5*D21+0.5*D21*(1-(E21-1)/5)</f>
        <v>16</v>
      </c>
      <c r="H21" s="18" t="n">
        <f aca="false">0.5*D21+0.5*D21*(1-(F21-1)/5)</f>
        <v>16</v>
      </c>
      <c r="I21" s="18" t="n">
        <f aca="false">H21-G21</f>
        <v>0</v>
      </c>
      <c r="J21" s="6" t="s">
        <v>263</v>
      </c>
    </row>
    <row r="22" customFormat="false" ht="15" hidden="false" customHeight="false" outlineLevel="0" collapsed="false">
      <c r="A22" s="5" t="s">
        <v>251</v>
      </c>
      <c r="B22" s="5" t="s">
        <v>264</v>
      </c>
      <c r="C22" s="6" t="s">
        <v>265</v>
      </c>
      <c r="D22" s="17" t="n">
        <v>20</v>
      </c>
      <c r="E22" s="17" t="n">
        <v>3</v>
      </c>
      <c r="F22" s="17" t="n">
        <v>3</v>
      </c>
      <c r="G22" s="18" t="n">
        <f aca="false">0.5*D22+0.5*D22*(1-(E22-1)/5)</f>
        <v>16</v>
      </c>
      <c r="H22" s="18" t="n">
        <f aca="false">0.5*D22+0.5*D22*(1-(F22-1)/5)</f>
        <v>16</v>
      </c>
      <c r="I22" s="18" t="n">
        <f aca="false">H22-G22</f>
        <v>0</v>
      </c>
      <c r="J22" s="6" t="s">
        <v>266</v>
      </c>
    </row>
    <row r="23" customFormat="false" ht="29.85" hidden="false" customHeight="false" outlineLevel="0" collapsed="false">
      <c r="A23" s="5" t="s">
        <v>251</v>
      </c>
      <c r="B23" s="5" t="s">
        <v>267</v>
      </c>
      <c r="C23" s="6" t="s">
        <v>268</v>
      </c>
      <c r="D23" s="17" t="n">
        <v>20</v>
      </c>
      <c r="E23" s="17" t="n">
        <v>3</v>
      </c>
      <c r="F23" s="17" t="n">
        <v>3</v>
      </c>
      <c r="G23" s="18" t="n">
        <f aca="false">0.5*D23+0.5*D23*(1-(E23-1)/5)</f>
        <v>16</v>
      </c>
      <c r="H23" s="18" t="n">
        <f aca="false">0.5*D23+0.5*D23*(1-(F23-1)/5)</f>
        <v>16</v>
      </c>
      <c r="I23" s="18" t="n">
        <f aca="false">H23-G23</f>
        <v>0</v>
      </c>
      <c r="J23" s="6" t="s">
        <v>269</v>
      </c>
    </row>
    <row r="24" customFormat="false" ht="29.85" hidden="false" customHeight="false" outlineLevel="0" collapsed="false">
      <c r="A24" s="5" t="s">
        <v>270</v>
      </c>
      <c r="B24" s="5" t="s">
        <v>271</v>
      </c>
      <c r="C24" s="6" t="s">
        <v>272</v>
      </c>
      <c r="D24" s="17" t="n">
        <v>20</v>
      </c>
      <c r="E24" s="19" t="n">
        <v>2</v>
      </c>
      <c r="F24" s="19" t="n">
        <v>3</v>
      </c>
      <c r="G24" s="18" t="n">
        <f aca="false">0.5*D24+0.5*D24*(1-(E24-1)/5)</f>
        <v>18</v>
      </c>
      <c r="H24" s="18" t="n">
        <f aca="false">0.5*D24+0.5*D24*(1-(F24-1)/5)</f>
        <v>16</v>
      </c>
      <c r="I24" s="18" t="n">
        <f aca="false">H24-G24</f>
        <v>-2</v>
      </c>
      <c r="J24" s="6" t="s">
        <v>273</v>
      </c>
    </row>
    <row r="25" customFormat="false" ht="29.85" hidden="false" customHeight="false" outlineLevel="0" collapsed="false">
      <c r="A25" s="5" t="s">
        <v>270</v>
      </c>
      <c r="B25" s="5" t="s">
        <v>274</v>
      </c>
      <c r="C25" s="6" t="s">
        <v>275</v>
      </c>
      <c r="D25" s="17" t="n">
        <v>15</v>
      </c>
      <c r="E25" s="19" t="n">
        <v>2</v>
      </c>
      <c r="F25" s="19" t="n">
        <v>4</v>
      </c>
      <c r="G25" s="18" t="n">
        <f aca="false">0.5*D25+0.5*D25*(1-(E25-1)/5)</f>
        <v>13.5</v>
      </c>
      <c r="H25" s="18" t="n">
        <f aca="false">0.5*D25+0.5*D25*(1-(F25-1)/5)</f>
        <v>10.5</v>
      </c>
      <c r="I25" s="18" t="n">
        <f aca="false">H25-G25</f>
        <v>-3</v>
      </c>
      <c r="J25" s="6" t="s">
        <v>276</v>
      </c>
    </row>
    <row r="26" customFormat="false" ht="29.85" hidden="false" customHeight="false" outlineLevel="0" collapsed="false">
      <c r="A26" s="5" t="s">
        <v>270</v>
      </c>
      <c r="B26" s="5" t="s">
        <v>277</v>
      </c>
      <c r="C26" s="6" t="s">
        <v>278</v>
      </c>
      <c r="D26" s="17" t="n">
        <v>25</v>
      </c>
      <c r="E26" s="19" t="n">
        <v>2</v>
      </c>
      <c r="F26" s="19" t="n">
        <v>3</v>
      </c>
      <c r="G26" s="18" t="n">
        <f aca="false">0.5*D26+0.5*D26*(1-(E26-1)/5)</f>
        <v>22.5</v>
      </c>
      <c r="H26" s="18" t="n">
        <f aca="false">0.5*D26+0.5*D26*(1-(F26-1)/5)</f>
        <v>20</v>
      </c>
      <c r="I26" s="18" t="n">
        <f aca="false">H26-G26</f>
        <v>-2.5</v>
      </c>
      <c r="J26" s="6" t="s">
        <v>279</v>
      </c>
    </row>
    <row r="27" customFormat="false" ht="15" hidden="false" customHeight="false" outlineLevel="0" collapsed="false">
      <c r="A27" s="5" t="s">
        <v>270</v>
      </c>
      <c r="B27" s="5" t="s">
        <v>280</v>
      </c>
      <c r="C27" s="6" t="s">
        <v>281</v>
      </c>
      <c r="D27" s="17" t="n">
        <v>20</v>
      </c>
      <c r="E27" s="19" t="n">
        <v>2</v>
      </c>
      <c r="F27" s="19" t="n">
        <v>4</v>
      </c>
      <c r="G27" s="18" t="n">
        <f aca="false">0.5*D27+0.5*D27*(1-(E27-1)/5)</f>
        <v>18</v>
      </c>
      <c r="H27" s="18" t="n">
        <f aca="false">0.5*D27+0.5*D27*(1-(F27-1)/5)</f>
        <v>14</v>
      </c>
      <c r="I27" s="18" t="n">
        <f aca="false">H27-G27</f>
        <v>-4</v>
      </c>
      <c r="J27" s="6" t="s">
        <v>282</v>
      </c>
    </row>
    <row r="28" customFormat="false" ht="29.85" hidden="false" customHeight="false" outlineLevel="0" collapsed="false">
      <c r="A28" s="5" t="s">
        <v>270</v>
      </c>
      <c r="B28" s="5" t="s">
        <v>283</v>
      </c>
      <c r="C28" s="6" t="s">
        <v>284</v>
      </c>
      <c r="D28" s="17" t="n">
        <v>20</v>
      </c>
      <c r="E28" s="19" t="n">
        <v>2</v>
      </c>
      <c r="F28" s="19" t="n">
        <v>3</v>
      </c>
      <c r="G28" s="18" t="n">
        <f aca="false">0.5*D28+0.5*D28*(1-(E28-1)/5)</f>
        <v>18</v>
      </c>
      <c r="H28" s="18" t="n">
        <f aca="false">0.5*D28+0.5*D28*(1-(F28-1)/5)</f>
        <v>16</v>
      </c>
      <c r="I28" s="18" t="n">
        <f aca="false">H28-G28</f>
        <v>-2</v>
      </c>
      <c r="J28" s="6" t="s">
        <v>285</v>
      </c>
    </row>
    <row r="29" customFormat="false" ht="15" hidden="false" customHeight="false" outlineLevel="0" collapsed="false">
      <c r="A29" s="5" t="s">
        <v>286</v>
      </c>
      <c r="B29" s="5" t="s">
        <v>287</v>
      </c>
      <c r="C29" s="6" t="s">
        <v>288</v>
      </c>
      <c r="D29" s="17" t="n">
        <v>30</v>
      </c>
      <c r="E29" s="17" t="n">
        <v>3</v>
      </c>
      <c r="F29" s="17" t="n">
        <v>3</v>
      </c>
      <c r="G29" s="18" t="n">
        <f aca="false">0.5*D29+0.5*D29*(1-(E29-1)/5)</f>
        <v>24</v>
      </c>
      <c r="H29" s="18" t="n">
        <f aca="false">0.5*D29+0.5*D29*(1-(F29-1)/5)</f>
        <v>24</v>
      </c>
      <c r="I29" s="18" t="n">
        <f aca="false">H29-G29</f>
        <v>0</v>
      </c>
      <c r="J29" s="6" t="s">
        <v>289</v>
      </c>
    </row>
    <row r="30" customFormat="false" ht="29.85" hidden="false" customHeight="false" outlineLevel="0" collapsed="false">
      <c r="A30" s="5" t="s">
        <v>286</v>
      </c>
      <c r="B30" s="5" t="s">
        <v>290</v>
      </c>
      <c r="C30" s="6" t="s">
        <v>291</v>
      </c>
      <c r="D30" s="17" t="n">
        <v>20</v>
      </c>
      <c r="E30" s="19" t="n">
        <v>3</v>
      </c>
      <c r="F30" s="19" t="n">
        <v>5</v>
      </c>
      <c r="G30" s="18" t="n">
        <f aca="false">0.5*D30+0.5*D30*(1-(E30-1)/5)</f>
        <v>16</v>
      </c>
      <c r="H30" s="18" t="n">
        <f aca="false">0.5*D30+0.5*D30*(1-(F30-1)/5)</f>
        <v>12</v>
      </c>
      <c r="I30" s="18" t="n">
        <f aca="false">H30-G30</f>
        <v>-4</v>
      </c>
      <c r="J30" s="6" t="s">
        <v>292</v>
      </c>
    </row>
    <row r="31" customFormat="false" ht="26.85" hidden="false" customHeight="false" outlineLevel="0" collapsed="false">
      <c r="A31" s="5" t="s">
        <v>286</v>
      </c>
      <c r="B31" s="5" t="s">
        <v>293</v>
      </c>
      <c r="C31" s="6" t="s">
        <v>294</v>
      </c>
      <c r="D31" s="17" t="n">
        <v>20</v>
      </c>
      <c r="E31" s="19" t="n">
        <v>3</v>
      </c>
      <c r="F31" s="19" t="n">
        <v>4</v>
      </c>
      <c r="G31" s="18" t="n">
        <f aca="false">0.5*D31+0.5*D31*(1-(E31-1)/5)</f>
        <v>16</v>
      </c>
      <c r="H31" s="18" t="n">
        <f aca="false">0.5*D31+0.5*D31*(1-(F31-1)/5)</f>
        <v>14</v>
      </c>
      <c r="I31" s="18" t="n">
        <f aca="false">H31-G31</f>
        <v>-2</v>
      </c>
      <c r="J31" s="6" t="s">
        <v>295</v>
      </c>
    </row>
    <row r="32" customFormat="false" ht="15" hidden="false" customHeight="false" outlineLevel="0" collapsed="false">
      <c r="A32" s="5" t="s">
        <v>286</v>
      </c>
      <c r="B32" s="5" t="s">
        <v>296</v>
      </c>
      <c r="C32" s="6" t="s">
        <v>297</v>
      </c>
      <c r="D32" s="17" t="n">
        <v>30</v>
      </c>
      <c r="E32" s="17" t="n">
        <v>3</v>
      </c>
      <c r="F32" s="17" t="n">
        <v>3</v>
      </c>
      <c r="G32" s="18" t="n">
        <f aca="false">0.5*D32+0.5*D32*(1-(E32-1)/5)</f>
        <v>24</v>
      </c>
      <c r="H32" s="18" t="n">
        <f aca="false">0.5*D32+0.5*D32*(1-(F32-1)/5)</f>
        <v>24</v>
      </c>
      <c r="I32" s="18" t="n">
        <f aca="false">H32-G32</f>
        <v>0</v>
      </c>
      <c r="J32" s="6" t="s">
        <v>298</v>
      </c>
    </row>
    <row r="33" customFormat="false" ht="29.85" hidden="false" customHeight="false" outlineLevel="0" collapsed="false">
      <c r="A33" s="5" t="s">
        <v>299</v>
      </c>
      <c r="B33" s="5" t="s">
        <v>300</v>
      </c>
      <c r="C33" s="6" t="s">
        <v>301</v>
      </c>
      <c r="D33" s="17" t="n">
        <v>20</v>
      </c>
      <c r="E33" s="19" t="n">
        <v>2</v>
      </c>
      <c r="F33" s="19" t="n">
        <v>3</v>
      </c>
      <c r="G33" s="18" t="n">
        <f aca="false">0.5*D33+0.5*D33*(1-(E33-1)/5)</f>
        <v>18</v>
      </c>
      <c r="H33" s="18" t="n">
        <f aca="false">0.5*D33+0.5*D33*(1-(F33-1)/5)</f>
        <v>16</v>
      </c>
      <c r="I33" s="18" t="n">
        <f aca="false">H33-G33</f>
        <v>-2</v>
      </c>
      <c r="J33" s="6" t="s">
        <v>302</v>
      </c>
    </row>
    <row r="34" customFormat="false" ht="15" hidden="false" customHeight="false" outlineLevel="0" collapsed="false">
      <c r="A34" s="5" t="s">
        <v>299</v>
      </c>
      <c r="B34" s="5" t="s">
        <v>303</v>
      </c>
      <c r="C34" s="6" t="s">
        <v>304</v>
      </c>
      <c r="D34" s="17" t="n">
        <v>20</v>
      </c>
      <c r="E34" s="17" t="n">
        <v>2</v>
      </c>
      <c r="F34" s="17" t="n">
        <v>2</v>
      </c>
      <c r="G34" s="18" t="n">
        <f aca="false">0.5*D34+0.5*D34*(1-(E34-1)/5)</f>
        <v>18</v>
      </c>
      <c r="H34" s="18" t="n">
        <f aca="false">0.5*D34+0.5*D34*(1-(F34-1)/5)</f>
        <v>18</v>
      </c>
      <c r="I34" s="18" t="n">
        <f aca="false">H34-G34</f>
        <v>0</v>
      </c>
      <c r="J34" s="5" t="s">
        <v>305</v>
      </c>
    </row>
    <row r="35" customFormat="false" ht="15" hidden="false" customHeight="false" outlineLevel="0" collapsed="false">
      <c r="A35" s="5" t="s">
        <v>299</v>
      </c>
      <c r="B35" s="5" t="s">
        <v>306</v>
      </c>
      <c r="C35" s="6" t="s">
        <v>307</v>
      </c>
      <c r="D35" s="17" t="n">
        <v>10</v>
      </c>
      <c r="E35" s="19" t="n">
        <v>2</v>
      </c>
      <c r="F35" s="19" t="n">
        <v>3</v>
      </c>
      <c r="G35" s="18" t="n">
        <f aca="false">0.5*D35+0.5*D35*(1-(E35-1)/5)</f>
        <v>9</v>
      </c>
      <c r="H35" s="18" t="n">
        <f aca="false">0.5*D35+0.5*D35*(1-(F35-1)/5)</f>
        <v>8</v>
      </c>
      <c r="I35" s="18" t="n">
        <f aca="false">H35-G35</f>
        <v>-1</v>
      </c>
      <c r="J35" s="6" t="s">
        <v>308</v>
      </c>
    </row>
    <row r="36" customFormat="false" ht="15" hidden="false" customHeight="false" outlineLevel="0" collapsed="false">
      <c r="A36" s="5" t="s">
        <v>299</v>
      </c>
      <c r="B36" s="5" t="s">
        <v>309</v>
      </c>
      <c r="C36" s="6" t="s">
        <v>310</v>
      </c>
      <c r="D36" s="17" t="n">
        <v>20</v>
      </c>
      <c r="E36" s="19" t="n">
        <v>2</v>
      </c>
      <c r="F36" s="19" t="n">
        <v>3</v>
      </c>
      <c r="G36" s="18" t="n">
        <f aca="false">0.5*D36+0.5*D36*(1-(E36-1)/5)</f>
        <v>18</v>
      </c>
      <c r="H36" s="18" t="n">
        <f aca="false">0.5*D36+0.5*D36*(1-(F36-1)/5)</f>
        <v>16</v>
      </c>
      <c r="I36" s="18" t="n">
        <f aca="false">H36-G36</f>
        <v>-2</v>
      </c>
      <c r="J36" s="6" t="s">
        <v>311</v>
      </c>
    </row>
    <row r="37" customFormat="false" ht="29.85" hidden="false" customHeight="false" outlineLevel="0" collapsed="false">
      <c r="A37" s="5" t="s">
        <v>299</v>
      </c>
      <c r="B37" s="5" t="s">
        <v>312</v>
      </c>
      <c r="C37" s="6" t="s">
        <v>313</v>
      </c>
      <c r="D37" s="17" t="n">
        <v>30</v>
      </c>
      <c r="E37" s="19" t="n">
        <v>2</v>
      </c>
      <c r="F37" s="19" t="n">
        <v>3</v>
      </c>
      <c r="G37" s="18" t="n">
        <f aca="false">0.5*D37+0.5*D37*(1-(E37-1)/5)</f>
        <v>27</v>
      </c>
      <c r="H37" s="18" t="n">
        <f aca="false">0.5*D37+0.5*D37*(1-(F37-1)/5)</f>
        <v>24</v>
      </c>
      <c r="I37" s="18" t="n">
        <f aca="false">H37-G37</f>
        <v>-3</v>
      </c>
      <c r="J37" s="6" t="s">
        <v>314</v>
      </c>
    </row>
    <row r="38" customFormat="false" ht="15" hidden="false" customHeight="false" outlineLevel="0" collapsed="false">
      <c r="A38" s="5" t="s">
        <v>315</v>
      </c>
      <c r="B38" s="5" t="s">
        <v>316</v>
      </c>
      <c r="C38" s="6" t="s">
        <v>317</v>
      </c>
      <c r="D38" s="17" t="n">
        <v>30</v>
      </c>
      <c r="E38" s="17" t="n">
        <v>3</v>
      </c>
      <c r="F38" s="17" t="n">
        <v>3</v>
      </c>
      <c r="G38" s="18" t="n">
        <f aca="false">0.5*D38+0.5*D38*(1-(E38-1)/5)</f>
        <v>24</v>
      </c>
      <c r="H38" s="18" t="n">
        <f aca="false">0.5*D38+0.5*D38*(1-(F38-1)/5)</f>
        <v>24</v>
      </c>
      <c r="I38" s="18" t="n">
        <f aca="false">H38-G38</f>
        <v>0</v>
      </c>
      <c r="J38" s="6" t="s">
        <v>318</v>
      </c>
    </row>
    <row r="39" customFormat="false" ht="15" hidden="false" customHeight="false" outlineLevel="0" collapsed="false">
      <c r="A39" s="5" t="s">
        <v>315</v>
      </c>
      <c r="B39" s="5" t="s">
        <v>319</v>
      </c>
      <c r="C39" s="6" t="s">
        <v>320</v>
      </c>
      <c r="D39" s="17" t="n">
        <v>30</v>
      </c>
      <c r="E39" s="17" t="n">
        <v>3</v>
      </c>
      <c r="F39" s="17" t="n">
        <v>3</v>
      </c>
      <c r="G39" s="18" t="n">
        <f aca="false">0.5*D39+0.5*D39*(1-(E39-1)/5)</f>
        <v>24</v>
      </c>
      <c r="H39" s="18" t="n">
        <f aca="false">0.5*D39+0.5*D39*(1-(F39-1)/5)</f>
        <v>24</v>
      </c>
      <c r="I39" s="18" t="n">
        <f aca="false">H39-G39</f>
        <v>0</v>
      </c>
      <c r="J39" s="6" t="s">
        <v>321</v>
      </c>
    </row>
    <row r="40" customFormat="false" ht="15" hidden="false" customHeight="false" outlineLevel="0" collapsed="false">
      <c r="A40" s="5" t="s">
        <v>315</v>
      </c>
      <c r="B40" s="5" t="s">
        <v>322</v>
      </c>
      <c r="C40" s="6" t="s">
        <v>323</v>
      </c>
      <c r="D40" s="17" t="n">
        <v>20</v>
      </c>
      <c r="E40" s="17" t="n">
        <v>3</v>
      </c>
      <c r="F40" s="17" t="n">
        <v>3</v>
      </c>
      <c r="G40" s="18" t="n">
        <f aca="false">0.5*D40+0.5*D40*(1-(E40-1)/5)</f>
        <v>16</v>
      </c>
      <c r="H40" s="18" t="n">
        <f aca="false">0.5*D40+0.5*D40*(1-(F40-1)/5)</f>
        <v>16</v>
      </c>
      <c r="I40" s="18" t="n">
        <f aca="false">H40-G40</f>
        <v>0</v>
      </c>
      <c r="J40" s="6" t="s">
        <v>324</v>
      </c>
    </row>
    <row r="41" customFormat="false" ht="29.85" hidden="false" customHeight="false" outlineLevel="0" collapsed="false">
      <c r="A41" s="5" t="s">
        <v>315</v>
      </c>
      <c r="B41" s="5" t="s">
        <v>325</v>
      </c>
      <c r="C41" s="6" t="s">
        <v>326</v>
      </c>
      <c r="D41" s="17" t="n">
        <v>20</v>
      </c>
      <c r="E41" s="19" t="n">
        <v>3</v>
      </c>
      <c r="F41" s="19" t="n">
        <v>4</v>
      </c>
      <c r="G41" s="18" t="n">
        <f aca="false">0.5*D41+0.5*D41*(1-(E41-1)/5)</f>
        <v>16</v>
      </c>
      <c r="H41" s="18" t="n">
        <f aca="false">0.5*D41+0.5*D41*(1-(F41-1)/5)</f>
        <v>14</v>
      </c>
      <c r="I41" s="18" t="n">
        <f aca="false">H41-G41</f>
        <v>-2</v>
      </c>
      <c r="J41" s="6" t="s">
        <v>327</v>
      </c>
    </row>
    <row r="42" customFormat="false" ht="15" hidden="false" customHeight="false" outlineLevel="0" collapsed="false">
      <c r="A42" s="5" t="s">
        <v>328</v>
      </c>
      <c r="B42" s="5" t="s">
        <v>329</v>
      </c>
      <c r="C42" s="6" t="s">
        <v>330</v>
      </c>
      <c r="D42" s="17" t="n">
        <v>20</v>
      </c>
      <c r="E42" s="19" t="n">
        <v>2</v>
      </c>
      <c r="F42" s="19" t="n">
        <v>3</v>
      </c>
      <c r="G42" s="18" t="n">
        <f aca="false">0.5*D42+0.5*D42*(1-(E42-1)/5)</f>
        <v>18</v>
      </c>
      <c r="H42" s="18" t="n">
        <f aca="false">0.5*D42+0.5*D42*(1-(F42-1)/5)</f>
        <v>16</v>
      </c>
      <c r="I42" s="18" t="n">
        <f aca="false">H42-G42</f>
        <v>-2</v>
      </c>
      <c r="J42" s="6" t="s">
        <v>331</v>
      </c>
    </row>
    <row r="43" customFormat="false" ht="15" hidden="false" customHeight="false" outlineLevel="0" collapsed="false">
      <c r="A43" s="5" t="s">
        <v>328</v>
      </c>
      <c r="B43" s="5" t="s">
        <v>332</v>
      </c>
      <c r="C43" s="6" t="s">
        <v>333</v>
      </c>
      <c r="D43" s="17" t="n">
        <v>30</v>
      </c>
      <c r="E43" s="19" t="n">
        <v>2</v>
      </c>
      <c r="F43" s="19" t="n">
        <v>3</v>
      </c>
      <c r="G43" s="18" t="n">
        <f aca="false">0.5*D43+0.5*D43*(1-(E43-1)/5)</f>
        <v>27</v>
      </c>
      <c r="H43" s="18" t="n">
        <f aca="false">0.5*D43+0.5*D43*(1-(F43-1)/5)</f>
        <v>24</v>
      </c>
      <c r="I43" s="18" t="n">
        <f aca="false">H43-G43</f>
        <v>-3</v>
      </c>
      <c r="J43" s="6" t="s">
        <v>334</v>
      </c>
    </row>
    <row r="44" customFormat="false" ht="15" hidden="false" customHeight="false" outlineLevel="0" collapsed="false">
      <c r="A44" s="5" t="s">
        <v>328</v>
      </c>
      <c r="B44" s="5" t="s">
        <v>335</v>
      </c>
      <c r="C44" s="6" t="s">
        <v>336</v>
      </c>
      <c r="D44" s="17" t="n">
        <v>30</v>
      </c>
      <c r="E44" s="17" t="n">
        <v>2</v>
      </c>
      <c r="F44" s="17" t="n">
        <v>2</v>
      </c>
      <c r="G44" s="18" t="n">
        <f aca="false">0.5*D44+0.5*D44*(1-(E44-1)/5)</f>
        <v>27</v>
      </c>
      <c r="H44" s="18" t="n">
        <f aca="false">0.5*D44+0.5*D44*(1-(F44-1)/5)</f>
        <v>27</v>
      </c>
      <c r="I44" s="18" t="n">
        <f aca="false">H44-G44</f>
        <v>0</v>
      </c>
      <c r="J44" s="6" t="s">
        <v>337</v>
      </c>
    </row>
    <row r="45" customFormat="false" ht="15" hidden="false" customHeight="false" outlineLevel="0" collapsed="false">
      <c r="A45" s="5" t="s">
        <v>328</v>
      </c>
      <c r="B45" s="5" t="s">
        <v>338</v>
      </c>
      <c r="C45" s="6" t="s">
        <v>339</v>
      </c>
      <c r="D45" s="17" t="n">
        <v>20</v>
      </c>
      <c r="E45" s="19" t="n">
        <v>2</v>
      </c>
      <c r="F45" s="19" t="n">
        <v>3</v>
      </c>
      <c r="G45" s="18" t="n">
        <f aca="false">0.5*D45+0.5*D45*(1-(E45-1)/5)</f>
        <v>18</v>
      </c>
      <c r="H45" s="18" t="n">
        <f aca="false">0.5*D45+0.5*D45*(1-(F45-1)/5)</f>
        <v>16</v>
      </c>
      <c r="I45" s="18" t="n">
        <f aca="false">H45-G45</f>
        <v>-2</v>
      </c>
      <c r="J45" s="6" t="s">
        <v>340</v>
      </c>
    </row>
    <row r="46" customFormat="false" ht="15" hidden="false" customHeight="false" outlineLevel="0" collapsed="false">
      <c r="A46" s="5" t="s">
        <v>328</v>
      </c>
      <c r="B46" s="5" t="s">
        <v>341</v>
      </c>
      <c r="C46" s="6" t="s">
        <v>342</v>
      </c>
      <c r="D46" s="17" t="n">
        <v>50</v>
      </c>
      <c r="E46" s="19" t="n">
        <v>2</v>
      </c>
      <c r="F46" s="19" t="n">
        <v>3</v>
      </c>
      <c r="G46" s="18" t="n">
        <f aca="false">0.5*D46+0.5*D46*(1-(E46-1)/5)</f>
        <v>45</v>
      </c>
      <c r="H46" s="18" t="n">
        <f aca="false">0.5*D46+0.5*D46*(1-(F46-1)/5)</f>
        <v>40</v>
      </c>
      <c r="I46" s="18" t="n">
        <f aca="false">H46-G46</f>
        <v>-5</v>
      </c>
      <c r="J46" s="6" t="s">
        <v>343</v>
      </c>
    </row>
    <row r="47" customFormat="false" ht="29.85" hidden="false" customHeight="false" outlineLevel="0" collapsed="false">
      <c r="A47" s="5" t="s">
        <v>328</v>
      </c>
      <c r="B47" s="5" t="s">
        <v>344</v>
      </c>
      <c r="C47" s="6" t="s">
        <v>345</v>
      </c>
      <c r="D47" s="17" t="n">
        <v>50</v>
      </c>
      <c r="E47" s="19" t="n">
        <v>2</v>
      </c>
      <c r="F47" s="19" t="n">
        <v>4</v>
      </c>
      <c r="G47" s="18" t="n">
        <f aca="false">0.5*D47+0.5*D47*(1-(E47-1)/5)</f>
        <v>45</v>
      </c>
      <c r="H47" s="18" t="n">
        <f aca="false">0.5*D47+0.5*D47*(1-(F47-1)/5)</f>
        <v>35</v>
      </c>
      <c r="I47" s="18" t="n">
        <f aca="false">H47-G47</f>
        <v>-10</v>
      </c>
      <c r="J47" s="6" t="s">
        <v>346</v>
      </c>
    </row>
    <row r="48" customFormat="false" ht="15" hidden="false" customHeight="false" outlineLevel="0" collapsed="false">
      <c r="C48" s="12" t="s">
        <v>347</v>
      </c>
      <c r="D48" s="20" t="n">
        <f aca="false">SUM(D4:D47)</f>
        <v>1000</v>
      </c>
      <c r="G48" s="20" t="n">
        <f aca="false">SUM(G4:G47)</f>
        <v>855.5</v>
      </c>
      <c r="H48" s="20" t="n">
        <f aca="false">SUM(H4:H47)</f>
        <v>787.5</v>
      </c>
      <c r="I48" s="20" t="n">
        <f aca="false">SUM(I4:I47)</f>
        <v>-68</v>
      </c>
    </row>
    <row r="49" customFormat="false" ht="17.15" hidden="false" customHeight="false" outlineLevel="0" collapsed="false">
      <c r="C49" s="12" t="s">
        <v>348</v>
      </c>
      <c r="G49" s="12" t="str">
        <f aca="false">IF(G48&gt;950,"1등급",IF(G48&gt;850,"2등급",IF(G48&gt;750,"3등급",IF(G48&gt;650,"4등급",IF(G48&gt;550,"5등급","신청 불가")))))</f>
        <v>2등급</v>
      </c>
      <c r="H49" s="12" t="str">
        <f aca="false">IF(H48&gt;950,"1등급",IF(H48&gt;850,"2등급",IF(H48&gt;750,"3등급",IF(H48&gt;650,"4등급",IF(H48&gt;550,"5등급","신청 불가")))))</f>
        <v>3등급</v>
      </c>
    </row>
  </sheetData>
  <autoFilter ref="A3:J4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9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9"/>
    <col collapsed="false" customWidth="true" hidden="false" outlineLevel="0" max="3" min="3" style="0" width="30"/>
    <col collapsed="false" customWidth="true" hidden="false" outlineLevel="0" max="4" min="4" style="0" width="11"/>
    <col collapsed="false" customWidth="true" hidden="false" outlineLevel="0" max="5" min="5" style="0" width="10"/>
    <col collapsed="false" customWidth="true" hidden="false" outlineLevel="0" max="6" min="6" style="0" width="48"/>
    <col collapsed="false" customWidth="true" hidden="false" outlineLevel="0" max="7" min="7" style="0" width="8"/>
    <col collapsed="false" customWidth="true" hidden="false" outlineLevel="0" max="9" min="8" style="0" width="12"/>
  </cols>
  <sheetData>
    <row r="1" customFormat="false" ht="21.6" hidden="false" customHeight="false" outlineLevel="0" collapsed="false">
      <c r="A1" s="1" t="s">
        <v>349</v>
      </c>
    </row>
    <row r="2" customFormat="false" ht="15" hidden="false" customHeight="false" outlineLevel="0" collapsed="false">
      <c r="A2" s="2" t="s">
        <v>350</v>
      </c>
    </row>
    <row r="3" customFormat="false" ht="29.85" hidden="false" customHeight="false" outlineLevel="0" collapsed="false">
      <c r="A3" s="3" t="s">
        <v>115</v>
      </c>
      <c r="B3" s="4" t="s">
        <v>197</v>
      </c>
      <c r="C3" s="4" t="s">
        <v>198</v>
      </c>
      <c r="D3" s="4" t="s">
        <v>351</v>
      </c>
      <c r="E3" s="4" t="s">
        <v>352</v>
      </c>
      <c r="F3" s="4" t="s">
        <v>353</v>
      </c>
      <c r="G3" s="4" t="s">
        <v>354</v>
      </c>
      <c r="H3" s="4" t="s">
        <v>4</v>
      </c>
      <c r="I3" s="4" t="s">
        <v>355</v>
      </c>
    </row>
    <row r="4" customFormat="false" ht="15" hidden="false" customHeight="false" outlineLevel="0" collapsed="false">
      <c r="A4" s="5" t="n">
        <v>1</v>
      </c>
      <c r="B4" s="5" t="s">
        <v>207</v>
      </c>
      <c r="C4" s="6" t="s">
        <v>208</v>
      </c>
      <c r="D4" s="5" t="s">
        <v>356</v>
      </c>
      <c r="E4" s="5" t="s">
        <v>357</v>
      </c>
      <c r="F4" s="5" t="s">
        <v>358</v>
      </c>
      <c r="G4" s="6" t="s">
        <v>359</v>
      </c>
      <c r="H4" s="5"/>
      <c r="I4" s="5"/>
    </row>
    <row r="5" customFormat="false" ht="15" hidden="false" customHeight="false" outlineLevel="0" collapsed="false">
      <c r="A5" s="5" t="n">
        <v>2</v>
      </c>
      <c r="B5" s="5" t="s">
        <v>207</v>
      </c>
      <c r="C5" s="6" t="s">
        <v>208</v>
      </c>
      <c r="D5" s="5" t="s">
        <v>356</v>
      </c>
      <c r="E5" s="5" t="s">
        <v>360</v>
      </c>
      <c r="F5" s="5" t="s">
        <v>361</v>
      </c>
      <c r="G5" s="6" t="s">
        <v>359</v>
      </c>
      <c r="H5" s="5"/>
      <c r="I5" s="5"/>
    </row>
    <row r="6" customFormat="false" ht="15" hidden="false" customHeight="false" outlineLevel="0" collapsed="false">
      <c r="A6" s="5" t="n">
        <v>3</v>
      </c>
      <c r="B6" s="5" t="s">
        <v>207</v>
      </c>
      <c r="C6" s="6" t="s">
        <v>208</v>
      </c>
      <c r="D6" s="5" t="s">
        <v>356</v>
      </c>
      <c r="E6" s="5" t="s">
        <v>362</v>
      </c>
      <c r="F6" s="6" t="s">
        <v>363</v>
      </c>
      <c r="G6" s="6" t="s">
        <v>359</v>
      </c>
      <c r="H6" s="5"/>
      <c r="I6" s="5"/>
    </row>
    <row r="7" customFormat="false" ht="15" hidden="false" customHeight="false" outlineLevel="0" collapsed="false">
      <c r="A7" s="5" t="n">
        <v>4</v>
      </c>
      <c r="B7" s="5" t="s">
        <v>210</v>
      </c>
      <c r="C7" s="6" t="s">
        <v>211</v>
      </c>
      <c r="D7" s="5" t="s">
        <v>364</v>
      </c>
      <c r="E7" s="5" t="s">
        <v>357</v>
      </c>
      <c r="F7" s="5" t="s">
        <v>365</v>
      </c>
      <c r="G7" s="6" t="s">
        <v>366</v>
      </c>
      <c r="H7" s="5"/>
      <c r="I7" s="5"/>
    </row>
    <row r="8" customFormat="false" ht="15" hidden="false" customHeight="false" outlineLevel="0" collapsed="false">
      <c r="A8" s="5" t="n">
        <v>5</v>
      </c>
      <c r="B8" s="5" t="s">
        <v>210</v>
      </c>
      <c r="C8" s="6" t="s">
        <v>211</v>
      </c>
      <c r="D8" s="5" t="s">
        <v>364</v>
      </c>
      <c r="E8" s="5" t="s">
        <v>360</v>
      </c>
      <c r="F8" s="6" t="s">
        <v>367</v>
      </c>
      <c r="G8" s="6" t="s">
        <v>366</v>
      </c>
      <c r="H8" s="5"/>
      <c r="I8" s="5"/>
    </row>
    <row r="9" customFormat="false" ht="15" hidden="false" customHeight="false" outlineLevel="0" collapsed="false">
      <c r="A9" s="5" t="n">
        <v>6</v>
      </c>
      <c r="B9" s="5" t="s">
        <v>210</v>
      </c>
      <c r="C9" s="6" t="s">
        <v>211</v>
      </c>
      <c r="D9" s="5" t="s">
        <v>364</v>
      </c>
      <c r="E9" s="5" t="s">
        <v>362</v>
      </c>
      <c r="F9" s="5" t="s">
        <v>368</v>
      </c>
      <c r="G9" s="6" t="s">
        <v>359</v>
      </c>
      <c r="H9" s="5"/>
      <c r="I9" s="5"/>
    </row>
    <row r="10" customFormat="false" ht="15" hidden="false" customHeight="false" outlineLevel="0" collapsed="false">
      <c r="A10" s="5" t="n">
        <v>7</v>
      </c>
      <c r="B10" s="5" t="s">
        <v>213</v>
      </c>
      <c r="C10" s="6" t="s">
        <v>214</v>
      </c>
      <c r="D10" s="5" t="s">
        <v>369</v>
      </c>
      <c r="E10" s="5" t="s">
        <v>357</v>
      </c>
      <c r="F10" s="6" t="s">
        <v>370</v>
      </c>
      <c r="G10" s="6" t="s">
        <v>366</v>
      </c>
      <c r="H10" s="5"/>
      <c r="I10" s="5"/>
    </row>
    <row r="11" customFormat="false" ht="15" hidden="false" customHeight="false" outlineLevel="0" collapsed="false">
      <c r="A11" s="5" t="n">
        <v>8</v>
      </c>
      <c r="B11" s="5" t="s">
        <v>213</v>
      </c>
      <c r="C11" s="6" t="s">
        <v>214</v>
      </c>
      <c r="D11" s="5" t="s">
        <v>369</v>
      </c>
      <c r="E11" s="5" t="s">
        <v>360</v>
      </c>
      <c r="F11" s="6" t="s">
        <v>371</v>
      </c>
      <c r="G11" s="6" t="s">
        <v>359</v>
      </c>
      <c r="H11" s="5"/>
      <c r="I11" s="5"/>
    </row>
    <row r="12" customFormat="false" ht="15" hidden="false" customHeight="false" outlineLevel="0" collapsed="false">
      <c r="A12" s="5" t="n">
        <v>9</v>
      </c>
      <c r="B12" s="5" t="s">
        <v>213</v>
      </c>
      <c r="C12" s="6" t="s">
        <v>214</v>
      </c>
      <c r="D12" s="5" t="s">
        <v>369</v>
      </c>
      <c r="E12" s="5" t="s">
        <v>362</v>
      </c>
      <c r="F12" s="6" t="s">
        <v>372</v>
      </c>
      <c r="G12" s="6" t="s">
        <v>373</v>
      </c>
      <c r="H12" s="5"/>
      <c r="I12" s="5"/>
    </row>
    <row r="13" customFormat="false" ht="15" hidden="false" customHeight="false" outlineLevel="0" collapsed="false">
      <c r="A13" s="5" t="n">
        <v>10</v>
      </c>
      <c r="B13" s="5" t="s">
        <v>216</v>
      </c>
      <c r="C13" s="6" t="s">
        <v>217</v>
      </c>
      <c r="D13" s="5" t="s">
        <v>374</v>
      </c>
      <c r="E13" s="5" t="s">
        <v>357</v>
      </c>
      <c r="F13" s="6" t="s">
        <v>375</v>
      </c>
      <c r="G13" s="6" t="s">
        <v>366</v>
      </c>
      <c r="H13" s="5"/>
      <c r="I13" s="5"/>
    </row>
    <row r="14" customFormat="false" ht="15" hidden="false" customHeight="false" outlineLevel="0" collapsed="false">
      <c r="A14" s="5" t="n">
        <v>11</v>
      </c>
      <c r="B14" s="5" t="s">
        <v>216</v>
      </c>
      <c r="C14" s="6" t="s">
        <v>217</v>
      </c>
      <c r="D14" s="5" t="s">
        <v>374</v>
      </c>
      <c r="E14" s="5" t="s">
        <v>360</v>
      </c>
      <c r="F14" s="5" t="s">
        <v>376</v>
      </c>
      <c r="G14" s="6" t="s">
        <v>359</v>
      </c>
      <c r="H14" s="5"/>
      <c r="I14" s="5"/>
    </row>
    <row r="15" customFormat="false" ht="15" hidden="false" customHeight="false" outlineLevel="0" collapsed="false">
      <c r="A15" s="5" t="n">
        <v>12</v>
      </c>
      <c r="B15" s="5" t="s">
        <v>216</v>
      </c>
      <c r="C15" s="6" t="s">
        <v>217</v>
      </c>
      <c r="D15" s="5" t="s">
        <v>374</v>
      </c>
      <c r="E15" s="5" t="s">
        <v>362</v>
      </c>
      <c r="F15" s="5" t="s">
        <v>377</v>
      </c>
      <c r="G15" s="6" t="s">
        <v>359</v>
      </c>
      <c r="H15" s="5"/>
      <c r="I15" s="5"/>
    </row>
    <row r="16" customFormat="false" ht="15" hidden="false" customHeight="false" outlineLevel="0" collapsed="false">
      <c r="A16" s="5" t="n">
        <v>13</v>
      </c>
      <c r="B16" s="5" t="s">
        <v>219</v>
      </c>
      <c r="C16" s="6" t="s">
        <v>220</v>
      </c>
      <c r="D16" s="5" t="s">
        <v>378</v>
      </c>
      <c r="E16" s="5" t="s">
        <v>357</v>
      </c>
      <c r="F16" s="6" t="s">
        <v>379</v>
      </c>
      <c r="G16" s="6" t="s">
        <v>359</v>
      </c>
      <c r="H16" s="5"/>
      <c r="I16" s="5"/>
    </row>
    <row r="17" customFormat="false" ht="15" hidden="false" customHeight="false" outlineLevel="0" collapsed="false">
      <c r="A17" s="5" t="n">
        <v>14</v>
      </c>
      <c r="B17" s="5" t="s">
        <v>219</v>
      </c>
      <c r="C17" s="6" t="s">
        <v>220</v>
      </c>
      <c r="D17" s="5" t="s">
        <v>378</v>
      </c>
      <c r="E17" s="5" t="s">
        <v>360</v>
      </c>
      <c r="F17" s="5" t="s">
        <v>380</v>
      </c>
      <c r="G17" s="6" t="s">
        <v>359</v>
      </c>
      <c r="H17" s="5"/>
      <c r="I17" s="5"/>
    </row>
    <row r="18" customFormat="false" ht="15" hidden="false" customHeight="false" outlineLevel="0" collapsed="false">
      <c r="A18" s="5" t="n">
        <v>15</v>
      </c>
      <c r="B18" s="5" t="s">
        <v>223</v>
      </c>
      <c r="C18" s="6" t="s">
        <v>224</v>
      </c>
      <c r="D18" s="5" t="s">
        <v>381</v>
      </c>
      <c r="E18" s="5" t="s">
        <v>357</v>
      </c>
      <c r="F18" s="5" t="s">
        <v>382</v>
      </c>
      <c r="G18" s="6" t="s">
        <v>359</v>
      </c>
      <c r="H18" s="5"/>
      <c r="I18" s="5"/>
    </row>
    <row r="19" customFormat="false" ht="15" hidden="false" customHeight="false" outlineLevel="0" collapsed="false">
      <c r="A19" s="5" t="n">
        <v>16</v>
      </c>
      <c r="B19" s="5" t="s">
        <v>223</v>
      </c>
      <c r="C19" s="6" t="s">
        <v>224</v>
      </c>
      <c r="D19" s="5" t="s">
        <v>381</v>
      </c>
      <c r="E19" s="5" t="s">
        <v>360</v>
      </c>
      <c r="F19" s="6" t="s">
        <v>383</v>
      </c>
      <c r="G19" s="6" t="s">
        <v>366</v>
      </c>
      <c r="H19" s="5"/>
      <c r="I19" s="5"/>
    </row>
    <row r="20" customFormat="false" ht="15" hidden="false" customHeight="false" outlineLevel="0" collapsed="false">
      <c r="A20" s="5" t="n">
        <v>17</v>
      </c>
      <c r="B20" s="5" t="s">
        <v>226</v>
      </c>
      <c r="C20" s="6" t="s">
        <v>227</v>
      </c>
      <c r="D20" s="5" t="s">
        <v>384</v>
      </c>
      <c r="E20" s="5" t="s">
        <v>357</v>
      </c>
      <c r="F20" s="6" t="s">
        <v>385</v>
      </c>
      <c r="G20" s="6" t="s">
        <v>366</v>
      </c>
      <c r="H20" s="5"/>
      <c r="I20" s="5"/>
    </row>
    <row r="21" customFormat="false" ht="15" hidden="false" customHeight="false" outlineLevel="0" collapsed="false">
      <c r="A21" s="5" t="n">
        <v>18</v>
      </c>
      <c r="B21" s="5" t="s">
        <v>226</v>
      </c>
      <c r="C21" s="6" t="s">
        <v>227</v>
      </c>
      <c r="D21" s="5" t="s">
        <v>384</v>
      </c>
      <c r="E21" s="5" t="s">
        <v>360</v>
      </c>
      <c r="F21" s="6" t="s">
        <v>386</v>
      </c>
      <c r="G21" s="6" t="s">
        <v>366</v>
      </c>
      <c r="H21" s="5"/>
      <c r="I21" s="5"/>
    </row>
    <row r="22" customFormat="false" ht="15" hidden="false" customHeight="false" outlineLevel="0" collapsed="false">
      <c r="A22" s="5" t="n">
        <v>19</v>
      </c>
      <c r="B22" s="5" t="s">
        <v>229</v>
      </c>
      <c r="C22" s="6" t="s">
        <v>230</v>
      </c>
      <c r="D22" s="5" t="s">
        <v>387</v>
      </c>
      <c r="E22" s="5" t="s">
        <v>357</v>
      </c>
      <c r="F22" s="6" t="s">
        <v>388</v>
      </c>
      <c r="G22" s="6" t="s">
        <v>359</v>
      </c>
      <c r="H22" s="5"/>
      <c r="I22" s="5"/>
    </row>
    <row r="23" customFormat="false" ht="15" hidden="false" customHeight="false" outlineLevel="0" collapsed="false">
      <c r="A23" s="5" t="n">
        <v>20</v>
      </c>
      <c r="B23" s="5" t="s">
        <v>229</v>
      </c>
      <c r="C23" s="6" t="s">
        <v>230</v>
      </c>
      <c r="D23" s="5" t="s">
        <v>387</v>
      </c>
      <c r="E23" s="5" t="s">
        <v>360</v>
      </c>
      <c r="F23" s="6" t="s">
        <v>389</v>
      </c>
      <c r="G23" s="6" t="s">
        <v>373</v>
      </c>
      <c r="H23" s="5"/>
      <c r="I23" s="5"/>
    </row>
    <row r="24" customFormat="false" ht="15" hidden="false" customHeight="false" outlineLevel="0" collapsed="false">
      <c r="A24" s="5" t="n">
        <v>21</v>
      </c>
      <c r="B24" s="5" t="s">
        <v>232</v>
      </c>
      <c r="C24" s="6" t="s">
        <v>233</v>
      </c>
      <c r="D24" s="5" t="s">
        <v>390</v>
      </c>
      <c r="E24" s="5" t="s">
        <v>357</v>
      </c>
      <c r="F24" s="6" t="s">
        <v>391</v>
      </c>
      <c r="G24" s="6" t="s">
        <v>366</v>
      </c>
      <c r="H24" s="5"/>
      <c r="I24" s="5"/>
    </row>
    <row r="25" customFormat="false" ht="15" hidden="false" customHeight="false" outlineLevel="0" collapsed="false">
      <c r="A25" s="5" t="n">
        <v>22</v>
      </c>
      <c r="B25" s="5" t="s">
        <v>232</v>
      </c>
      <c r="C25" s="6" t="s">
        <v>233</v>
      </c>
      <c r="D25" s="5" t="s">
        <v>390</v>
      </c>
      <c r="E25" s="5" t="s">
        <v>360</v>
      </c>
      <c r="F25" s="6" t="s">
        <v>392</v>
      </c>
      <c r="G25" s="6" t="s">
        <v>359</v>
      </c>
      <c r="H25" s="5"/>
      <c r="I25" s="5"/>
    </row>
    <row r="26" customFormat="false" ht="15" hidden="false" customHeight="false" outlineLevel="0" collapsed="false">
      <c r="A26" s="5" t="n">
        <v>23</v>
      </c>
      <c r="B26" s="5" t="s">
        <v>236</v>
      </c>
      <c r="C26" s="6" t="s">
        <v>237</v>
      </c>
      <c r="D26" s="5" t="s">
        <v>393</v>
      </c>
      <c r="E26" s="5" t="s">
        <v>357</v>
      </c>
      <c r="F26" s="6" t="s">
        <v>394</v>
      </c>
      <c r="G26" s="6" t="s">
        <v>359</v>
      </c>
      <c r="H26" s="5"/>
      <c r="I26" s="5"/>
    </row>
    <row r="27" customFormat="false" ht="15" hidden="false" customHeight="false" outlineLevel="0" collapsed="false">
      <c r="A27" s="5" t="n">
        <v>24</v>
      </c>
      <c r="B27" s="5" t="s">
        <v>236</v>
      </c>
      <c r="C27" s="6" t="s">
        <v>237</v>
      </c>
      <c r="D27" s="5" t="s">
        <v>393</v>
      </c>
      <c r="E27" s="5" t="s">
        <v>360</v>
      </c>
      <c r="F27" s="6" t="s">
        <v>395</v>
      </c>
      <c r="G27" s="6" t="s">
        <v>373</v>
      </c>
      <c r="H27" s="5"/>
      <c r="I27" s="5"/>
    </row>
    <row r="28" customFormat="false" ht="15" hidden="false" customHeight="false" outlineLevel="0" collapsed="false">
      <c r="A28" s="5" t="n">
        <v>25</v>
      </c>
      <c r="B28" s="5" t="s">
        <v>239</v>
      </c>
      <c r="C28" s="6" t="s">
        <v>240</v>
      </c>
      <c r="D28" s="5" t="s">
        <v>396</v>
      </c>
      <c r="E28" s="5" t="s">
        <v>357</v>
      </c>
      <c r="F28" s="6" t="s">
        <v>397</v>
      </c>
      <c r="G28" s="6" t="s">
        <v>359</v>
      </c>
      <c r="H28" s="5"/>
      <c r="I28" s="5"/>
    </row>
    <row r="29" customFormat="false" ht="15" hidden="false" customHeight="false" outlineLevel="0" collapsed="false">
      <c r="A29" s="5" t="n">
        <v>26</v>
      </c>
      <c r="B29" s="5" t="s">
        <v>242</v>
      </c>
      <c r="C29" s="6" t="s">
        <v>243</v>
      </c>
      <c r="D29" s="5" t="s">
        <v>398</v>
      </c>
      <c r="E29" s="5" t="s">
        <v>357</v>
      </c>
      <c r="F29" s="6" t="s">
        <v>399</v>
      </c>
      <c r="G29" s="6" t="s">
        <v>359</v>
      </c>
      <c r="H29" s="5"/>
      <c r="I29" s="5"/>
    </row>
    <row r="30" customFormat="false" ht="15" hidden="false" customHeight="false" outlineLevel="0" collapsed="false">
      <c r="A30" s="5" t="n">
        <v>27</v>
      </c>
      <c r="B30" s="5" t="s">
        <v>245</v>
      </c>
      <c r="C30" s="6" t="s">
        <v>246</v>
      </c>
      <c r="D30" s="5" t="s">
        <v>400</v>
      </c>
      <c r="E30" s="5" t="s">
        <v>357</v>
      </c>
      <c r="F30" s="6" t="s">
        <v>401</v>
      </c>
      <c r="G30" s="6" t="s">
        <v>359</v>
      </c>
      <c r="H30" s="5"/>
      <c r="I30" s="5"/>
    </row>
    <row r="31" customFormat="false" ht="15" hidden="false" customHeight="false" outlineLevel="0" collapsed="false">
      <c r="A31" s="5" t="n">
        <v>28</v>
      </c>
      <c r="B31" s="5" t="s">
        <v>245</v>
      </c>
      <c r="C31" s="6" t="s">
        <v>246</v>
      </c>
      <c r="D31" s="5" t="s">
        <v>400</v>
      </c>
      <c r="E31" s="5" t="s">
        <v>360</v>
      </c>
      <c r="F31" s="6" t="s">
        <v>402</v>
      </c>
      <c r="G31" s="6" t="s">
        <v>366</v>
      </c>
      <c r="H31" s="5"/>
      <c r="I31" s="5"/>
    </row>
    <row r="32" customFormat="false" ht="15" hidden="false" customHeight="false" outlineLevel="0" collapsed="false">
      <c r="A32" s="5" t="n">
        <v>29</v>
      </c>
      <c r="B32" s="5" t="s">
        <v>245</v>
      </c>
      <c r="C32" s="6" t="s">
        <v>246</v>
      </c>
      <c r="D32" s="5" t="s">
        <v>400</v>
      </c>
      <c r="E32" s="5" t="s">
        <v>362</v>
      </c>
      <c r="F32" s="6" t="s">
        <v>403</v>
      </c>
      <c r="G32" s="6" t="s">
        <v>359</v>
      </c>
      <c r="H32" s="5"/>
      <c r="I32" s="5"/>
    </row>
    <row r="33" customFormat="false" ht="15" hidden="false" customHeight="false" outlineLevel="0" collapsed="false">
      <c r="A33" s="5" t="n">
        <v>30</v>
      </c>
      <c r="B33" s="5" t="s">
        <v>248</v>
      </c>
      <c r="C33" s="6" t="s">
        <v>249</v>
      </c>
      <c r="D33" s="5" t="s">
        <v>404</v>
      </c>
      <c r="E33" s="5" t="s">
        <v>357</v>
      </c>
      <c r="F33" s="6" t="s">
        <v>405</v>
      </c>
      <c r="G33" s="6" t="s">
        <v>359</v>
      </c>
      <c r="H33" s="5"/>
      <c r="I33" s="5"/>
    </row>
    <row r="34" customFormat="false" ht="15" hidden="false" customHeight="false" outlineLevel="0" collapsed="false">
      <c r="A34" s="5" t="n">
        <v>31</v>
      </c>
      <c r="B34" s="5" t="s">
        <v>252</v>
      </c>
      <c r="C34" s="6" t="s">
        <v>253</v>
      </c>
      <c r="D34" s="5" t="s">
        <v>406</v>
      </c>
      <c r="E34" s="5" t="s">
        <v>357</v>
      </c>
      <c r="F34" s="6" t="s">
        <v>407</v>
      </c>
      <c r="G34" s="6" t="s">
        <v>359</v>
      </c>
      <c r="H34" s="5"/>
      <c r="I34" s="5"/>
    </row>
    <row r="35" customFormat="false" ht="15" hidden="false" customHeight="false" outlineLevel="0" collapsed="false">
      <c r="A35" s="5" t="n">
        <v>32</v>
      </c>
      <c r="B35" s="5" t="s">
        <v>252</v>
      </c>
      <c r="C35" s="6" t="s">
        <v>253</v>
      </c>
      <c r="D35" s="5" t="s">
        <v>406</v>
      </c>
      <c r="E35" s="5" t="s">
        <v>360</v>
      </c>
      <c r="F35" s="5" t="s">
        <v>408</v>
      </c>
      <c r="G35" s="6" t="s">
        <v>359</v>
      </c>
      <c r="H35" s="5"/>
      <c r="I35" s="5"/>
    </row>
    <row r="36" customFormat="false" ht="15" hidden="false" customHeight="false" outlineLevel="0" collapsed="false">
      <c r="A36" s="5" t="n">
        <v>33</v>
      </c>
      <c r="B36" s="5" t="s">
        <v>255</v>
      </c>
      <c r="C36" s="6" t="s">
        <v>256</v>
      </c>
      <c r="D36" s="5" t="s">
        <v>409</v>
      </c>
      <c r="E36" s="5" t="s">
        <v>357</v>
      </c>
      <c r="F36" s="5" t="s">
        <v>410</v>
      </c>
      <c r="G36" s="6" t="s">
        <v>359</v>
      </c>
      <c r="H36" s="5"/>
      <c r="I36" s="5"/>
    </row>
    <row r="37" customFormat="false" ht="15" hidden="false" customHeight="false" outlineLevel="0" collapsed="false">
      <c r="A37" s="5" t="n">
        <v>34</v>
      </c>
      <c r="B37" s="5" t="s">
        <v>255</v>
      </c>
      <c r="C37" s="6" t="s">
        <v>256</v>
      </c>
      <c r="D37" s="5" t="s">
        <v>409</v>
      </c>
      <c r="E37" s="5" t="s">
        <v>360</v>
      </c>
      <c r="F37" s="5" t="s">
        <v>411</v>
      </c>
      <c r="G37" s="6" t="s">
        <v>366</v>
      </c>
      <c r="H37" s="5"/>
      <c r="I37" s="5"/>
    </row>
    <row r="38" customFormat="false" ht="15" hidden="false" customHeight="false" outlineLevel="0" collapsed="false">
      <c r="A38" s="5" t="n">
        <v>35</v>
      </c>
      <c r="B38" s="5" t="s">
        <v>258</v>
      </c>
      <c r="C38" s="6" t="s">
        <v>259</v>
      </c>
      <c r="D38" s="5" t="s">
        <v>412</v>
      </c>
      <c r="E38" s="5" t="s">
        <v>357</v>
      </c>
      <c r="F38" s="6" t="s">
        <v>413</v>
      </c>
      <c r="G38" s="6" t="s">
        <v>359</v>
      </c>
      <c r="H38" s="5"/>
      <c r="I38" s="5"/>
    </row>
    <row r="39" customFormat="false" ht="15" hidden="false" customHeight="false" outlineLevel="0" collapsed="false">
      <c r="A39" s="5" t="n">
        <v>36</v>
      </c>
      <c r="B39" s="5" t="s">
        <v>261</v>
      </c>
      <c r="C39" s="6" t="s">
        <v>262</v>
      </c>
      <c r="D39" s="5" t="s">
        <v>414</v>
      </c>
      <c r="E39" s="5" t="s">
        <v>357</v>
      </c>
      <c r="F39" s="6" t="s">
        <v>415</v>
      </c>
      <c r="G39" s="6" t="s">
        <v>366</v>
      </c>
      <c r="H39" s="5"/>
      <c r="I39" s="5"/>
    </row>
    <row r="40" customFormat="false" ht="15" hidden="false" customHeight="false" outlineLevel="0" collapsed="false">
      <c r="A40" s="5" t="n">
        <v>37</v>
      </c>
      <c r="B40" s="5" t="s">
        <v>261</v>
      </c>
      <c r="C40" s="6" t="s">
        <v>262</v>
      </c>
      <c r="D40" s="5" t="s">
        <v>414</v>
      </c>
      <c r="E40" s="5" t="s">
        <v>360</v>
      </c>
      <c r="F40" s="5" t="s">
        <v>416</v>
      </c>
      <c r="G40" s="6" t="s">
        <v>359</v>
      </c>
      <c r="H40" s="5"/>
      <c r="I40" s="5"/>
    </row>
    <row r="41" customFormat="false" ht="15" hidden="false" customHeight="false" outlineLevel="0" collapsed="false">
      <c r="A41" s="5" t="n">
        <v>38</v>
      </c>
      <c r="B41" s="5" t="s">
        <v>264</v>
      </c>
      <c r="C41" s="6" t="s">
        <v>265</v>
      </c>
      <c r="D41" s="5" t="s">
        <v>417</v>
      </c>
      <c r="E41" s="5" t="s">
        <v>357</v>
      </c>
      <c r="F41" s="6" t="s">
        <v>418</v>
      </c>
      <c r="G41" s="6" t="s">
        <v>359</v>
      </c>
      <c r="H41" s="5"/>
      <c r="I41" s="5"/>
    </row>
    <row r="42" customFormat="false" ht="15" hidden="false" customHeight="false" outlineLevel="0" collapsed="false">
      <c r="A42" s="5" t="n">
        <v>39</v>
      </c>
      <c r="B42" s="5" t="s">
        <v>264</v>
      </c>
      <c r="C42" s="6" t="s">
        <v>265</v>
      </c>
      <c r="D42" s="5" t="s">
        <v>417</v>
      </c>
      <c r="E42" s="5" t="s">
        <v>360</v>
      </c>
      <c r="F42" s="6" t="s">
        <v>419</v>
      </c>
      <c r="G42" s="6" t="s">
        <v>366</v>
      </c>
      <c r="H42" s="5"/>
      <c r="I42" s="5"/>
    </row>
    <row r="43" customFormat="false" ht="15" hidden="false" customHeight="false" outlineLevel="0" collapsed="false">
      <c r="A43" s="5" t="n">
        <v>40</v>
      </c>
      <c r="B43" s="5" t="s">
        <v>267</v>
      </c>
      <c r="C43" s="6" t="s">
        <v>268</v>
      </c>
      <c r="D43" s="5" t="s">
        <v>420</v>
      </c>
      <c r="E43" s="5" t="s">
        <v>357</v>
      </c>
      <c r="F43" s="6" t="s">
        <v>421</v>
      </c>
      <c r="G43" s="6" t="s">
        <v>366</v>
      </c>
      <c r="H43" s="5"/>
      <c r="I43" s="5"/>
    </row>
    <row r="44" customFormat="false" ht="15" hidden="false" customHeight="false" outlineLevel="0" collapsed="false">
      <c r="A44" s="5" t="n">
        <v>41</v>
      </c>
      <c r="B44" s="5" t="s">
        <v>267</v>
      </c>
      <c r="C44" s="6" t="s">
        <v>268</v>
      </c>
      <c r="D44" s="5" t="s">
        <v>420</v>
      </c>
      <c r="E44" s="5" t="s">
        <v>360</v>
      </c>
      <c r="F44" s="6" t="s">
        <v>422</v>
      </c>
      <c r="G44" s="6" t="s">
        <v>359</v>
      </c>
      <c r="H44" s="5"/>
      <c r="I44" s="5"/>
    </row>
    <row r="45" customFormat="false" ht="15" hidden="false" customHeight="false" outlineLevel="0" collapsed="false">
      <c r="A45" s="5" t="n">
        <v>42</v>
      </c>
      <c r="B45" s="5" t="s">
        <v>271</v>
      </c>
      <c r="C45" s="6" t="s">
        <v>272</v>
      </c>
      <c r="D45" s="5" t="s">
        <v>423</v>
      </c>
      <c r="E45" s="5" t="s">
        <v>357</v>
      </c>
      <c r="F45" s="6" t="s">
        <v>424</v>
      </c>
      <c r="G45" s="6" t="s">
        <v>359</v>
      </c>
      <c r="H45" s="5"/>
      <c r="I45" s="5"/>
    </row>
    <row r="46" customFormat="false" ht="15" hidden="false" customHeight="false" outlineLevel="0" collapsed="false">
      <c r="A46" s="5" t="n">
        <v>43</v>
      </c>
      <c r="B46" s="5" t="s">
        <v>271</v>
      </c>
      <c r="C46" s="6" t="s">
        <v>272</v>
      </c>
      <c r="D46" s="5" t="s">
        <v>423</v>
      </c>
      <c r="E46" s="5" t="s">
        <v>360</v>
      </c>
      <c r="F46" s="6" t="s">
        <v>425</v>
      </c>
      <c r="G46" s="6" t="s">
        <v>366</v>
      </c>
      <c r="H46" s="5"/>
      <c r="I46" s="5"/>
    </row>
    <row r="47" customFormat="false" ht="15" hidden="false" customHeight="false" outlineLevel="0" collapsed="false">
      <c r="A47" s="5" t="n">
        <v>44</v>
      </c>
      <c r="B47" s="5" t="s">
        <v>274</v>
      </c>
      <c r="C47" s="6" t="s">
        <v>275</v>
      </c>
      <c r="D47" s="5" t="s">
        <v>426</v>
      </c>
      <c r="E47" s="5" t="s">
        <v>357</v>
      </c>
      <c r="F47" s="6" t="s">
        <v>427</v>
      </c>
      <c r="G47" s="6" t="s">
        <v>366</v>
      </c>
      <c r="H47" s="5"/>
      <c r="I47" s="5"/>
    </row>
    <row r="48" customFormat="false" ht="15" hidden="false" customHeight="false" outlineLevel="0" collapsed="false">
      <c r="A48" s="5" t="n">
        <v>45</v>
      </c>
      <c r="B48" s="5" t="s">
        <v>277</v>
      </c>
      <c r="C48" s="6" t="s">
        <v>278</v>
      </c>
      <c r="D48" s="5" t="s">
        <v>428</v>
      </c>
      <c r="E48" s="5" t="s">
        <v>357</v>
      </c>
      <c r="F48" s="6" t="s">
        <v>429</v>
      </c>
      <c r="G48" s="6" t="s">
        <v>359</v>
      </c>
      <c r="H48" s="5"/>
      <c r="I48" s="5"/>
    </row>
    <row r="49" customFormat="false" ht="15" hidden="false" customHeight="false" outlineLevel="0" collapsed="false">
      <c r="A49" s="5" t="n">
        <v>46</v>
      </c>
      <c r="B49" s="5" t="s">
        <v>277</v>
      </c>
      <c r="C49" s="6" t="s">
        <v>278</v>
      </c>
      <c r="D49" s="5" t="s">
        <v>428</v>
      </c>
      <c r="E49" s="5" t="s">
        <v>360</v>
      </c>
      <c r="F49" s="6" t="s">
        <v>430</v>
      </c>
      <c r="G49" s="6" t="s">
        <v>359</v>
      </c>
      <c r="H49" s="5"/>
      <c r="I49" s="5"/>
    </row>
    <row r="50" customFormat="false" ht="15" hidden="false" customHeight="false" outlineLevel="0" collapsed="false">
      <c r="A50" s="5" t="n">
        <v>47</v>
      </c>
      <c r="B50" s="5" t="s">
        <v>277</v>
      </c>
      <c r="C50" s="6" t="s">
        <v>278</v>
      </c>
      <c r="D50" s="5" t="s">
        <v>428</v>
      </c>
      <c r="E50" s="5" t="s">
        <v>362</v>
      </c>
      <c r="F50" s="5" t="s">
        <v>431</v>
      </c>
      <c r="G50" s="6" t="s">
        <v>366</v>
      </c>
      <c r="H50" s="5"/>
      <c r="I50" s="5"/>
    </row>
    <row r="51" customFormat="false" ht="15" hidden="false" customHeight="false" outlineLevel="0" collapsed="false">
      <c r="A51" s="5" t="n">
        <v>48</v>
      </c>
      <c r="B51" s="5" t="s">
        <v>277</v>
      </c>
      <c r="C51" s="6" t="s">
        <v>278</v>
      </c>
      <c r="D51" s="5" t="s">
        <v>428</v>
      </c>
      <c r="E51" s="5" t="s">
        <v>432</v>
      </c>
      <c r="F51" s="6" t="s">
        <v>433</v>
      </c>
      <c r="G51" s="6" t="s">
        <v>373</v>
      </c>
      <c r="H51" s="5"/>
      <c r="I51" s="5"/>
    </row>
    <row r="52" customFormat="false" ht="15" hidden="false" customHeight="false" outlineLevel="0" collapsed="false">
      <c r="A52" s="5" t="n">
        <v>49</v>
      </c>
      <c r="B52" s="5" t="s">
        <v>280</v>
      </c>
      <c r="C52" s="6" t="s">
        <v>281</v>
      </c>
      <c r="D52" s="5" t="s">
        <v>434</v>
      </c>
      <c r="E52" s="5" t="s">
        <v>357</v>
      </c>
      <c r="F52" s="6" t="s">
        <v>435</v>
      </c>
      <c r="G52" s="6" t="s">
        <v>366</v>
      </c>
      <c r="H52" s="5"/>
      <c r="I52" s="5"/>
    </row>
    <row r="53" customFormat="false" ht="15" hidden="false" customHeight="false" outlineLevel="0" collapsed="false">
      <c r="A53" s="5" t="n">
        <v>50</v>
      </c>
      <c r="B53" s="5" t="s">
        <v>283</v>
      </c>
      <c r="C53" s="6" t="s">
        <v>284</v>
      </c>
      <c r="D53" s="5" t="s">
        <v>436</v>
      </c>
      <c r="E53" s="5" t="s">
        <v>357</v>
      </c>
      <c r="F53" s="6" t="s">
        <v>437</v>
      </c>
      <c r="G53" s="6" t="s">
        <v>366</v>
      </c>
      <c r="H53" s="5"/>
      <c r="I53" s="5"/>
    </row>
    <row r="54" customFormat="false" ht="15" hidden="false" customHeight="false" outlineLevel="0" collapsed="false">
      <c r="A54" s="5" t="n">
        <v>51</v>
      </c>
      <c r="B54" s="5" t="s">
        <v>283</v>
      </c>
      <c r="C54" s="6" t="s">
        <v>284</v>
      </c>
      <c r="D54" s="5" t="s">
        <v>436</v>
      </c>
      <c r="E54" s="5" t="s">
        <v>360</v>
      </c>
      <c r="F54" s="6" t="s">
        <v>438</v>
      </c>
      <c r="G54" s="6" t="s">
        <v>359</v>
      </c>
      <c r="H54" s="5"/>
      <c r="I54" s="5"/>
    </row>
    <row r="55" customFormat="false" ht="15" hidden="false" customHeight="false" outlineLevel="0" collapsed="false">
      <c r="A55" s="5" t="n">
        <v>52</v>
      </c>
      <c r="B55" s="5" t="s">
        <v>287</v>
      </c>
      <c r="C55" s="6" t="s">
        <v>288</v>
      </c>
      <c r="D55" s="5" t="s">
        <v>439</v>
      </c>
      <c r="E55" s="5" t="s">
        <v>357</v>
      </c>
      <c r="F55" s="6" t="s">
        <v>440</v>
      </c>
      <c r="G55" s="6" t="s">
        <v>366</v>
      </c>
      <c r="H55" s="5"/>
      <c r="I55" s="5"/>
    </row>
    <row r="56" customFormat="false" ht="15" hidden="false" customHeight="false" outlineLevel="0" collapsed="false">
      <c r="A56" s="5" t="n">
        <v>53</v>
      </c>
      <c r="B56" s="5" t="s">
        <v>287</v>
      </c>
      <c r="C56" s="6" t="s">
        <v>288</v>
      </c>
      <c r="D56" s="5" t="s">
        <v>439</v>
      </c>
      <c r="E56" s="5" t="s">
        <v>360</v>
      </c>
      <c r="F56" s="6" t="s">
        <v>441</v>
      </c>
      <c r="G56" s="6" t="s">
        <v>359</v>
      </c>
      <c r="H56" s="5"/>
      <c r="I56" s="5"/>
    </row>
    <row r="57" customFormat="false" ht="15" hidden="false" customHeight="false" outlineLevel="0" collapsed="false">
      <c r="A57" s="5" t="n">
        <v>54</v>
      </c>
      <c r="B57" s="5" t="s">
        <v>290</v>
      </c>
      <c r="C57" s="6" t="s">
        <v>291</v>
      </c>
      <c r="D57" s="5" t="s">
        <v>442</v>
      </c>
      <c r="E57" s="5" t="s">
        <v>357</v>
      </c>
      <c r="F57" s="6" t="s">
        <v>443</v>
      </c>
      <c r="G57" s="6" t="s">
        <v>366</v>
      </c>
      <c r="H57" s="5"/>
      <c r="I57" s="5"/>
    </row>
    <row r="58" customFormat="false" ht="15" hidden="false" customHeight="false" outlineLevel="0" collapsed="false">
      <c r="A58" s="5" t="n">
        <v>55</v>
      </c>
      <c r="B58" s="5" t="s">
        <v>290</v>
      </c>
      <c r="C58" s="6" t="s">
        <v>291</v>
      </c>
      <c r="D58" s="5" t="s">
        <v>442</v>
      </c>
      <c r="E58" s="5" t="s">
        <v>360</v>
      </c>
      <c r="F58" s="5" t="s">
        <v>444</v>
      </c>
      <c r="G58" s="6" t="s">
        <v>359</v>
      </c>
      <c r="H58" s="5"/>
      <c r="I58" s="5"/>
    </row>
    <row r="59" customFormat="false" ht="15" hidden="false" customHeight="false" outlineLevel="0" collapsed="false">
      <c r="A59" s="5" t="n">
        <v>56</v>
      </c>
      <c r="B59" s="5" t="s">
        <v>293</v>
      </c>
      <c r="C59" s="6" t="s">
        <v>294</v>
      </c>
      <c r="D59" s="5" t="s">
        <v>445</v>
      </c>
      <c r="E59" s="5" t="s">
        <v>357</v>
      </c>
      <c r="F59" s="6" t="s">
        <v>446</v>
      </c>
      <c r="G59" s="6" t="s">
        <v>366</v>
      </c>
      <c r="H59" s="5"/>
      <c r="I59" s="5"/>
    </row>
    <row r="60" customFormat="false" ht="15" hidden="false" customHeight="false" outlineLevel="0" collapsed="false">
      <c r="A60" s="5" t="n">
        <v>57</v>
      </c>
      <c r="B60" s="5" t="s">
        <v>293</v>
      </c>
      <c r="C60" s="6" t="s">
        <v>294</v>
      </c>
      <c r="D60" s="5" t="s">
        <v>445</v>
      </c>
      <c r="E60" s="5" t="s">
        <v>360</v>
      </c>
      <c r="F60" s="6" t="s">
        <v>447</v>
      </c>
      <c r="G60" s="6" t="s">
        <v>359</v>
      </c>
      <c r="H60" s="5"/>
      <c r="I60" s="5"/>
    </row>
    <row r="61" customFormat="false" ht="15" hidden="false" customHeight="false" outlineLevel="0" collapsed="false">
      <c r="A61" s="5" t="n">
        <v>58</v>
      </c>
      <c r="B61" s="5" t="s">
        <v>296</v>
      </c>
      <c r="C61" s="6" t="s">
        <v>297</v>
      </c>
      <c r="D61" s="5" t="s">
        <v>448</v>
      </c>
      <c r="E61" s="5" t="s">
        <v>357</v>
      </c>
      <c r="F61" s="6" t="s">
        <v>449</v>
      </c>
      <c r="G61" s="6" t="s">
        <v>359</v>
      </c>
      <c r="H61" s="5"/>
      <c r="I61" s="5"/>
    </row>
    <row r="62" customFormat="false" ht="15" hidden="false" customHeight="false" outlineLevel="0" collapsed="false">
      <c r="A62" s="5" t="n">
        <v>59</v>
      </c>
      <c r="B62" s="5" t="s">
        <v>296</v>
      </c>
      <c r="C62" s="6" t="s">
        <v>297</v>
      </c>
      <c r="D62" s="5" t="s">
        <v>448</v>
      </c>
      <c r="E62" s="5" t="s">
        <v>360</v>
      </c>
      <c r="F62" s="6" t="s">
        <v>450</v>
      </c>
      <c r="G62" s="6" t="s">
        <v>359</v>
      </c>
      <c r="H62" s="5"/>
      <c r="I62" s="5"/>
    </row>
    <row r="63" customFormat="false" ht="15" hidden="false" customHeight="false" outlineLevel="0" collapsed="false">
      <c r="A63" s="5" t="n">
        <v>60</v>
      </c>
      <c r="B63" s="5" t="s">
        <v>300</v>
      </c>
      <c r="C63" s="6" t="s">
        <v>301</v>
      </c>
      <c r="D63" s="5" t="s">
        <v>451</v>
      </c>
      <c r="E63" s="5" t="s">
        <v>357</v>
      </c>
      <c r="F63" s="6" t="s">
        <v>452</v>
      </c>
      <c r="G63" s="6" t="s">
        <v>366</v>
      </c>
      <c r="H63" s="5"/>
      <c r="I63" s="5"/>
    </row>
    <row r="64" customFormat="false" ht="15" hidden="false" customHeight="false" outlineLevel="0" collapsed="false">
      <c r="A64" s="5" t="n">
        <v>61</v>
      </c>
      <c r="B64" s="5" t="s">
        <v>300</v>
      </c>
      <c r="C64" s="6" t="s">
        <v>301</v>
      </c>
      <c r="D64" s="5" t="s">
        <v>451</v>
      </c>
      <c r="E64" s="5" t="s">
        <v>360</v>
      </c>
      <c r="F64" s="6" t="s">
        <v>453</v>
      </c>
      <c r="G64" s="6" t="s">
        <v>373</v>
      </c>
      <c r="H64" s="5"/>
      <c r="I64" s="5"/>
    </row>
    <row r="65" customFormat="false" ht="15" hidden="false" customHeight="false" outlineLevel="0" collapsed="false">
      <c r="A65" s="5" t="n">
        <v>62</v>
      </c>
      <c r="B65" s="5" t="s">
        <v>300</v>
      </c>
      <c r="C65" s="6" t="s">
        <v>301</v>
      </c>
      <c r="D65" s="5" t="s">
        <v>451</v>
      </c>
      <c r="E65" s="5" t="s">
        <v>362</v>
      </c>
      <c r="F65" s="6" t="s">
        <v>454</v>
      </c>
      <c r="G65" s="6" t="s">
        <v>366</v>
      </c>
      <c r="H65" s="5"/>
      <c r="I65" s="5"/>
    </row>
    <row r="66" customFormat="false" ht="15" hidden="false" customHeight="false" outlineLevel="0" collapsed="false">
      <c r="A66" s="5" t="n">
        <v>63</v>
      </c>
      <c r="B66" s="5" t="s">
        <v>303</v>
      </c>
      <c r="C66" s="6" t="s">
        <v>304</v>
      </c>
      <c r="D66" s="5" t="s">
        <v>455</v>
      </c>
      <c r="E66" s="5" t="s">
        <v>357</v>
      </c>
      <c r="F66" s="6" t="s">
        <v>456</v>
      </c>
      <c r="G66" s="6" t="s">
        <v>366</v>
      </c>
      <c r="H66" s="5"/>
      <c r="I66" s="5"/>
    </row>
    <row r="67" customFormat="false" ht="15" hidden="false" customHeight="false" outlineLevel="0" collapsed="false">
      <c r="A67" s="5" t="n">
        <v>64</v>
      </c>
      <c r="B67" s="5" t="s">
        <v>303</v>
      </c>
      <c r="C67" s="6" t="s">
        <v>304</v>
      </c>
      <c r="D67" s="5" t="s">
        <v>455</v>
      </c>
      <c r="E67" s="5" t="s">
        <v>360</v>
      </c>
      <c r="F67" s="6" t="s">
        <v>457</v>
      </c>
      <c r="G67" s="6" t="s">
        <v>366</v>
      </c>
      <c r="H67" s="5"/>
      <c r="I67" s="5"/>
    </row>
    <row r="68" customFormat="false" ht="15" hidden="false" customHeight="false" outlineLevel="0" collapsed="false">
      <c r="A68" s="5" t="n">
        <v>65</v>
      </c>
      <c r="B68" s="5" t="s">
        <v>306</v>
      </c>
      <c r="C68" s="6" t="s">
        <v>307</v>
      </c>
      <c r="D68" s="5" t="s">
        <v>458</v>
      </c>
      <c r="E68" s="5" t="s">
        <v>357</v>
      </c>
      <c r="F68" s="6" t="s">
        <v>459</v>
      </c>
      <c r="G68" s="6" t="s">
        <v>373</v>
      </c>
      <c r="H68" s="5"/>
      <c r="I68" s="5"/>
    </row>
    <row r="69" customFormat="false" ht="15" hidden="false" customHeight="false" outlineLevel="0" collapsed="false">
      <c r="A69" s="5" t="n">
        <v>66</v>
      </c>
      <c r="B69" s="5" t="s">
        <v>306</v>
      </c>
      <c r="C69" s="6" t="s">
        <v>307</v>
      </c>
      <c r="D69" s="5" t="s">
        <v>458</v>
      </c>
      <c r="E69" s="5" t="s">
        <v>360</v>
      </c>
      <c r="F69" s="6" t="s">
        <v>460</v>
      </c>
      <c r="G69" s="6" t="s">
        <v>366</v>
      </c>
      <c r="H69" s="5"/>
      <c r="I69" s="5"/>
    </row>
    <row r="70" customFormat="false" ht="15" hidden="false" customHeight="false" outlineLevel="0" collapsed="false">
      <c r="A70" s="5" t="n">
        <v>67</v>
      </c>
      <c r="B70" s="5" t="s">
        <v>309</v>
      </c>
      <c r="C70" s="6" t="s">
        <v>310</v>
      </c>
      <c r="D70" s="5" t="s">
        <v>461</v>
      </c>
      <c r="E70" s="5" t="s">
        <v>357</v>
      </c>
      <c r="F70" s="6" t="s">
        <v>462</v>
      </c>
      <c r="G70" s="6" t="s">
        <v>373</v>
      </c>
      <c r="H70" s="5"/>
      <c r="I70" s="5"/>
    </row>
    <row r="71" customFormat="false" ht="15" hidden="false" customHeight="false" outlineLevel="0" collapsed="false">
      <c r="A71" s="5" t="n">
        <v>68</v>
      </c>
      <c r="B71" s="5" t="s">
        <v>309</v>
      </c>
      <c r="C71" s="6" t="s">
        <v>310</v>
      </c>
      <c r="D71" s="5" t="s">
        <v>461</v>
      </c>
      <c r="E71" s="5" t="s">
        <v>360</v>
      </c>
      <c r="F71" s="6" t="s">
        <v>463</v>
      </c>
      <c r="G71" s="6" t="s">
        <v>373</v>
      </c>
      <c r="H71" s="5"/>
      <c r="I71" s="5"/>
    </row>
    <row r="72" customFormat="false" ht="15" hidden="false" customHeight="false" outlineLevel="0" collapsed="false">
      <c r="A72" s="5" t="n">
        <v>69</v>
      </c>
      <c r="B72" s="5" t="s">
        <v>309</v>
      </c>
      <c r="C72" s="6" t="s">
        <v>310</v>
      </c>
      <c r="D72" s="5" t="s">
        <v>461</v>
      </c>
      <c r="E72" s="5" t="s">
        <v>362</v>
      </c>
      <c r="F72" s="6" t="s">
        <v>464</v>
      </c>
      <c r="G72" s="6" t="s">
        <v>366</v>
      </c>
      <c r="H72" s="5"/>
      <c r="I72" s="5"/>
    </row>
    <row r="73" customFormat="false" ht="29.85" hidden="false" customHeight="false" outlineLevel="0" collapsed="false">
      <c r="A73" s="5" t="n">
        <v>70</v>
      </c>
      <c r="B73" s="5" t="s">
        <v>312</v>
      </c>
      <c r="C73" s="6" t="s">
        <v>313</v>
      </c>
      <c r="D73" s="5" t="s">
        <v>465</v>
      </c>
      <c r="E73" s="5" t="s">
        <v>357</v>
      </c>
      <c r="F73" s="6" t="s">
        <v>466</v>
      </c>
      <c r="G73" s="6" t="s">
        <v>373</v>
      </c>
      <c r="H73" s="5"/>
      <c r="I73" s="5"/>
    </row>
    <row r="74" customFormat="false" ht="29.85" hidden="false" customHeight="false" outlineLevel="0" collapsed="false">
      <c r="A74" s="5" t="n">
        <v>71</v>
      </c>
      <c r="B74" s="5" t="s">
        <v>312</v>
      </c>
      <c r="C74" s="6" t="s">
        <v>313</v>
      </c>
      <c r="D74" s="5" t="s">
        <v>465</v>
      </c>
      <c r="E74" s="5" t="s">
        <v>360</v>
      </c>
      <c r="F74" s="6" t="s">
        <v>467</v>
      </c>
      <c r="G74" s="6" t="s">
        <v>366</v>
      </c>
      <c r="H74" s="5"/>
      <c r="I74" s="5"/>
    </row>
    <row r="75" customFormat="false" ht="29.85" hidden="false" customHeight="false" outlineLevel="0" collapsed="false">
      <c r="A75" s="5" t="n">
        <v>72</v>
      </c>
      <c r="B75" s="5" t="s">
        <v>312</v>
      </c>
      <c r="C75" s="6" t="s">
        <v>313</v>
      </c>
      <c r="D75" s="5" t="s">
        <v>465</v>
      </c>
      <c r="E75" s="5" t="s">
        <v>362</v>
      </c>
      <c r="F75" s="6" t="s">
        <v>468</v>
      </c>
      <c r="G75" s="6" t="s">
        <v>373</v>
      </c>
      <c r="H75" s="5"/>
      <c r="I75" s="5"/>
    </row>
    <row r="76" customFormat="false" ht="29.85" hidden="false" customHeight="false" outlineLevel="0" collapsed="false">
      <c r="A76" s="5" t="n">
        <v>73</v>
      </c>
      <c r="B76" s="5" t="s">
        <v>312</v>
      </c>
      <c r="C76" s="6" t="s">
        <v>313</v>
      </c>
      <c r="D76" s="5" t="s">
        <v>465</v>
      </c>
      <c r="E76" s="5" t="s">
        <v>432</v>
      </c>
      <c r="F76" s="6" t="s">
        <v>469</v>
      </c>
      <c r="G76" s="6" t="s">
        <v>359</v>
      </c>
      <c r="H76" s="5"/>
      <c r="I76" s="5"/>
    </row>
    <row r="77" customFormat="false" ht="15" hidden="false" customHeight="false" outlineLevel="0" collapsed="false">
      <c r="A77" s="5" t="n">
        <v>74</v>
      </c>
      <c r="B77" s="5" t="s">
        <v>316</v>
      </c>
      <c r="C77" s="6" t="s">
        <v>317</v>
      </c>
      <c r="D77" s="5" t="s">
        <v>470</v>
      </c>
      <c r="E77" s="5" t="s">
        <v>357</v>
      </c>
      <c r="F77" s="6" t="s">
        <v>471</v>
      </c>
      <c r="G77" s="6" t="s">
        <v>373</v>
      </c>
      <c r="H77" s="5"/>
      <c r="I77" s="5"/>
    </row>
    <row r="78" customFormat="false" ht="15" hidden="false" customHeight="false" outlineLevel="0" collapsed="false">
      <c r="A78" s="5" t="n">
        <v>75</v>
      </c>
      <c r="B78" s="5" t="s">
        <v>316</v>
      </c>
      <c r="C78" s="6" t="s">
        <v>317</v>
      </c>
      <c r="D78" s="5" t="s">
        <v>470</v>
      </c>
      <c r="E78" s="5" t="s">
        <v>360</v>
      </c>
      <c r="F78" s="6" t="s">
        <v>472</v>
      </c>
      <c r="G78" s="6" t="s">
        <v>373</v>
      </c>
      <c r="H78" s="5"/>
      <c r="I78" s="5"/>
    </row>
    <row r="79" customFormat="false" ht="15" hidden="false" customHeight="false" outlineLevel="0" collapsed="false">
      <c r="A79" s="5" t="n">
        <v>76</v>
      </c>
      <c r="B79" s="5" t="s">
        <v>319</v>
      </c>
      <c r="C79" s="6" t="s">
        <v>320</v>
      </c>
      <c r="D79" s="5" t="s">
        <v>473</v>
      </c>
      <c r="E79" s="5" t="s">
        <v>357</v>
      </c>
      <c r="F79" s="6" t="s">
        <v>474</v>
      </c>
      <c r="G79" s="6" t="s">
        <v>359</v>
      </c>
      <c r="H79" s="5"/>
      <c r="I79" s="5"/>
    </row>
    <row r="80" customFormat="false" ht="15" hidden="false" customHeight="false" outlineLevel="0" collapsed="false">
      <c r="A80" s="5" t="n">
        <v>77</v>
      </c>
      <c r="B80" s="5" t="s">
        <v>319</v>
      </c>
      <c r="C80" s="6" t="s">
        <v>320</v>
      </c>
      <c r="D80" s="5" t="s">
        <v>473</v>
      </c>
      <c r="E80" s="5" t="s">
        <v>360</v>
      </c>
      <c r="F80" s="6" t="s">
        <v>475</v>
      </c>
      <c r="G80" s="6" t="s">
        <v>373</v>
      </c>
      <c r="H80" s="5"/>
      <c r="I80" s="5"/>
    </row>
    <row r="81" customFormat="false" ht="15" hidden="false" customHeight="false" outlineLevel="0" collapsed="false">
      <c r="A81" s="5" t="n">
        <v>78</v>
      </c>
      <c r="B81" s="5" t="s">
        <v>322</v>
      </c>
      <c r="C81" s="6" t="s">
        <v>323</v>
      </c>
      <c r="D81" s="5" t="s">
        <v>476</v>
      </c>
      <c r="E81" s="5" t="s">
        <v>357</v>
      </c>
      <c r="F81" s="6" t="s">
        <v>477</v>
      </c>
      <c r="G81" s="6" t="s">
        <v>373</v>
      </c>
      <c r="H81" s="5"/>
      <c r="I81" s="5"/>
    </row>
    <row r="82" customFormat="false" ht="15" hidden="false" customHeight="false" outlineLevel="0" collapsed="false">
      <c r="A82" s="5" t="n">
        <v>79</v>
      </c>
      <c r="B82" s="5" t="s">
        <v>322</v>
      </c>
      <c r="C82" s="6" t="s">
        <v>323</v>
      </c>
      <c r="D82" s="5" t="s">
        <v>476</v>
      </c>
      <c r="E82" s="5" t="s">
        <v>360</v>
      </c>
      <c r="F82" s="6" t="s">
        <v>478</v>
      </c>
      <c r="G82" s="6" t="s">
        <v>373</v>
      </c>
      <c r="H82" s="5"/>
      <c r="I82" s="5"/>
    </row>
    <row r="83" customFormat="false" ht="15" hidden="false" customHeight="false" outlineLevel="0" collapsed="false">
      <c r="A83" s="5" t="n">
        <v>80</v>
      </c>
      <c r="B83" s="5" t="s">
        <v>322</v>
      </c>
      <c r="C83" s="6" t="s">
        <v>323</v>
      </c>
      <c r="D83" s="5" t="s">
        <v>476</v>
      </c>
      <c r="E83" s="5" t="s">
        <v>362</v>
      </c>
      <c r="F83" s="6" t="s">
        <v>479</v>
      </c>
      <c r="G83" s="6" t="s">
        <v>373</v>
      </c>
      <c r="H83" s="5"/>
      <c r="I83" s="5"/>
    </row>
    <row r="84" customFormat="false" ht="29.85" hidden="false" customHeight="false" outlineLevel="0" collapsed="false">
      <c r="A84" s="5" t="n">
        <v>81</v>
      </c>
      <c r="B84" s="5" t="s">
        <v>325</v>
      </c>
      <c r="C84" s="6" t="s">
        <v>326</v>
      </c>
      <c r="D84" s="5" t="s">
        <v>480</v>
      </c>
      <c r="E84" s="5" t="s">
        <v>357</v>
      </c>
      <c r="F84" s="6" t="s">
        <v>481</v>
      </c>
      <c r="G84" s="6" t="s">
        <v>373</v>
      </c>
      <c r="H84" s="5"/>
      <c r="I84" s="5"/>
    </row>
    <row r="85" customFormat="false" ht="29.85" hidden="false" customHeight="false" outlineLevel="0" collapsed="false">
      <c r="A85" s="5" t="n">
        <v>82</v>
      </c>
      <c r="B85" s="5" t="s">
        <v>325</v>
      </c>
      <c r="C85" s="6" t="s">
        <v>326</v>
      </c>
      <c r="D85" s="5" t="s">
        <v>480</v>
      </c>
      <c r="E85" s="5" t="s">
        <v>360</v>
      </c>
      <c r="F85" s="6" t="s">
        <v>482</v>
      </c>
      <c r="G85" s="6" t="s">
        <v>373</v>
      </c>
      <c r="H85" s="5"/>
      <c r="I85" s="5"/>
    </row>
    <row r="86" customFormat="false" ht="29.85" hidden="false" customHeight="false" outlineLevel="0" collapsed="false">
      <c r="A86" s="5" t="n">
        <v>83</v>
      </c>
      <c r="B86" s="5" t="s">
        <v>325</v>
      </c>
      <c r="C86" s="6" t="s">
        <v>326</v>
      </c>
      <c r="D86" s="5" t="s">
        <v>480</v>
      </c>
      <c r="E86" s="5" t="s">
        <v>362</v>
      </c>
      <c r="F86" s="5" t="s">
        <v>483</v>
      </c>
      <c r="G86" s="6" t="s">
        <v>366</v>
      </c>
      <c r="H86" s="5"/>
      <c r="I86" s="5"/>
    </row>
    <row r="87" customFormat="false" ht="15" hidden="false" customHeight="false" outlineLevel="0" collapsed="false">
      <c r="A87" s="5" t="n">
        <v>84</v>
      </c>
      <c r="B87" s="5" t="s">
        <v>329</v>
      </c>
      <c r="C87" s="6" t="s">
        <v>330</v>
      </c>
      <c r="D87" s="5" t="s">
        <v>484</v>
      </c>
      <c r="E87" s="5" t="s">
        <v>357</v>
      </c>
      <c r="F87" s="5" t="s">
        <v>485</v>
      </c>
      <c r="G87" s="6" t="s">
        <v>359</v>
      </c>
      <c r="H87" s="5"/>
      <c r="I87" s="5"/>
    </row>
    <row r="88" customFormat="false" ht="15" hidden="false" customHeight="false" outlineLevel="0" collapsed="false">
      <c r="A88" s="5" t="n">
        <v>85</v>
      </c>
      <c r="B88" s="5" t="s">
        <v>329</v>
      </c>
      <c r="C88" s="6" t="s">
        <v>330</v>
      </c>
      <c r="D88" s="5" t="s">
        <v>484</v>
      </c>
      <c r="E88" s="5" t="s">
        <v>360</v>
      </c>
      <c r="F88" s="6" t="s">
        <v>486</v>
      </c>
      <c r="G88" s="6" t="s">
        <v>359</v>
      </c>
      <c r="H88" s="5"/>
      <c r="I88" s="5"/>
    </row>
    <row r="89" customFormat="false" ht="15" hidden="false" customHeight="false" outlineLevel="0" collapsed="false">
      <c r="A89" s="5" t="n">
        <v>86</v>
      </c>
      <c r="B89" s="5" t="s">
        <v>332</v>
      </c>
      <c r="C89" s="6" t="s">
        <v>333</v>
      </c>
      <c r="D89" s="5" t="s">
        <v>487</v>
      </c>
      <c r="E89" s="5" t="s">
        <v>357</v>
      </c>
      <c r="F89" s="6" t="s">
        <v>488</v>
      </c>
      <c r="G89" s="6" t="s">
        <v>359</v>
      </c>
      <c r="H89" s="5"/>
      <c r="I89" s="5"/>
    </row>
    <row r="90" customFormat="false" ht="15" hidden="false" customHeight="false" outlineLevel="0" collapsed="false">
      <c r="A90" s="5" t="n">
        <v>87</v>
      </c>
      <c r="B90" s="5" t="s">
        <v>332</v>
      </c>
      <c r="C90" s="6" t="s">
        <v>333</v>
      </c>
      <c r="D90" s="5" t="s">
        <v>487</v>
      </c>
      <c r="E90" s="5" t="s">
        <v>360</v>
      </c>
      <c r="F90" s="5" t="s">
        <v>489</v>
      </c>
      <c r="G90" s="6" t="s">
        <v>359</v>
      </c>
      <c r="H90" s="5"/>
      <c r="I90" s="5"/>
    </row>
    <row r="91" customFormat="false" ht="15" hidden="false" customHeight="false" outlineLevel="0" collapsed="false">
      <c r="A91" s="5" t="n">
        <v>88</v>
      </c>
      <c r="B91" s="5" t="s">
        <v>335</v>
      </c>
      <c r="C91" s="6" t="s">
        <v>336</v>
      </c>
      <c r="D91" s="5" t="s">
        <v>490</v>
      </c>
      <c r="E91" s="5" t="s">
        <v>357</v>
      </c>
      <c r="F91" s="6" t="s">
        <v>491</v>
      </c>
      <c r="G91" s="6" t="s">
        <v>359</v>
      </c>
      <c r="H91" s="5"/>
      <c r="I91" s="5"/>
    </row>
    <row r="92" customFormat="false" ht="15" hidden="false" customHeight="false" outlineLevel="0" collapsed="false">
      <c r="A92" s="5" t="n">
        <v>89</v>
      </c>
      <c r="B92" s="5" t="s">
        <v>338</v>
      </c>
      <c r="C92" s="6" t="s">
        <v>339</v>
      </c>
      <c r="D92" s="5" t="s">
        <v>492</v>
      </c>
      <c r="E92" s="5" t="s">
        <v>357</v>
      </c>
      <c r="F92" s="6" t="s">
        <v>493</v>
      </c>
      <c r="G92" s="6" t="s">
        <v>359</v>
      </c>
      <c r="H92" s="5"/>
      <c r="I92" s="5"/>
    </row>
    <row r="93" customFormat="false" ht="15" hidden="false" customHeight="false" outlineLevel="0" collapsed="false">
      <c r="A93" s="5" t="n">
        <v>90</v>
      </c>
      <c r="B93" s="5" t="s">
        <v>341</v>
      </c>
      <c r="C93" s="6" t="s">
        <v>342</v>
      </c>
      <c r="D93" s="5" t="s">
        <v>494</v>
      </c>
      <c r="E93" s="5" t="s">
        <v>357</v>
      </c>
      <c r="F93" s="6" t="s">
        <v>495</v>
      </c>
      <c r="G93" s="6" t="s">
        <v>366</v>
      </c>
      <c r="H93" s="5"/>
      <c r="I93" s="5"/>
    </row>
    <row r="94" customFormat="false" ht="15" hidden="false" customHeight="false" outlineLevel="0" collapsed="false">
      <c r="A94" s="5" t="n">
        <v>91</v>
      </c>
      <c r="B94" s="5" t="s">
        <v>341</v>
      </c>
      <c r="C94" s="6" t="s">
        <v>342</v>
      </c>
      <c r="D94" s="5" t="s">
        <v>494</v>
      </c>
      <c r="E94" s="5" t="s">
        <v>360</v>
      </c>
      <c r="F94" s="6" t="s">
        <v>496</v>
      </c>
      <c r="G94" s="6" t="s">
        <v>359</v>
      </c>
      <c r="H94" s="5"/>
      <c r="I94" s="5"/>
    </row>
    <row r="95" customFormat="false" ht="15" hidden="false" customHeight="false" outlineLevel="0" collapsed="false">
      <c r="A95" s="5" t="n">
        <v>92</v>
      </c>
      <c r="B95" s="5" t="s">
        <v>341</v>
      </c>
      <c r="C95" s="6" t="s">
        <v>342</v>
      </c>
      <c r="D95" s="5" t="s">
        <v>494</v>
      </c>
      <c r="E95" s="5" t="s">
        <v>362</v>
      </c>
      <c r="F95" s="6" t="s">
        <v>497</v>
      </c>
      <c r="G95" s="6" t="s">
        <v>359</v>
      </c>
      <c r="H95" s="5"/>
      <c r="I95" s="5"/>
    </row>
    <row r="96" customFormat="false" ht="15" hidden="false" customHeight="false" outlineLevel="0" collapsed="false">
      <c r="A96" s="5" t="n">
        <v>93</v>
      </c>
      <c r="B96" s="5" t="s">
        <v>344</v>
      </c>
      <c r="C96" s="6" t="s">
        <v>345</v>
      </c>
      <c r="D96" s="5" t="s">
        <v>498</v>
      </c>
      <c r="E96" s="5" t="s">
        <v>357</v>
      </c>
      <c r="F96" s="6" t="s">
        <v>499</v>
      </c>
      <c r="G96" s="6" t="s">
        <v>359</v>
      </c>
      <c r="H96" s="5"/>
      <c r="I96" s="5"/>
    </row>
    <row r="97" customFormat="false" ht="15" hidden="false" customHeight="false" outlineLevel="0" collapsed="false">
      <c r="A97" s="5" t="n">
        <v>94</v>
      </c>
      <c r="B97" s="5" t="s">
        <v>344</v>
      </c>
      <c r="C97" s="6" t="s">
        <v>345</v>
      </c>
      <c r="D97" s="5" t="s">
        <v>498</v>
      </c>
      <c r="E97" s="5" t="s">
        <v>360</v>
      </c>
      <c r="F97" s="6" t="s">
        <v>500</v>
      </c>
      <c r="G97" s="6" t="s">
        <v>373</v>
      </c>
      <c r="H97" s="5"/>
      <c r="I97" s="5"/>
    </row>
  </sheetData>
  <autoFilter ref="A3:I9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34"/>
    <col collapsed="false" customWidth="true" hidden="false" outlineLevel="0" max="3" min="3" style="0" width="14"/>
    <col collapsed="false" customWidth="true" hidden="false" outlineLevel="0" max="4" min="4" style="0" width="100"/>
  </cols>
  <sheetData>
    <row r="1" customFormat="false" ht="17.35" hidden="false" customHeight="false" outlineLevel="0" collapsed="false">
      <c r="A1" s="1" t="s">
        <v>501</v>
      </c>
    </row>
    <row r="3" customFormat="false" ht="29.85" hidden="false" customHeight="false" outlineLevel="0" collapsed="false">
      <c r="A3" s="4" t="s">
        <v>197</v>
      </c>
      <c r="B3" s="4" t="s">
        <v>198</v>
      </c>
      <c r="C3" s="4" t="s">
        <v>502</v>
      </c>
      <c r="D3" s="4" t="s">
        <v>503</v>
      </c>
    </row>
    <row r="4" customFormat="false" ht="15" hidden="false" customHeight="false" outlineLevel="0" collapsed="false">
      <c r="A4" s="5" t="s">
        <v>207</v>
      </c>
      <c r="B4" s="6" t="s">
        <v>208</v>
      </c>
      <c r="C4" s="5" t="n">
        <v>2</v>
      </c>
      <c r="D4" s="6" t="s">
        <v>504</v>
      </c>
    </row>
    <row r="5" customFormat="false" ht="15" hidden="false" customHeight="false" outlineLevel="0" collapsed="false">
      <c r="A5" s="5" t="s">
        <v>210</v>
      </c>
      <c r="B5" s="6" t="s">
        <v>211</v>
      </c>
      <c r="C5" s="5" t="n">
        <v>3</v>
      </c>
      <c r="D5" s="6" t="s">
        <v>505</v>
      </c>
    </row>
    <row r="6" customFormat="false" ht="15" hidden="false" customHeight="false" outlineLevel="0" collapsed="false">
      <c r="A6" s="5" t="s">
        <v>213</v>
      </c>
      <c r="B6" s="6" t="s">
        <v>214</v>
      </c>
      <c r="C6" s="5" t="n">
        <v>4</v>
      </c>
      <c r="D6" s="6" t="s">
        <v>506</v>
      </c>
    </row>
    <row r="7" customFormat="false" ht="15" hidden="false" customHeight="false" outlineLevel="0" collapsed="false">
      <c r="A7" s="5" t="s">
        <v>216</v>
      </c>
      <c r="B7" s="6" t="s">
        <v>217</v>
      </c>
      <c r="C7" s="5" t="n">
        <v>3</v>
      </c>
      <c r="D7" s="5" t="s">
        <v>507</v>
      </c>
    </row>
    <row r="8" customFormat="false" ht="15" hidden="false" customHeight="false" outlineLevel="0" collapsed="false">
      <c r="A8" s="5" t="s">
        <v>223</v>
      </c>
      <c r="B8" s="6" t="s">
        <v>224</v>
      </c>
      <c r="C8" s="5" t="n">
        <v>3</v>
      </c>
      <c r="D8" s="6" t="s">
        <v>508</v>
      </c>
    </row>
    <row r="9" customFormat="false" ht="15" hidden="false" customHeight="false" outlineLevel="0" collapsed="false">
      <c r="A9" s="5" t="s">
        <v>226</v>
      </c>
      <c r="B9" s="6" t="s">
        <v>227</v>
      </c>
      <c r="C9" s="5" t="n">
        <v>3</v>
      </c>
      <c r="D9" s="6" t="s">
        <v>509</v>
      </c>
    </row>
    <row r="10" customFormat="false" ht="15" hidden="false" customHeight="false" outlineLevel="0" collapsed="false">
      <c r="A10" s="5" t="s">
        <v>236</v>
      </c>
      <c r="B10" s="6" t="s">
        <v>237</v>
      </c>
      <c r="C10" s="5" t="n">
        <v>3</v>
      </c>
      <c r="D10" s="6" t="s">
        <v>510</v>
      </c>
    </row>
    <row r="11" customFormat="false" ht="15" hidden="false" customHeight="false" outlineLevel="0" collapsed="false">
      <c r="A11" s="5" t="s">
        <v>239</v>
      </c>
      <c r="B11" s="6" t="s">
        <v>240</v>
      </c>
      <c r="C11" s="5" t="n">
        <v>3</v>
      </c>
      <c r="D11" s="6" t="s">
        <v>511</v>
      </c>
    </row>
    <row r="12" customFormat="false" ht="15" hidden="false" customHeight="false" outlineLevel="0" collapsed="false">
      <c r="A12" s="5" t="s">
        <v>248</v>
      </c>
      <c r="B12" s="6" t="s">
        <v>249</v>
      </c>
      <c r="C12" s="5" t="n">
        <v>3</v>
      </c>
      <c r="D12" s="5" t="s">
        <v>512</v>
      </c>
    </row>
    <row r="13" customFormat="false" ht="15" hidden="false" customHeight="false" outlineLevel="0" collapsed="false">
      <c r="A13" s="5" t="s">
        <v>252</v>
      </c>
      <c r="B13" s="6" t="s">
        <v>253</v>
      </c>
      <c r="C13" s="5" t="n">
        <v>3</v>
      </c>
      <c r="D13" s="6" t="s">
        <v>513</v>
      </c>
    </row>
    <row r="14" customFormat="false" ht="15" hidden="false" customHeight="false" outlineLevel="0" collapsed="false">
      <c r="A14" s="5" t="s">
        <v>258</v>
      </c>
      <c r="B14" s="6" t="s">
        <v>259</v>
      </c>
      <c r="C14" s="5" t="n">
        <v>4</v>
      </c>
      <c r="D14" s="6" t="s">
        <v>514</v>
      </c>
    </row>
    <row r="15" customFormat="false" ht="15" hidden="false" customHeight="false" outlineLevel="0" collapsed="false">
      <c r="A15" s="5" t="s">
        <v>274</v>
      </c>
      <c r="B15" s="6" t="s">
        <v>275</v>
      </c>
      <c r="C15" s="5" t="n">
        <v>4</v>
      </c>
      <c r="D15" s="5" t="s">
        <v>515</v>
      </c>
    </row>
    <row r="16" customFormat="false" ht="15" hidden="false" customHeight="false" outlineLevel="0" collapsed="false">
      <c r="A16" s="5" t="s">
        <v>290</v>
      </c>
      <c r="B16" s="6" t="s">
        <v>291</v>
      </c>
      <c r="C16" s="5" t="n">
        <v>5</v>
      </c>
      <c r="D16" s="5" t="s">
        <v>516</v>
      </c>
    </row>
    <row r="17" customFormat="false" ht="15" hidden="false" customHeight="false" outlineLevel="0" collapsed="false">
      <c r="A17" s="5" t="s">
        <v>300</v>
      </c>
      <c r="B17" s="6" t="s">
        <v>301</v>
      </c>
      <c r="C17" s="5" t="n">
        <v>3</v>
      </c>
      <c r="D17" s="5" t="s">
        <v>517</v>
      </c>
    </row>
    <row r="18" customFormat="false" ht="15" hidden="false" customHeight="false" outlineLevel="0" collapsed="false">
      <c r="A18" s="5" t="s">
        <v>306</v>
      </c>
      <c r="B18" s="6" t="s">
        <v>307</v>
      </c>
      <c r="C18" s="5" t="n">
        <v>3</v>
      </c>
      <c r="D18" s="5" t="s">
        <v>518</v>
      </c>
    </row>
    <row r="19" customFormat="false" ht="15" hidden="false" customHeight="false" outlineLevel="0" collapsed="false">
      <c r="A19" s="5" t="s">
        <v>309</v>
      </c>
      <c r="B19" s="6" t="s">
        <v>310</v>
      </c>
      <c r="C19" s="5" t="n">
        <v>3</v>
      </c>
      <c r="D19" s="6" t="s">
        <v>519</v>
      </c>
    </row>
    <row r="20" customFormat="false" ht="29.85" hidden="false" customHeight="false" outlineLevel="0" collapsed="false">
      <c r="A20" s="5" t="s">
        <v>312</v>
      </c>
      <c r="B20" s="6" t="s">
        <v>313</v>
      </c>
      <c r="C20" s="5" t="n">
        <v>3</v>
      </c>
      <c r="D20" s="6" t="s">
        <v>520</v>
      </c>
    </row>
    <row r="21" customFormat="false" ht="15" hidden="false" customHeight="false" outlineLevel="0" collapsed="false">
      <c r="A21" s="5" t="s">
        <v>316</v>
      </c>
      <c r="B21" s="6" t="s">
        <v>317</v>
      </c>
      <c r="C21" s="5" t="n">
        <v>3</v>
      </c>
      <c r="D21" s="5" t="s">
        <v>521</v>
      </c>
    </row>
    <row r="22" customFormat="false" ht="15" hidden="false" customHeight="false" outlineLevel="0" collapsed="false">
      <c r="A22" s="5" t="s">
        <v>319</v>
      </c>
      <c r="B22" s="6" t="s">
        <v>320</v>
      </c>
      <c r="C22" s="5" t="n">
        <v>3</v>
      </c>
      <c r="D22" s="5" t="s">
        <v>522</v>
      </c>
    </row>
    <row r="23" customFormat="false" ht="15" hidden="false" customHeight="false" outlineLevel="0" collapsed="false">
      <c r="A23" s="5" t="s">
        <v>322</v>
      </c>
      <c r="B23" s="6" t="s">
        <v>323</v>
      </c>
      <c r="C23" s="5" t="n">
        <v>3</v>
      </c>
      <c r="D23" s="6" t="s">
        <v>523</v>
      </c>
    </row>
    <row r="24" customFormat="false" ht="29.85" hidden="false" customHeight="false" outlineLevel="0" collapsed="false">
      <c r="A24" s="5" t="s">
        <v>325</v>
      </c>
      <c r="B24" s="6" t="s">
        <v>326</v>
      </c>
      <c r="C24" s="5" t="n">
        <v>4</v>
      </c>
      <c r="D24" s="5" t="s">
        <v>524</v>
      </c>
    </row>
    <row r="25" customFormat="false" ht="15" hidden="false" customHeight="false" outlineLevel="0" collapsed="false">
      <c r="A25" s="5" t="s">
        <v>329</v>
      </c>
      <c r="B25" s="6" t="s">
        <v>330</v>
      </c>
      <c r="C25" s="5" t="n">
        <v>3</v>
      </c>
      <c r="D25" s="6" t="s">
        <v>525</v>
      </c>
    </row>
  </sheetData>
  <autoFilter ref="A3:D2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2026-09-30T00:22:21Z</dcterms:created>
  <dc:creator>openpyxl</dc:creator>
  <dc:description/>
  <dc:language>en-US</dc:language>
  <cp:lastModifiedBy/>
  <dcterms:modified xsi:type="dcterms:W3CDTF">2026-09-30T00:22:21Z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