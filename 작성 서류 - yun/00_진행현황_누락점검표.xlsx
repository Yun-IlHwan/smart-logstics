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9" fillId="12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  <col width="62" customWidth="1" style="24" min="8" max="8"/>
  </cols>
  <sheetData>
    <row r="1" ht="21" customHeight="1" s="24">
      <c r="A1" s="25" t="inlineStr">
        <is>
          <t>스마트물류센터 인증 제출서류 진행현황 (영종센터, 기준 2026.10.14 · 「작성 서류 - yun」 폴더 기준)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  <c r="H3" s="28" t="inlineStr">
        <is>
          <t>10.14 점검 결과 (작성 서류 - yun)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  <c r="H4" s="30" t="inlineStr">
        <is>
          <t>건축물대장으로 기재값 확정 가능: 착공 2019.07.08, 사용승인 2021.01.22, 연면적 186,095.3㎡, 주용도 창고시설(지상 6층). 단, 본점이 2026.06.01 「서울 강서구 마곡중앙8로7길 57, 비동 905~907호」로 이전(등기 2026.06.08) → 기재안 주소(강서로 463 새싹타워) 수정 필요. 실무담당자 칸 공란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완료(789.0점·3등급). 남은 사진·증빙 48칸 + Ⅳ장 2칸(현장사진 29·자료 21) 촬영·확보 후 삽입. Ⅲ장 종업원 수·최근 3년 매출액·2023~2025 물동량·인증업무 담당자 입력, 작성 메모 14곳 확인 후 삭제</t>
        </is>
      </c>
      <c r="G5" s="29" t="inlineStr">
        <is>
          <t>01_자체평가서 및 증명자료(완성본).docx</t>
        </is>
      </c>
      <c r="H5" s="29" t="inlineStr">
        <is>
          <t>10.14 수정본 확인: 총점 789.0점(3등급, ⑤와 일치). 사진·캡처 105칸 중 55칸 삽입. 이미지 속 캡션과 어긋난 Word 캡션 4곳 수정(2.3.1-2 사진1·2, 2.3.1-3, 2.3.2 사진1). 1.1.5 [사진 2]는 [사진 1]과 같은 이미지가 들어가 있어 교체 필요. 서약서·교육 수료증 PDF가 yun 폴더에 있어 바로 삽입 가능. 작성 메모 14곳·Ⅲ장 공란 남음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  <c r="H6" s="29" t="inlineStr">
        <is>
          <t>변동 없음. 작성 메모 2곳(검수+맵핑 877.5㎡ 분야 배정, 출고 처리능력 30,000 vs 35,000), 단면도 "확보 필요", 상호 일부 "트랙스로지스" 표기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  <c r="H7" s="29" t="inlineStr">
        <is>
          <t>건축물대장 확보: 사용승인일 2021.01.22 기재 가능. 변동사항에 2022.08.18 3층 방화구획 관련 대수선, 2024.03.12 증축(1층 전기실 57.48㎡) 이력 있음 → "해당 없음" 판단 재검토 필요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  <c r="H8" s="29" t="inlineStr">
        <is>
          <t>yun 폴더에 해당 파일 없음(변동 확인 불가)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  <c r="H9" s="29" t="inlineStr">
        <is>
          <t>yun 폴더 「3_운영매뉴얼_영종센터」(v2.0, 10.02 저장)도 작성일 2026-07-13, 상호 "Tracx Logis", KPI 목표 "예시" 표기 남음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29" t="inlineStr">
        <is>
          <t>06_품질안전환경관리 매뉴얼(완성본).docx</t>
        </is>
      </c>
      <c r="H10" s="29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  <c r="H11" s="29" t="inlineStr">
        <is>
          <t>yun 폴더 「1_물류정보시스템_기술서_영종센터」(v2.0): 작성일 2026-07-13, 상호 "Tracx Logis", "예시" 9곳, 1.3에 "한국통합물류협회" 표기 남음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  <c r="H12" s="29" t="inlineStr">
        <is>
          <t>yun 폴더 「2_업무-시스템_연계기술서_영종센터」(v2.0): 작성일 2026-07-13, 상호 "Tracx Logis", 코드·SLA "예시" 6곳 남음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  <c r="H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작성 서류 - yun/4 법인등기사항증명서.pdf (말소사항 포함, 발행 2026.06.10, 28쪽)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  <c r="H14" s="29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  <c r="H15" s="29" t="inlineStr">
        <is>
          <t>yun 폴더에 해당 파일 없음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작성 서류 - yun/5-1~5-4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  <c r="H16" s="29" t="inlineStr">
        <is>
          <t>yun 폴더에 사본 확보. 창고업 등록 보관면적 19,412.63㎡는 2026.07.15 일부 해지 전 면적 → 변경등록 필요 여부 확인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  <c r="H17" s="29" t="inlineStr">
        <is>
          <t>yun 폴더에 해당 파일 없음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 789.0점(3등급). ②-1과 동일 등급으로 제출</t>
        </is>
      </c>
      <c r="G18" s="30" t="inlineStr">
        <is>
          <t>자체평가점수표(일반)_근거기준.xlsx</t>
        </is>
      </c>
      <c r="H18" s="30" t="inlineStr">
        <is>
          <t>근거기준 점수표 789.0점(3등급) — 01·⑥·3번 시트와 44개 항목 등급 일치 확인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49" t="inlineStr">
        <is>
          <t>초안 완료</t>
        </is>
      </c>
      <c r="F19" s="29" t="inlineStr">
        <is>
          <t>44개 항목 × 수록 쪽·증명자료 매핑 완료(쪽번호 10.14 재산정, 작성 메모 삭제). 남은 사진 삽입 후 쪽번호만 다시 확인</t>
        </is>
      </c>
      <c r="G19" s="29" t="inlineStr">
        <is>
          <t>⑥_조견표.docx</t>
        </is>
      </c>
      <c r="H19" s="29" t="inlineStr">
        <is>
          <t>10.14: 캡션 30곳을 01과 일치시킴, 수록 쪽 44개를 01 현재본(총 71쪽, PDF 변환 기준)으로 재산정, 작성 메모 삭제. 남은 사진 삽입 시 쪽이 밀리면 재확인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 / 참고: yun/KOR 2026 TracX Logis Korea 회사소개서 v2.pdf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  <c r="H20" s="29" t="inlineStr">
        <is>
          <t>회사소개서 v2(2026.07.23, 20쪽) 확보. 오출고율 "0.0001%" 그대로 표기 → 05·01 기준과 통일 필요. 설립 2009(등기 회사성립 2009.09.04와 일치)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 / 참고: yun/글로벌 물류센터 네트워크 소개서 v2·compressed.pdf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  <c r="H21" s="29" t="inlineStr">
        <is>
          <t>네트워크 소개서 v2 확보(참고자료). 사용승인일은 건축물대장 2021.01.22로 확정 → ⑧ "2021년 1월 준공(확인 필요)" 수정 가능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작성 서류 - yun/16-1 건축물대장, 16-2 임대차 승계동의서, 16-3 일부 해지 통지</t>
        </is>
      </c>
      <c r="E22" s="47" t="inlineStr">
        <is>
          <t>보완 필요</t>
        </is>
      </c>
      <c r="F22" s="30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29" t="inlineStr">
        <is>
          <t>-</t>
        </is>
      </c>
      <c r="H22" s="29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작성 서류 - yun/17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  <c r="H23" s="29" t="inlineStr">
        <is>
          <t>yun 폴더에 사본 확보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  <c r="H24" s="29" t="inlineStr">
        <is>
          <t>변동 없음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  <c r="H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H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 / yun 폴더 1~4 영종센터 문서(v2.0): "Tracx Logis"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법인등기: 대표이사 김양훈·노현석(2024.10.31 취임) 각각 등기 / 승계동의서: 대표자 2인 날인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30" t="inlineStr">
        <is>
          <t>임차면적 3,474.25평(≈11,485㎡)과 운영면적 2,845평을 구분 표기해 전 문서 통일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 (10.07 확인: 재고 입고 시 휴대용 DWS 미사용 → 01 1.1.3 반영. 공정별 수량 통일은 미완)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03·⑦·⑧·④: 공란 / 06 제정일: "2026. . ." / yun 1~3 기술서·매뉴얼: 2026-07-13</t>
        </is>
      </c>
      <c r="D18" s="29" t="inlineStr">
        <is>
          <t>01·02·06 기준일자: 2026.09.30 / 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30" t="inlineStr">
        <is>
          <t>인증기관: 한국교통연구원 스마트물류시설인증센터</t>
        </is>
      </c>
      <c r="E19" s="30" t="inlineStr">
        <is>
          <t>제출본에 사용하는 원고 모두 "한국교통연구원 스마트물류시설인증센터"로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건축물대장(16-1): 사용승인 2021.01.22, 착공 2019.07.08</t>
        </is>
      </c>
      <c r="E20" s="30" t="inlineStr">
        <is>
          <t>① 신청서·⑧·03에 2021.01.22 반영(자료 확보 완료)</t>
        </is>
      </c>
      <c r="F20" s="38" t="inlineStr">
        <is>
          <t>중간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  <row r="22">
      <c r="A22" s="29" t="n">
        <v>19</v>
      </c>
      <c r="B22" s="30" t="inlineStr">
        <is>
          <t>조견표 캡션</t>
        </is>
      </c>
      <c r="C22" s="29" t="inlineStr">
        <is>
          <t>⑥ 조견표: 기존 캡션(예: "PDA 피킹 화면", "송장 출력 화면")</t>
        </is>
      </c>
      <c r="D22" s="29" t="inlineStr">
        <is>
          <t>01 자체평가서(10.14 수정본): 실제 화면명 캡션 — ⑥과 30곳 불일치</t>
        </is>
      </c>
      <c r="E22" s="30" t="inlineStr">
        <is>
          <t>2026.10.14 처리 완료 — ⑥ 캡션 30곳 수정, 01과 103칸 모두 일치</t>
        </is>
      </c>
      <c r="F22" s="39" t="inlineStr">
        <is>
          <t>완료</t>
        </is>
      </c>
    </row>
    <row r="23">
      <c r="A23" s="29" t="n">
        <v>20</v>
      </c>
      <c r="B23" s="30" t="inlineStr">
        <is>
          <t>필수 기재 공란</t>
        </is>
      </c>
      <c r="C23" s="29" t="inlineStr">
        <is>
          <t>01 Ⅲ장: 종업원 수·최근 3년 매출액·2023~2025 물동량·인증업무 담당자 [ ]</t>
        </is>
      </c>
      <c r="D23" s="29" t="inlineStr">
        <is>
          <t>① 신청서 기재안: 실무담당자·전화·팩스·E-mail [ ]</t>
        </is>
      </c>
      <c r="E23" s="30" t="inlineStr">
        <is>
          <t>인사·재무팀 확정값 입력, 담당자는 01·① 동일하게</t>
        </is>
      </c>
      <c r="F23" s="39" t="inlineStr">
        <is>
          <t>높음</t>
        </is>
      </c>
    </row>
    <row r="24">
      <c r="A24" s="29" t="n">
        <v>21</v>
      </c>
      <c r="B24" s="30" t="inlineStr">
        <is>
          <t>본점 주소</t>
        </is>
      </c>
      <c r="C24" s="29" t="inlineStr">
        <is>
          <t>① 신청서 기재안·승계동의서: 서울 강서구 강서로 463, 7층(새싹타워)</t>
        </is>
      </c>
      <c r="D24" s="29" t="inlineStr">
        <is>
          <t>법인등기: 2026.06.01 「서울 강서구 마곡중앙8로7길 57, 비동 905~907호」로 이전(06.08 등기)</t>
        </is>
      </c>
      <c r="E24" s="30" t="inlineStr">
        <is>
          <t>신청서·소개자료 주소를 등기 기준으로 수정</t>
        </is>
      </c>
      <c r="F24" s="39" t="inlineStr">
        <is>
          <t>높음</t>
        </is>
      </c>
    </row>
    <row r="25">
      <c r="A25" s="29" t="n">
        <v>22</v>
      </c>
      <c r="B25" s="30" t="inlineStr">
        <is>
          <t>창고업 등록 면적</t>
        </is>
      </c>
      <c r="C25" s="29" t="inlineStr">
        <is>
          <t>5-1 창고업 등록증: 보관시설 19,412.63㎡</t>
        </is>
      </c>
      <c r="D25" s="29" t="inlineStr">
        <is>
          <t>16-3 해지 통지: 2026.07.15부 2,398.07평 해지 → 잔여 3,474.25평</t>
        </is>
      </c>
      <c r="E25" s="30" t="inlineStr">
        <is>
          <t>물류창고업 변경등록 필요 여부 확인(관할 중구청)</t>
        </is>
      </c>
      <c r="F25" s="39" t="inlineStr">
        <is>
          <t>높음</t>
        </is>
      </c>
    </row>
    <row r="26">
      <c r="A26" s="29" t="n">
        <v>23</v>
      </c>
      <c r="B26" s="30" t="inlineStr">
        <is>
          <t>설계변경 이력</t>
        </is>
      </c>
      <c r="C26" s="29" t="inlineStr">
        <is>
          <t>03 설계변경 확인서: "해당 없음"</t>
        </is>
      </c>
      <c r="D26" s="29" t="inlineStr">
        <is>
          <t>건축물대장 변동: 2022.08.18 3층 방화구획 관련 대수선, 2024.03.12 증축(1층 전기실 57.48㎡)</t>
        </is>
      </c>
      <c r="E26" s="30" t="inlineStr">
        <is>
          <t>임차구역(3층) 관련 변경인지 확인 후 03 작성 방향 결정</t>
        </is>
      </c>
      <c r="F26" s="39" t="inlineStr">
        <is>
          <t>중간</t>
        </is>
      </c>
    </row>
    <row r="27">
      <c r="A27" s="29" t="n">
        <v>24</v>
      </c>
      <c r="B27" s="30" t="inlineStr">
        <is>
          <t>캡션·이미지</t>
        </is>
      </c>
      <c r="C27" s="29" t="inlineStr">
        <is>
          <t>01 1.1.5 [사진 2] 캡션: Smartship 입고신청 목록</t>
        </is>
      </c>
      <c r="D27" s="29" t="inlineStr">
        <is>
          <t>삽입 이미지는 [사진 1](SW 입고 확정)과 동일 파일</t>
        </is>
      </c>
      <c r="E27" s="30" t="inlineStr">
        <is>
          <t>Smartship 입고신청 목록 화면으로 이미지 교체</t>
        </is>
      </c>
      <c r="F27" s="39" t="inlineStr">
        <is>
          <t>중간</t>
        </is>
      </c>
    </row>
  </sheetData>
  <autoFilter ref="A3:F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4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  <col width="11" customWidth="1" style="24" min="10" max="10"/>
    <col width="40" customWidth="1" style="24" min="11" max="11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  <c r="J3" s="28" t="inlineStr">
        <is>
          <t>01 삽입(10.14)</t>
        </is>
      </c>
      <c r="K3" s="28" t="inlineStr">
        <is>
          <t>10.14 점검 비고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p.7~8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  <c r="J4" s="29" t="inlineStr">
        <is>
          <t>O</t>
        </is>
      </c>
      <c r="K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p.7~8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  <c r="J5" s="29" t="inlineStr">
        <is>
          <t>O</t>
        </is>
      </c>
      <c r="K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p.7~8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  <c r="J6" s="29" t="inlineStr">
        <is>
          <t>O</t>
        </is>
      </c>
      <c r="K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p.9~10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  <c r="J7" s="29" t="n"/>
      <c r="K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p.9~10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  <c r="J8" s="29" t="n"/>
      <c r="K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p.9~10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  <c r="J9" s="29" t="inlineStr">
        <is>
          <t>O</t>
        </is>
      </c>
      <c r="K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p.9~10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  <c r="J10" s="29" t="inlineStr">
        <is>
          <t>O</t>
        </is>
      </c>
      <c r="K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p.9~10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  <c r="J11" s="29" t="inlineStr">
        <is>
          <t>O</t>
        </is>
      </c>
      <c r="K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p.11~12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  <c r="J12" s="29" t="n"/>
      <c r="K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p.11~12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  <c r="J13" s="29" t="inlineStr">
        <is>
          <t>O</t>
        </is>
      </c>
      <c r="K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p.11~12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  <c r="J14" s="29" t="inlineStr">
        <is>
          <t>O</t>
        </is>
      </c>
      <c r="K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p.11~12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  <c r="J15" s="29" t="inlineStr">
        <is>
          <t>O</t>
        </is>
      </c>
      <c r="K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p.13~14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  <c r="J16" s="29" t="inlineStr">
        <is>
          <t>O</t>
        </is>
      </c>
      <c r="K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p.13~14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  <c r="J17" s="29" t="inlineStr">
        <is>
          <t>O</t>
        </is>
      </c>
      <c r="K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p.13~14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사진</t>
        </is>
      </c>
      <c r="H18" s="29" t="n"/>
      <c r="I18" s="29" t="n"/>
      <c r="J18" s="29" t="n"/>
      <c r="K18" s="29" t="inlineStr">
        <is>
          <t>유형 정정(캡처→사진)</t>
        </is>
      </c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p.15~17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  <c r="J19" s="29" t="inlineStr">
        <is>
          <t>O</t>
        </is>
      </c>
      <c r="K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p.15~17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  <c r="J20" s="29" t="inlineStr">
        <is>
          <t>O</t>
        </is>
      </c>
      <c r="K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p.15~17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  <c r="J21" s="29" t="inlineStr">
        <is>
          <t>△</t>
        </is>
      </c>
      <c r="K21" s="29" t="inlineStr">
        <is>
          <t>삽입 이미지가 [사진 1](입고 확정)과 동일 파일 → Smartship 입고신청 목록 화면으로 교체 필요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p.15~17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  <c r="J22" s="29" t="inlineStr">
        <is>
          <t>O</t>
        </is>
      </c>
      <c r="K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p.18~19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  <c r="J23" s="29" t="inlineStr">
        <is>
          <t>O</t>
        </is>
      </c>
      <c r="K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p.18~19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  <c r="J24" s="29" t="n"/>
      <c r="K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p.20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  <c r="J25" s="29" t="n"/>
      <c r="K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p.20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  <c r="J26" s="29" t="n"/>
      <c r="K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p.20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  <c r="J27" s="29" t="n"/>
      <c r="K27" s="29" t="inlineStr">
        <is>
          <t>수집 완료, 01 미삽입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p.21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  <c r="J28" s="29" t="inlineStr">
        <is>
          <t>O</t>
        </is>
      </c>
      <c r="K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p.21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  <c r="J29" s="29" t="n"/>
      <c r="K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p.22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  <c r="J30" s="29" t="n"/>
      <c r="K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p.22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  <c r="J31" s="29" t="inlineStr">
        <is>
          <t>O</t>
        </is>
      </c>
      <c r="K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p.23~24</t>
        </is>
      </c>
      <c r="E32" s="29" t="inlineStr">
        <is>
          <t>[사진 1]</t>
        </is>
      </c>
      <c r="F32" s="30" t="inlineStr">
        <is>
          <t>SW(WMS) 재고실사 관리 – 실사 생성(대상 유형·기간 지정) 및 실사 목록</t>
        </is>
      </c>
      <c r="G32" s="30" t="inlineStr">
        <is>
          <t>캡처</t>
        </is>
      </c>
      <c r="H32" s="29" t="n"/>
      <c r="I32" s="29" t="inlineStr">
        <is>
          <t>O</t>
        </is>
      </c>
      <c r="J32" s="29" t="inlineStr">
        <is>
          <t>O</t>
        </is>
      </c>
      <c r="K32" s="29" t="inlineStr">
        <is>
          <t>캡션 변경(기존: 재고실사 생성·수행 화면 캡처) / 01에 삽입 확인 → 수집 완료 처리</t>
        </is>
      </c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p.23~24</t>
        </is>
      </c>
      <c r="E33" s="29" t="inlineStr">
        <is>
          <t>[사진 2]</t>
        </is>
      </c>
      <c r="F33" s="30" t="inlineStr">
        <is>
          <t>SW(WMS) 재고실사 상세 – 창고·입고·선반·체크재고 비교 및 셀별 불일치 조정</t>
        </is>
      </c>
      <c r="G33" s="30" t="inlineStr">
        <is>
          <t>자료</t>
        </is>
      </c>
      <c r="H33" s="29" t="n"/>
      <c r="I33" s="29" t="inlineStr">
        <is>
          <t>O</t>
        </is>
      </c>
      <c r="J33" s="29" t="inlineStr">
        <is>
          <t>O</t>
        </is>
      </c>
      <c r="K33" s="29" t="inlineStr">
        <is>
          <t>캡션 변경(기존: 실사 결과 및 재고 조정 이력) / 01에 삽입 확인 → 수집 완료 처리</t>
        </is>
      </c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p.25</t>
        </is>
      </c>
      <c r="E34" s="29" t="inlineStr">
        <is>
          <t>[사진 1]</t>
        </is>
      </c>
      <c r="F34" s="30" t="inlineStr">
        <is>
          <t>SW(WMS) SKU 이동 처리 – 보충·이동 요청 등록 및 출발·도착 셀 지정</t>
        </is>
      </c>
      <c r="G34" s="30" t="inlineStr">
        <is>
          <t>캡처</t>
        </is>
      </c>
      <c r="H34" s="29" t="n"/>
      <c r="I34" s="29" t="inlineStr">
        <is>
          <t>O</t>
        </is>
      </c>
      <c r="J34" s="29" t="inlineStr">
        <is>
          <t>O</t>
        </is>
      </c>
      <c r="K34" s="29" t="inlineStr">
        <is>
          <t>01에 삽입 확인 → 수집 완료 처리</t>
        </is>
      </c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p.26</t>
        </is>
      </c>
      <c r="E35" s="29" t="inlineStr">
        <is>
          <t>[사진 1]</t>
        </is>
      </c>
      <c r="F35" s="30" t="inlineStr">
        <is>
          <t>SW(WMS) SKU 이동 관리 – 유형별 이동 요청·처리 실적(2026.01~10, 26,348건)</t>
        </is>
      </c>
      <c r="G35" s="30" t="inlineStr">
        <is>
          <t>캡처</t>
        </is>
      </c>
      <c r="H35" s="29" t="n"/>
      <c r="I35" s="29" t="inlineStr">
        <is>
          <t>O</t>
        </is>
      </c>
      <c r="J35" s="29" t="inlineStr">
        <is>
          <t>O</t>
        </is>
      </c>
      <c r="K35" s="29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p.27~28</t>
        </is>
      </c>
      <c r="E36" s="29" t="inlineStr">
        <is>
          <t>[사진 1]</t>
        </is>
      </c>
      <c r="F36" s="30" t="inlineStr">
        <is>
          <t>SW(WMS) 전체 대시보드 – 공정별 실시간 처리 현황 및 피킹존 재고부족·미출고 모니터링</t>
        </is>
      </c>
      <c r="G36" s="30" t="inlineStr">
        <is>
          <t>캡처</t>
        </is>
      </c>
      <c r="H36" s="29" t="n"/>
      <c r="I36" s="29" t="inlineStr">
        <is>
          <t>O</t>
        </is>
      </c>
      <c r="J36" s="29" t="inlineStr">
        <is>
          <t>O</t>
        </is>
      </c>
      <c r="K36" s="29" t="inlineStr">
        <is>
          <t>캡션 변경(기존: 전체 대시보드·대시보드 모니터 화면 캡처) / 01에 삽입 확인 → 수집 완료 처리</t>
        </is>
      </c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p.27~28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  <c r="J37" s="29" t="n"/>
      <c r="K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p.27~28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  <c r="J38" s="29" t="inlineStr">
        <is>
          <t>O</t>
        </is>
      </c>
      <c r="K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p.29</t>
        </is>
      </c>
      <c r="E39" s="29" t="inlineStr">
        <is>
          <t>[사진 1]</t>
        </is>
      </c>
      <c r="F39" s="30" t="inlineStr">
        <is>
          <t>SW(WMS) SKU 입출고 이력 – 동일 SKU 로트별 유통기한 순 출고(FEFO)</t>
        </is>
      </c>
      <c r="G39" s="30" t="inlineStr">
        <is>
          <t>캡처</t>
        </is>
      </c>
      <c r="H39" s="29" t="n"/>
      <c r="I39" s="29" t="inlineStr">
        <is>
          <t>O</t>
        </is>
      </c>
      <c r="J39" s="29" t="inlineStr">
        <is>
          <t>O</t>
        </is>
      </c>
      <c r="K39" s="29" t="inlineStr">
        <is>
          <t>캡션 변경(기존: 유통기한·로트 그룹핑 화면 및 자동 할당 결과 캡처) / 01에 삽입 확인 → 수집 완료 처리</t>
        </is>
      </c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p.30~31</t>
        </is>
      </c>
      <c r="E40" s="29" t="inlineStr">
        <is>
          <t>[사진 1]</t>
        </is>
      </c>
      <c r="F40" s="30" t="inlineStr">
        <is>
          <t>SW(WMS) 픽킹 리스트 생성 – 선택 주문 기준 생성(패킹장비 타입·정렬 기준·피킹 시작 지점 지정)</t>
        </is>
      </c>
      <c r="G40" s="30" t="inlineStr">
        <is>
          <t>캡처</t>
        </is>
      </c>
      <c r="H40" s="29" t="n"/>
      <c r="I40" s="29" t="inlineStr">
        <is>
          <t>O</t>
        </is>
      </c>
      <c r="J40" s="29" t="inlineStr">
        <is>
          <t>O</t>
        </is>
      </c>
      <c r="K40" s="29" t="inlineStr">
        <is>
          <t>캡션 변경(기존: 픽킹 리스트 생성·관리 화면 캡처) / 01에 삽입 확인 → 수집 완료 처리</t>
        </is>
      </c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p.30~31</t>
        </is>
      </c>
      <c r="E41" s="29" t="inlineStr">
        <is>
          <t>[사진 2]</t>
        </is>
      </c>
      <c r="F41" s="29" t="inlineStr">
        <is>
          <t>SW 모바일(PDA) 피킹 리스트 관리 – 타입별 피킹 현황 및 작업자 피킹 지시 목록</t>
        </is>
      </c>
      <c r="G41" s="30" t="inlineStr">
        <is>
          <t>캡처</t>
        </is>
      </c>
      <c r="H41" s="29" t="n"/>
      <c r="I41" s="29" t="inlineStr">
        <is>
          <t>O</t>
        </is>
      </c>
      <c r="J41" s="29" t="inlineStr">
        <is>
          <t>O</t>
        </is>
      </c>
      <c r="K41" s="29" t="inlineStr">
        <is>
          <t>캡션 변경(기존: PDA 피킹 지시 화면) / 01에 삽입 확인 → 수집 완료 처리</t>
        </is>
      </c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p.30~31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  <c r="J42" s="29" t="inlineStr">
        <is>
          <t>O</t>
        </is>
      </c>
      <c r="K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p.32~33</t>
        </is>
      </c>
      <c r="E43" s="29" t="inlineStr">
        <is>
          <t>[사진 1]</t>
        </is>
      </c>
      <c r="F43" s="29" t="inlineStr">
        <is>
          <t>SW 모바일(PDA) 피킹 화면 – SKU별 로케이션·지시수량 확인 및 스캔 수량 입력</t>
        </is>
      </c>
      <c r="G43" s="30" t="inlineStr">
        <is>
          <t>캡처</t>
        </is>
      </c>
      <c r="H43" s="29" t="n"/>
      <c r="I43" s="29" t="inlineStr">
        <is>
          <t>O</t>
        </is>
      </c>
      <c r="J43" s="29" t="inlineStr">
        <is>
          <t>O</t>
        </is>
      </c>
      <c r="K43" s="29" t="inlineStr">
        <is>
          <t>캡션 변경(기존: PDA 피킹 화면) / 01에 삽입 확인 → 수집 완료 처리</t>
        </is>
      </c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p.32~33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  <c r="J44" s="29" t="n"/>
      <c r="K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p.34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  <c r="J45" s="29" t="inlineStr">
        <is>
          <t>O</t>
        </is>
      </c>
      <c r="K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p.35~36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  <c r="J46" s="29" t="n"/>
      <c r="K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p.35~36</t>
        </is>
      </c>
      <c r="E47" s="29" t="inlineStr">
        <is>
          <t>[사진 2]</t>
        </is>
      </c>
      <c r="F47" s="29" t="inlineStr">
        <is>
          <t>SW 모바일(PDA) 피킹 스캔 검증 – 지시에 없는 SKU 스캔 시 경고·진행 차단</t>
        </is>
      </c>
      <c r="G47" s="30" t="inlineStr">
        <is>
          <t>캡처</t>
        </is>
      </c>
      <c r="H47" s="29" t="n"/>
      <c r="I47" s="29" t="inlineStr">
        <is>
          <t>O</t>
        </is>
      </c>
      <c r="J47" s="29" t="inlineStr">
        <is>
          <t>O</t>
        </is>
      </c>
      <c r="K47" s="29" t="inlineStr">
        <is>
          <t>캡션 변경(기존: PDA 스캔 검증 화면) / 01에 삽입 확인 → 수집 완료 처리</t>
        </is>
      </c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p.37</t>
        </is>
      </c>
      <c r="E48" s="29" t="inlineStr">
        <is>
          <t>[사진 1]</t>
        </is>
      </c>
      <c r="F48" s="30" t="inlineStr">
        <is>
          <t>SW(WMS) 슈트 설정 – 슈트번호별 라우트·소트코드 매핑</t>
        </is>
      </c>
      <c r="G48" s="30" t="inlineStr">
        <is>
          <t>캡처</t>
        </is>
      </c>
      <c r="H48" s="29" t="n"/>
      <c r="I48" s="29" t="inlineStr">
        <is>
          <t>O</t>
        </is>
      </c>
      <c r="J48" s="29" t="inlineStr">
        <is>
          <t>O</t>
        </is>
      </c>
      <c r="K48" s="29" t="inlineStr">
        <is>
          <t>캡션 변경(기존: 슈트 설정 화면 캡처) / 01에 삽입 확인 → 수집 완료 처리</t>
        </is>
      </c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p.37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  <c r="J49" s="29" t="n"/>
      <c r="K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p.38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  <c r="J50" s="29" t="n"/>
      <c r="K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p.38</t>
        </is>
      </c>
      <c r="E51" s="29" t="inlineStr">
        <is>
          <t>[사진 2]</t>
        </is>
      </c>
      <c r="F51" s="30" t="inlineStr">
        <is>
          <t>SW(WMS) 소터 모니터링 – 투입구(DWS)별·시간대별 분류 처리 건수</t>
        </is>
      </c>
      <c r="G51" s="30" t="inlineStr">
        <is>
          <t>캡처</t>
        </is>
      </c>
      <c r="H51" s="29" t="n"/>
      <c r="I51" s="29" t="inlineStr">
        <is>
          <t>O</t>
        </is>
      </c>
      <c r="J51" s="29" t="inlineStr">
        <is>
          <t>O</t>
        </is>
      </c>
      <c r="K51" s="29" t="inlineStr">
        <is>
          <t>캡션 변경(기존: 소터 모니터링 화면 캡처) / 01에 삽입 확인 → 수집 완료 처리</t>
        </is>
      </c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p.39</t>
        </is>
      </c>
      <c r="E52" s="29" t="inlineStr">
        <is>
          <t>[사진 1]</t>
        </is>
      </c>
      <c r="F52" s="30" t="inlineStr">
        <is>
          <t>SW(WMS) 픽킹 리스트 관리 – 피킹·패킹 진행 현황 및 패킹 대기 작업 실시간 조회</t>
        </is>
      </c>
      <c r="G52" s="30" t="inlineStr">
        <is>
          <t>캡처</t>
        </is>
      </c>
      <c r="H52" s="29" t="n"/>
      <c r="I52" s="29" t="inlineStr">
        <is>
          <t>O</t>
        </is>
      </c>
      <c r="J52" s="29" t="inlineStr">
        <is>
          <t>O</t>
        </is>
      </c>
      <c r="K52" s="29" t="inlineStr">
        <is>
          <t>캡션 변경(기존: 패킹 리스트 화면 캡처) / 01에 삽입 확인 → 수집 완료 처리</t>
        </is>
      </c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p.39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  <c r="J53" s="29" t="n"/>
      <c r="K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p.40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  <c r="J54" s="29" t="n"/>
      <c r="K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p.40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  <c r="J55" s="29" t="inlineStr">
        <is>
          <t>O</t>
        </is>
      </c>
      <c r="K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p.41~42</t>
        </is>
      </c>
      <c r="E56" s="29" t="inlineStr">
        <is>
          <t>[사진 1]</t>
        </is>
      </c>
      <c r="F56" s="30" t="inlineStr">
        <is>
          <t>SW(WMS) 출고 검품 – SKU 스캔 검품·녹화 시작·박스/완충재 자동 선택·출고 처리</t>
        </is>
      </c>
      <c r="G56" s="30" t="inlineStr">
        <is>
          <t>캡처</t>
        </is>
      </c>
      <c r="H56" s="29" t="n"/>
      <c r="I56" s="29" t="inlineStr">
        <is>
          <t>O</t>
        </is>
      </c>
      <c r="J56" s="29" t="inlineStr">
        <is>
          <t>O</t>
        </is>
      </c>
      <c r="K56" s="29" t="inlineStr">
        <is>
          <t>캡션 변경(기존: 검품 스캔 화면) / 01에 삽입 확인 → 수집 완료 처리</t>
        </is>
      </c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p.41~42</t>
        </is>
      </c>
      <c r="E57" s="29" t="inlineStr">
        <is>
          <t>[사진 2]</t>
        </is>
      </c>
      <c r="F57" s="30" t="inlineStr">
        <is>
          <t>SW(WMS) 주문 상세 – 패킹 녹화 영상(카메라 2대) 주문별 매핑</t>
        </is>
      </c>
      <c r="G57" s="30" t="inlineStr">
        <is>
          <t>캡처</t>
        </is>
      </c>
      <c r="H57" s="29" t="n"/>
      <c r="I57" s="29" t="inlineStr">
        <is>
          <t>O</t>
        </is>
      </c>
      <c r="J57" s="29" t="inlineStr">
        <is>
          <t>O</t>
        </is>
      </c>
      <c r="K57" s="29" t="inlineStr">
        <is>
          <t>캡션 변경(기존: 녹화 영상 조회 화면 캡처) / 01에 삽입 확인 → 수집 완료 처리</t>
        </is>
      </c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p.41~42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  <c r="J58" s="29" t="n"/>
      <c r="K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p.41~42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  <c r="J59" s="29" t="n"/>
      <c r="K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p.43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  <c r="J60" s="29" t="n"/>
      <c r="K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p.44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  <c r="J61" s="29" t="n"/>
      <c r="K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p.44</t>
        </is>
      </c>
      <c r="E62" s="29" t="inlineStr">
        <is>
          <t>[사진 2]</t>
        </is>
      </c>
      <c r="F62" s="30" t="inlineStr">
        <is>
          <t>SW(WMS) 주문 상세 – 택배사·송장번호 자동 매칭 및 박스·완충재·무게 기록</t>
        </is>
      </c>
      <c r="G62" s="30" t="inlineStr">
        <is>
          <t>캡처</t>
        </is>
      </c>
      <c r="H62" s="29" t="n"/>
      <c r="I62" s="29" t="inlineStr">
        <is>
          <t>O</t>
        </is>
      </c>
      <c r="J62" s="29" t="inlineStr">
        <is>
          <t>O</t>
        </is>
      </c>
      <c r="K62" s="29" t="inlineStr">
        <is>
          <t>캡션 변경(기존: 송장 출력 화면) / 01에 삽입 확인 → 수집 완료 처리</t>
        </is>
      </c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p.45~46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  <c r="J63" s="29" t="n"/>
      <c r="K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p.45~46</t>
        </is>
      </c>
      <c r="E64" s="29" t="inlineStr">
        <is>
          <t>[사진 2]</t>
        </is>
      </c>
      <c r="F64" s="30" t="inlineStr">
        <is>
          <t>SW 모바일(PDA) 번들 작업 – MAWB·Route 확인 및 Route 불일치 화물 스캔 차단</t>
        </is>
      </c>
      <c r="G64" s="30" t="inlineStr">
        <is>
          <t>캡처</t>
        </is>
      </c>
      <c r="H64" s="29" t="n"/>
      <c r="I64" s="29" t="inlineStr">
        <is>
          <t>O</t>
        </is>
      </c>
      <c r="J64" s="29" t="inlineStr">
        <is>
          <t>O</t>
        </is>
      </c>
      <c r="K64" s="29" t="inlineStr">
        <is>
          <t>캡션 변경(기존: 번들 검증 PDA 화면) / 01에 삽입 확인 → 수집 완료 처리</t>
        </is>
      </c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p.47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  <c r="J65" s="29" t="n"/>
      <c r="K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p.47</t>
        </is>
      </c>
      <c r="E66" s="29" t="inlineStr">
        <is>
          <t>[사진 2]</t>
        </is>
      </c>
      <c r="F66" s="29" t="inlineStr">
        <is>
          <t>TMS MAWB 상세 – 항공편 출항·입항 일정 및 Flight Confirm 관리</t>
        </is>
      </c>
      <c r="G66" s="30" t="inlineStr">
        <is>
          <t>캡처</t>
        </is>
      </c>
      <c r="H66" s="29" t="n"/>
      <c r="I66" s="29" t="inlineStr">
        <is>
          <t>O</t>
        </is>
      </c>
      <c r="J66" s="29" t="inlineStr">
        <is>
          <t>O</t>
        </is>
      </c>
      <c r="K66" s="29" t="inlineStr">
        <is>
          <t>캡션 변경(기존: TLPS 인계 일정 화면) / 01에 삽입 확인 → 수집 완료 처리</t>
        </is>
      </c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p.48~49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  <c r="J67" s="29" t="n"/>
      <c r="K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p.48~49</t>
        </is>
      </c>
      <c r="E68" s="29" t="inlineStr">
        <is>
          <t>[사진 2]</t>
        </is>
      </c>
      <c r="F68" s="30" t="inlineStr">
        <is>
          <t>SW 모바일(PDA) MAWB·번들팩 조회 – 출발 일정별 MAWB 확정 및 번들팩별 수량·무게 확인</t>
        </is>
      </c>
      <c r="G68" s="30" t="inlineStr">
        <is>
          <t>캡처</t>
        </is>
      </c>
      <c r="H68" s="29" t="n"/>
      <c r="I68" s="29" t="inlineStr">
        <is>
          <t>O</t>
        </is>
      </c>
      <c r="J68" s="29" t="inlineStr">
        <is>
          <t>O</t>
        </is>
      </c>
      <c r="K68" s="29" t="inlineStr">
        <is>
          <t>캡션 변경(기존: 인계 확인(스캔) 화면) / 01에 삽입 확인 → 수집 완료 처리</t>
        </is>
      </c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p.50~51</t>
        </is>
      </c>
      <c r="E69" s="29" t="inlineStr">
        <is>
          <t>[사진 1]</t>
        </is>
      </c>
      <c r="F69" s="30" t="inlineStr">
        <is>
          <t>TX 어드민 배송 추적 – 포장번호별 출고·DPC 입고·간선 이동 이력 실시간 조회</t>
        </is>
      </c>
      <c r="G69" s="30" t="inlineStr">
        <is>
          <t>캡처</t>
        </is>
      </c>
      <c r="H69" s="29" t="n"/>
      <c r="I69" s="29" t="inlineStr">
        <is>
          <t>O</t>
        </is>
      </c>
      <c r="J69" s="29" t="inlineStr">
        <is>
          <t>O</t>
        </is>
      </c>
      <c r="K69" s="29" t="inlineStr">
        <is>
          <t>캡션 변경(기존: 출고 확정·송장 조회 화면) / 01에 삽입 확인 → 수집 완료 처리</t>
        </is>
      </c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p.50~51</t>
        </is>
      </c>
      <c r="E70" s="29" t="inlineStr">
        <is>
          <t>[사진 2]</t>
        </is>
      </c>
      <c r="F70" s="30" t="inlineStr">
        <is>
          <t>Smartship(OMS) 배송 현황 – 출고 후 배송 단계·배송사·송장번호 자동 연동</t>
        </is>
      </c>
      <c r="G70" s="30" t="inlineStr">
        <is>
          <t>캡처</t>
        </is>
      </c>
      <c r="H70" s="29" t="n"/>
      <c r="I70" s="29" t="inlineStr">
        <is>
          <t>O</t>
        </is>
      </c>
      <c r="J70" s="29" t="inlineStr">
        <is>
          <t>O</t>
        </is>
      </c>
      <c r="K70" s="29" t="inlineStr">
        <is>
          <t>캡션 변경(기존: 출고 영상 매핑 화면) / 01에 삽입 확인 → 수집 완료 처리</t>
        </is>
      </c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p.52~53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  <c r="J71" s="29" t="n"/>
      <c r="K71" s="29" t="n"/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p.52~53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  <c r="J72" s="29" t="n"/>
      <c r="K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p.52~53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  <c r="J73" s="29" t="n"/>
      <c r="K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p.54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자료</t>
        </is>
      </c>
      <c r="H74" s="29" t="n"/>
      <c r="I74" s="29" t="n"/>
      <c r="J74" s="29" t="n"/>
      <c r="K74" s="29" t="inlineStr">
        <is>
          <t>유형 정정(사진→자료)</t>
        </is>
      </c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p.54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  <c r="J75" s="29" t="n"/>
      <c r="K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p.55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  <c r="J76" s="29" t="n"/>
      <c r="K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p.55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  <c r="J77" s="29" t="n"/>
      <c r="K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p.56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  <c r="J78" s="29" t="n"/>
      <c r="K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p.56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  <c r="J79" s="29" t="n"/>
      <c r="K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p.56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  <c r="J80" s="29" t="n"/>
      <c r="K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p.57~58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  <c r="J81" s="29" t="n"/>
      <c r="K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p.57~58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  <c r="J82" s="29" t="n"/>
      <c r="K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p.57~58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  <c r="J83" s="29" t="n"/>
      <c r="K83" s="29" t="inlineStr">
        <is>
          <t>수집 완료, 01 미삽입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p.57~58</t>
        </is>
      </c>
      <c r="E84" s="29" t="inlineStr">
        <is>
          <t>[사진 4]</t>
        </is>
      </c>
      <c r="F84" s="30" t="inlineStr">
        <is>
          <t>SW(WMS) 공정별 인원관리 – 공정별 현재 투입 인원 실시간 파악(비상 시 인원 확인)</t>
        </is>
      </c>
      <c r="G84" s="30" t="inlineStr">
        <is>
          <t>캡처</t>
        </is>
      </c>
      <c r="H84" s="29" t="n"/>
      <c r="I84" s="29" t="inlineStr">
        <is>
          <t>O</t>
        </is>
      </c>
      <c r="J84" s="29" t="inlineStr">
        <is>
          <t>O</t>
        </is>
      </c>
      <c r="K84" s="29" t="inlineStr">
        <is>
          <t>캡션 변경(기존: 작업자 추적(QR) 화면) / 01에 삽입 확인 → 수집 완료 처리</t>
        </is>
      </c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p.57~58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  <c r="J85" s="29" t="n"/>
      <c r="K85" s="29" t="inlineStr">
        <is>
          <t>수집 완료, 01 미삽입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p.59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  <c r="J86" s="29" t="n"/>
      <c r="K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p.59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  <c r="J87" s="29" t="n"/>
      <c r="K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p.60</t>
        </is>
      </c>
      <c r="E88" s="29" t="inlineStr">
        <is>
          <t>[사진 1]</t>
        </is>
      </c>
      <c r="F88" s="30" t="inlineStr">
        <is>
          <t>SW(WMS) 공정별 인원 관리 – 공정별·인원별 작업자 수·처리량·작업시간 집계</t>
        </is>
      </c>
      <c r="G88" s="30" t="inlineStr">
        <is>
          <t>캡처</t>
        </is>
      </c>
      <c r="H88" s="29" t="n"/>
      <c r="I88" s="29" t="inlineStr">
        <is>
          <t>O</t>
        </is>
      </c>
      <c r="J88" s="29" t="inlineStr">
        <is>
          <t>O</t>
        </is>
      </c>
      <c r="K88" s="29" t="inlineStr">
        <is>
          <t>캡션 변경(기존: 작업자 추적 화면·리포트 캡처) / 01에 삽입 확인 → 수집 완료 처리</t>
        </is>
      </c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p.60</t>
        </is>
      </c>
      <c r="E89" s="29" t="inlineStr">
        <is>
          <t>[사진 2]</t>
        </is>
      </c>
      <c r="F89" s="30" t="inlineStr">
        <is>
          <t>최근 3년 UPH 실적표</t>
        </is>
      </c>
      <c r="G89" s="30" t="inlineStr">
        <is>
          <t>자료</t>
        </is>
      </c>
      <c r="H89" s="29" t="n"/>
      <c r="I89" s="29" t="n"/>
      <c r="J89" s="29" t="n"/>
      <c r="K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p.61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  <c r="J90" s="29" t="n"/>
      <c r="K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p.61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  <c r="J91" s="29" t="n"/>
      <c r="K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p.61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  <c r="J92" s="29" t="n"/>
      <c r="K92" s="29" t="inlineStr">
        <is>
          <t>수집 완료, 01 미삽입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p.62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  <c r="J93" s="29" t="n"/>
      <c r="K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p.62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  <c r="J94" s="29" t="n"/>
      <c r="K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p.62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  <c r="J95" s="29" t="n"/>
      <c r="K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p.63~64</t>
        </is>
      </c>
      <c r="E96" s="29" t="inlineStr">
        <is>
          <t>[사진 1]</t>
        </is>
      </c>
      <c r="F96" s="29" t="inlineStr">
        <is>
          <t>Smartship(OMS) 주문 관리 – 판매채널 API 주문 자동 수집 및 풀필먼트 출고 상태 관리</t>
        </is>
      </c>
      <c r="G96" s="30" t="inlineStr">
        <is>
          <t>캡처</t>
        </is>
      </c>
      <c r="H96" s="29" t="n"/>
      <c r="I96" s="29" t="inlineStr">
        <is>
          <t>O</t>
        </is>
      </c>
      <c r="J96" s="29" t="inlineStr">
        <is>
          <t>O</t>
        </is>
      </c>
      <c r="K96" s="29" t="inlineStr">
        <is>
          <t>캡션 변경(기존: Smartship 주문 수집·검증 화면) / 01에 삽입 확인 → 수집 완료 처리</t>
        </is>
      </c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p.63~64</t>
        </is>
      </c>
      <c r="E97" s="29" t="inlineStr">
        <is>
          <t>[사진 2]</t>
        </is>
      </c>
      <c r="F97" s="30" t="inlineStr">
        <is>
          <t>Smartship(OMS) 쇼핑몰 주문 연동 – 판매채널별 API 자동 수집 결과</t>
        </is>
      </c>
      <c r="G97" s="30" t="inlineStr">
        <is>
          <t>캡처</t>
        </is>
      </c>
      <c r="H97" s="29" t="n"/>
      <c r="I97" s="29" t="inlineStr">
        <is>
          <t>O</t>
        </is>
      </c>
      <c r="J97" s="29" t="inlineStr">
        <is>
          <t>O</t>
        </is>
      </c>
      <c r="K97" s="29" t="inlineStr">
        <is>
          <t>캡션 변경(기존: 채널 연동 현황 화면) / 01에 삽입 확인 → 수집 완료 처리</t>
        </is>
      </c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p.65~66</t>
        </is>
      </c>
      <c r="E98" s="29" t="inlineStr">
        <is>
          <t>[사진 1]</t>
        </is>
      </c>
      <c r="F98" s="30" t="inlineStr">
        <is>
          <t>SW(WMS) 입고 확정 – 도착완료·입고완료 처리 및 재고 반영</t>
        </is>
      </c>
      <c r="G98" s="30" t="inlineStr">
        <is>
          <t>캡처</t>
        </is>
      </c>
      <c r="H98" s="29" t="n"/>
      <c r="I98" s="29" t="inlineStr">
        <is>
          <t>O</t>
        </is>
      </c>
      <c r="J98" s="29" t="inlineStr">
        <is>
          <t>O</t>
        </is>
      </c>
      <c r="K98" s="29" t="inlineStr">
        <is>
          <t>10.14 Word 캡션 수정(이미지 속 캡션과 불일치였음)</t>
        </is>
      </c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p.65~66</t>
        </is>
      </c>
      <c r="E99" s="29" t="inlineStr">
        <is>
          <t>[사진 2]</t>
        </is>
      </c>
      <c r="F99" s="29" t="inlineStr">
        <is>
          <t>TMS MAWB 상세 – 항공편 출항·입항 일정 및 Flight Confirm 관리</t>
        </is>
      </c>
      <c r="G99" s="30" t="inlineStr">
        <is>
          <t>캡처</t>
        </is>
      </c>
      <c r="H99" s="29" t="n"/>
      <c r="I99" s="29" t="inlineStr">
        <is>
          <t>O</t>
        </is>
      </c>
      <c r="J99" s="29" t="inlineStr">
        <is>
          <t>O</t>
        </is>
      </c>
      <c r="K99" s="29" t="inlineStr">
        <is>
          <t>10.14 Word 캡션 수정(이미지 속 캡션과 불일치였음)</t>
        </is>
      </c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p.67</t>
        </is>
      </c>
      <c r="E100" s="29" t="inlineStr">
        <is>
          <t>[사진 1]</t>
        </is>
      </c>
      <c r="F100" s="30" t="inlineStr">
        <is>
          <t>SW(WMS) 재고실사 관리 – 실사 생성(대상 유형·기간 지정) 및 실사 목록</t>
        </is>
      </c>
      <c r="G100" s="30" t="inlineStr">
        <is>
          <t>캡처</t>
        </is>
      </c>
      <c r="H100" s="29" t="n"/>
      <c r="I100" s="29" t="inlineStr">
        <is>
          <t>O</t>
        </is>
      </c>
      <c r="J100" s="29" t="inlineStr">
        <is>
          <t>O</t>
        </is>
      </c>
      <c r="K100" s="29" t="inlineStr">
        <is>
          <t>10.14 Word 캡션 수정(이미지 속 캡션과 불일치였음)</t>
        </is>
      </c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p.68</t>
        </is>
      </c>
      <c r="E101" s="29" t="inlineStr">
        <is>
          <t>[사진 1]</t>
        </is>
      </c>
      <c r="F101" s="30" t="inlineStr">
        <is>
          <t>SW(WMS) 창고 레이아웃 관리 – Zone·Block·설비(소터·DWS) 배치 등록</t>
        </is>
      </c>
      <c r="G101" s="30" t="inlineStr">
        <is>
          <t>캡처</t>
        </is>
      </c>
      <c r="H101" s="29" t="n"/>
      <c r="I101" s="29" t="inlineStr">
        <is>
          <t>O</t>
        </is>
      </c>
      <c r="J101" s="29" t="inlineStr">
        <is>
          <t>O</t>
        </is>
      </c>
      <c r="K101" s="29" t="inlineStr">
        <is>
          <t>캡션 변경(기존: 레이아웃관리·디바이스·작업자 추적 화면) / 01에 삽입 확인 → 수집 완료 처리</t>
        </is>
      </c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p.69~70</t>
        </is>
      </c>
      <c r="E102" s="29" t="inlineStr">
        <is>
          <t>[사진 1]</t>
        </is>
      </c>
      <c r="F102" s="30" t="inlineStr">
        <is>
          <t>SW(WMS) 전체 대시보드 – 풀필먼트 공정별 처리 현황</t>
        </is>
      </c>
      <c r="G102" s="30" t="inlineStr">
        <is>
          <t>캡처</t>
        </is>
      </c>
      <c r="H102" s="29" t="n"/>
      <c r="I102" s="29" t="inlineStr">
        <is>
          <t>O</t>
        </is>
      </c>
      <c r="J102" s="29" t="inlineStr">
        <is>
          <t>O</t>
        </is>
      </c>
      <c r="K102" s="29" t="inlineStr">
        <is>
          <t>유형 정정(사진→캡처) / 캡션 변경(기존: 풀필먼트 주문관리 대시보드) / 01에 삽입 확인 → 수집 완료 처리</t>
        </is>
      </c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p.69~70</t>
        </is>
      </c>
      <c r="E103" s="29" t="inlineStr">
        <is>
          <t>[사진 2]</t>
        </is>
      </c>
      <c r="F103" s="30" t="inlineStr">
        <is>
          <t>SW(WMS) 고객반품 관리 – 반품 주문 등록·DPC 도착·검품·셀러 확인·최종 완료 단계 관리</t>
        </is>
      </c>
      <c r="G103" s="30" t="inlineStr">
        <is>
          <t>캡처</t>
        </is>
      </c>
      <c r="H103" s="29" t="n"/>
      <c r="I103" s="29" t="inlineStr">
        <is>
          <t>O</t>
        </is>
      </c>
      <c r="J103" s="29" t="inlineStr">
        <is>
          <t>O</t>
        </is>
      </c>
      <c r="K103" s="29" t="inlineStr">
        <is>
          <t>캡션 변경(기존: 반품 출고 관리 화면) / 01에 삽입 확인 → 수집 완료 처리</t>
        </is>
      </c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p.69~70</t>
        </is>
      </c>
      <c r="E104" s="29" t="inlineStr">
        <is>
          <t>[사진 3]</t>
        </is>
      </c>
      <c r="F104" s="30" t="inlineStr">
        <is>
          <t>SW(WMS) 오류화물(펜딩) 관리 – SKU 미정의·재고 부족·통관 품목·경로 검증 등 유형별 보류 처리</t>
        </is>
      </c>
      <c r="G104" s="30" t="inlineStr">
        <is>
          <t>캡처</t>
        </is>
      </c>
      <c r="H104" s="29" t="n"/>
      <c r="I104" s="29" t="inlineStr">
        <is>
          <t>O</t>
        </is>
      </c>
      <c r="J104" s="29" t="inlineStr">
        <is>
          <t>O</t>
        </is>
      </c>
      <c r="K104" s="29" t="inlineStr">
        <is>
          <t>캡션 변경(기존: 오류화물 관리 화면) / 01에 삽입 확인 → 수집 완료 처리</t>
        </is>
      </c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p.71</t>
        </is>
      </c>
      <c r="E105" s="29" t="inlineStr">
        <is>
          <t>[사진 1]</t>
        </is>
      </c>
      <c r="F105" s="30" t="inlineStr">
        <is>
          <t>SW(WMS) 소터 모니터링 – 투입구(DWS)별·시간대별 분류 처리 건수</t>
        </is>
      </c>
      <c r="G105" s="30" t="inlineStr">
        <is>
          <t>캡처</t>
        </is>
      </c>
      <c r="H105" s="29" t="n"/>
      <c r="I105" s="29" t="inlineStr">
        <is>
          <t>O</t>
        </is>
      </c>
      <c r="J105" s="29" t="inlineStr">
        <is>
          <t>O</t>
        </is>
      </c>
      <c r="K105" s="29" t="inlineStr">
        <is>
          <t>10.14 Word 캡션 수정(이미지 속 캡션과 불일치였음)</t>
        </is>
      </c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p.71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  <c r="J106" s="29" t="n"/>
      <c r="K106" s="29" t="n"/>
    </row>
    <row r="108">
      <c r="B108" s="48" t="inlineStr">
        <is>
          <t>집계 (2026.10.14, Ⅳ장 사진 2칸 별도)</t>
        </is>
      </c>
    </row>
    <row r="109">
      <c r="B109" s="23" t="inlineStr">
        <is>
          <t>전체 증빙 칸</t>
        </is>
      </c>
      <c r="C109" s="23">
        <f>COUNTA(F4:F106)</f>
        <v/>
      </c>
    </row>
    <row r="110">
      <c r="B110" s="23" t="inlineStr">
        <is>
          <t>수집 완료(O)</t>
        </is>
      </c>
      <c r="C110" s="23">
        <f>COUNTIF(I4:I106,"O")</f>
        <v/>
      </c>
    </row>
    <row r="111">
      <c r="B111" s="23" t="inlineStr">
        <is>
          <t>01 삽입(O)</t>
        </is>
      </c>
      <c r="C111" s="23">
        <f>COUNTIF(J4:J106,"O")</f>
        <v/>
      </c>
    </row>
    <row r="112">
      <c r="B112" s="23" t="inlineStr">
        <is>
          <t>미삽입 – 현장사진</t>
        </is>
      </c>
      <c r="C112" s="23">
        <f>COUNTIFS(G4:G106,"사진",J4:J106,"&lt;&gt;O")</f>
        <v/>
      </c>
    </row>
    <row r="113">
      <c r="B113" s="23" t="inlineStr">
        <is>
          <t>미삽입 – 시스템 캡처</t>
        </is>
      </c>
      <c r="C113" s="23">
        <f>COUNTIFS(G4:G106,"캡처",J4:J106,"&lt;&gt;O")</f>
        <v/>
      </c>
    </row>
    <row r="114">
      <c r="B114" s="23" t="inlineStr">
        <is>
          <t>미삽입 – 자료</t>
        </is>
      </c>
      <c r="C114" s="23">
        <f>COUNTIFS(G4:G106,"자료",J4:J106,"&lt;&gt;O")</f>
        <v/>
      </c>
    </row>
  </sheetData>
  <autoFilter ref="A3:K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2</v>
      </c>
      <c r="D4" s="30" t="inlineStr">
        <is>
          <t>도크레벨러 수량 확인 필요: 02 설계설명서는 1개소, Lay-out(2026.07.27)에는 2개소 표기. (10.06 조정으로 현재 2등급)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 (참고: 건축물대장상 건물 내진설계 적용·내진능력 VII-0.170g 확인 — 랙 내진은 별도 자료 필요)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2026-10-14T07:50:13Z</dcterms:modified>
  <cp:revision>0</cp:revision>
</cp:coreProperties>
</file>