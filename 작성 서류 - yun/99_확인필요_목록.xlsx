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파일별 추가 작성" sheetId="2" state="visible" r:id="rId2"/>
    <sheet xmlns:r="http://schemas.openxmlformats.org/officeDocument/2006/relationships" name="현장사진·증빙 목록" sheetId="3" state="visible" r:id="rId3"/>
  </sheets>
  <definedNames>
    <definedName name="_xlnm._FilterDatabase" localSheetId="0" hidden="1">'확인 필요'!$A$4:$K$33</definedName>
    <definedName name="_xlnm._FilterDatabase" localSheetId="1" hidden="1">'파일별 추가 작성'!$A$4:$I$59</definedName>
    <definedName name="_xlnm._FilterDatabase" localSheetId="2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3"/>
      <b val="1"/>
      <color rgb="FF1F3864"/>
      <sz val="13"/>
    </font>
    <font>
      <name val="맑은 고딕"/>
      <charset val="129"/>
      <family val="3"/>
      <color rgb="FF595959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0"/>
    </font>
    <font>
      <name val="Cambria Math"/>
      <family val="1"/>
      <sz val="10"/>
    </font>
  </fonts>
  <fills count="1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left" vertical="center" wrapText="1"/>
    </xf>
    <xf numFmtId="0" fontId="16" fillId="4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0" fontId="16" fillId="11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34"/>
  <sheetViews>
    <sheetView tabSelected="1" topLeftCell="C1" zoomScaleNormal="100" workbookViewId="0">
      <pane ySplit="4" topLeftCell="A7" activePane="bottomLeft" state="frozen"/>
      <selection pane="bottomLeft" activeCell="F27" sqref="F27"/>
    </sheetView>
  </sheetViews>
  <sheetFormatPr baseColWidth="8" defaultRowHeight="16.5"/>
  <cols>
    <col width="5" customWidth="1" min="1" max="1"/>
    <col width="11" customWidth="1" min="2" max="2"/>
    <col width="26" customWidth="1" min="3" max="3"/>
    <col width="33.125" customWidth="1" min="4" max="4"/>
    <col width="113.125" customWidth="1" min="5" max="5"/>
    <col width="28.75" customWidth="1" min="6" max="6"/>
    <col width="48" customWidth="1" min="7" max="7"/>
    <col width="20" customWidth="1" min="8" max="8"/>
    <col width="28" customWidth="1" min="9" max="9"/>
    <col width="11" customWidth="1" min="10" max="10"/>
    <col width="255.625" bestFit="1" customWidth="1" min="11" max="11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43" t="n"/>
      <c r="G4" s="3" t="inlineStr">
        <is>
          <t>확인 결과에 따른 처리</t>
        </is>
      </c>
      <c r="H4" s="3" t="inlineStr">
        <is>
          <t>점수 영향</t>
        </is>
      </c>
      <c r="I4" s="3" t="inlineStr">
        <is>
          <t>확인 결과(입력)</t>
        </is>
      </c>
      <c r="J4" s="3" t="inlineStr">
        <is>
          <t>상태</t>
        </is>
      </c>
      <c r="K4" s="18" t="inlineStr">
        <is>
          <t>처리 내용 (2026-10-07 반영)</t>
        </is>
      </c>
    </row>
    <row r="5" hidden="1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4" t="n"/>
      <c r="G5" s="4" t="inlineStr">
        <is>
          <t>설비 및 장비 칸에서 "휴대용 DWS" 삭제, 작성 메모(자동 계측 근거 시 3등급 검토) 삭제. 등급은 4등급 유지</t>
        </is>
      </c>
      <c r="H5" s="4" t="inlineStr">
        <is>
          <t>변동 없음 (14.0점)</t>
        </is>
      </c>
      <c r="I5" s="5" t="inlineStr">
        <is>
          <t>재고 입고 시 DWS 미사용</t>
        </is>
      </c>
      <c r="J5" s="19" t="inlineStr">
        <is>
          <t>반영 완료</t>
        </is>
      </c>
      <c r="K5" s="20" t="inlineStr">
        <is>
          <t>01 1.1.3 설비 칸에서 휴대용 DWS 삭제, 작성 메모 삭제. 4등급 유지</t>
        </is>
      </c>
    </row>
    <row r="6" hidden="1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4" t="n"/>
      <c r="G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H6" s="4" t="inlineStr">
        <is>
          <t>아니오일 때 −2.0점 (16.0→14.0, 총점 787.0→785.0)</t>
        </is>
      </c>
      <c r="I6" s="5" t="inlineStr">
        <is>
          <t xml:space="preserve">아니오 </t>
        </is>
      </c>
      <c r="J6" s="19" t="inlineStr">
        <is>
          <t>반영 완료</t>
        </is>
      </c>
      <c r="K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4" t="inlineStr">
        <is>
          <t xml:space="preserve">6대 </t>
        </is>
      </c>
      <c r="G7" s="4" t="inlineStr">
        <is>
          <t>공정 구분을 실제 사용처로 수정. 02·05·07의 DWS 수량(2대 등)과 통일</t>
        </is>
      </c>
      <c r="H7" s="4" t="inlineStr">
        <is>
          <t>없음 (문서 정합성)</t>
        </is>
      </c>
      <c r="I7" s="5" t="inlineStr">
        <is>
          <t>휴대용 DWS 없음, DWS 6대(투입구)</t>
        </is>
      </c>
      <c r="J7" s="6" t="inlineStr">
        <is>
          <t>일부 반영</t>
        </is>
      </c>
      <c r="K7" s="21" t="inlineStr">
        <is>
          <t>휴대용 dws가 없음  / 10.16: 휴대용 DWS 없음·DWS 6대 확인 → 02 입고 설비에서 휴대용 DWS 삭제. 04 명세서(yun 폴더 없음) 정정 필요</t>
        </is>
      </c>
    </row>
    <row r="8" hidden="1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4" t="n"/>
      <c r="G8" s="4" t="inlineStr">
        <is>
          <t>현재 "현장 단말에서"로 넓게 표현함. 확인되면 PDA 또는 PC로 구체화, [사진 3] 설명도 맞춤</t>
        </is>
      </c>
      <c r="H8" s="4" t="inlineStr">
        <is>
          <t>없음</t>
        </is>
      </c>
      <c r="I8" s="5" t="inlineStr">
        <is>
          <t xml:space="preserve">PDA+PC 둘 다. </t>
        </is>
      </c>
      <c r="J8" s="19" t="inlineStr">
        <is>
          <t>반영 완료</t>
        </is>
      </c>
      <c r="K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4" t="inlineStr">
        <is>
          <t xml:space="preserve">어드민에서 뽑기 </t>
        </is>
      </c>
      <c r="G9" s="4" t="inlineStr">
        <is>
          <t>개요표 [  ] 칸에 입력, 작성 메모 삭제</t>
        </is>
      </c>
      <c r="H9" s="4" t="inlineStr">
        <is>
          <t>없음 (필수 기재)</t>
        </is>
      </c>
      <c r="I9" s="5" t="inlineStr">
        <is>
          <t>처리물동량(박스, 영종센터 OPS+풀필먼트): 2026년 1~9월 3,706,125 / 2025년 6~12월 2,184,759(6월부터 집계, 1~5월 자료 없음). 매출액은 추후 수령(기준: 센터 물류서비스 매출, 플랫폼 이용료 제외)</t>
        </is>
      </c>
      <c r="J9" s="33" t="inlineStr">
        <is>
          <t>일부 반영</t>
        </is>
      </c>
      <c r="K9" s="21" t="inlineStr">
        <is>
          <t>2026-10-15: 물동량 반영 완료(2025.6~12·2026.1~9, 단위 박스로 통일). 남은 것: 종업원 수, 매출액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4" t="inlineStr">
        <is>
          <t>장윤진</t>
        </is>
      </c>
      <c r="G10" s="4" t="inlineStr">
        <is>
          <t>개요표 담당자 칸 입력 (신청서 기재안 실무담당자와 동일하게)</t>
        </is>
      </c>
      <c r="H10" s="4" t="inlineStr">
        <is>
          <t>없음</t>
        </is>
      </c>
      <c r="I10" s="5" t="inlineStr">
        <is>
          <t>장윤진</t>
        </is>
      </c>
      <c r="J10" s="6" t="inlineStr">
        <is>
          <t>일부 반영</t>
        </is>
      </c>
      <c r="K10" s="21" t="inlineStr">
        <is>
          <t>10.16: 01 Ⅲ 인증업무 담당자·① 실무담당자 성명 "장윤진" 기재. 직책·전화·E-mail 남음</t>
        </is>
      </c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4" t="inlineStr">
        <is>
          <t xml:space="preserve">운영너비 기준으로 </t>
        </is>
      </c>
      <c r="G11" s="4" t="inlineStr">
        <is>
          <t>확정 면적으로 01·02·05·⑧·신청서 기재안 통일</t>
        </is>
      </c>
      <c r="H11" s="4" t="inlineStr">
        <is>
          <t>없음 (문서 정합성)</t>
        </is>
      </c>
      <c r="I11" s="5" t="inlineStr">
        <is>
          <t>운영면적 기준</t>
        </is>
      </c>
      <c r="J11" s="6" t="inlineStr">
        <is>
          <t>반영 완료</t>
        </is>
      </c>
      <c r="K11" s="21" t="inlineStr">
        <is>
          <t>2026-10-14: 근거 자료 확보, 00 진행현황에 반영. 남은 것: 인증 대상 면적 기준(임차 vs 운영) 결정 후 01·02·05·⑧·① 통일 / 10.16: 인증 대상 면적 = 운영면적 2,845평(약 9,405㎡). 01(기존 표기 유지, 작성 메모 정리)·① 인증 대상 면적 수정. 05·⑧은 파일 없음</t>
        </is>
      </c>
    </row>
    <row r="12" hidden="1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4" t="n"/>
      <c r="G12" s="4" t="inlineStr">
        <is>
          <t>기존 초안 문서들의 상호 일괄 수정</t>
        </is>
      </c>
      <c r="H12" s="4" t="inlineStr">
        <is>
          <t>없음 (문서 정합성)</t>
        </is>
      </c>
      <c r="I12" s="5" t="inlineStr">
        <is>
          <t xml:space="preserve">가능 </t>
        </is>
      </c>
      <c r="J12" s="31" t="inlineStr">
        <is>
          <t>반영 완료</t>
        </is>
      </c>
      <c r="K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4" t="inlineStr">
        <is>
          <t xml:space="preserve">1개 </t>
        </is>
      </c>
      <c r="G13" s="4" t="inlineStr">
        <is>
          <t>01·02·04·05 수량 통일, 작성 메모 삭제</t>
        </is>
      </c>
      <c r="H13" s="4" t="inlineStr">
        <is>
          <t>없음</t>
        </is>
      </c>
      <c r="I13" s="5" t="inlineStr">
        <is>
          <t>1개소</t>
        </is>
      </c>
      <c r="J13" s="6" t="inlineStr">
        <is>
          <t>반영 완료</t>
        </is>
      </c>
      <c r="K13" s="21" t="inlineStr">
        <is>
          <t>10.16: 01 1.1.2 설비 칸 "도크레벨러 1개소", 작성 메모 삭제. 02 입고 설비 "도크레벨러 1개소"</t>
        </is>
      </c>
    </row>
    <row r="14" hidden="1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4" t="n"/>
      <c r="G14" s="4" t="inlineStr">
        <is>
          <t>있음 → 규칙 설명 추가, 2등급 검토 / 없음 → 3등급 유지, 메모 삭제</t>
        </is>
      </c>
      <c r="H14" s="4" t="inlineStr">
        <is>
          <t>있을 때 +3.0점</t>
        </is>
      </c>
      <c r="I14" s="5" t="inlineStr">
        <is>
          <t xml:space="preserve">기준이 있는데 기존 입고 위치 기준으로 추천함. </t>
        </is>
      </c>
      <c r="J14" s="19" t="inlineStr">
        <is>
          <t>반영 완료</t>
        </is>
      </c>
      <c r="K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4" t="n"/>
      <c r="G15" s="4" t="inlineStr">
        <is>
          <t>01 설비 칸·04 명세서에 추가. 전동이면 2.1.4 ⑥(친환경 에너지원) 적용 근거로도 활용</t>
        </is>
      </c>
      <c r="H15" s="4" t="inlineStr">
        <is>
          <t>없음 (2.1.4 등급에 영향 가능)</t>
        </is>
      </c>
      <c r="I15" s="5" t="inlineStr">
        <is>
          <t>전동 지게차(2.1.4 ⑥ V)</t>
        </is>
      </c>
      <c r="J15" s="33" t="inlineStr">
        <is>
          <t>일부 반영</t>
        </is>
      </c>
      <c r="K15" s="21" t="inlineStr">
        <is>
          <t>2026-10-13: 01 1.2.2 ④ 지게차 안전작업 수칙 추가, [사진 3] 서약서 추가. 남은 것: 지게차 보유 대수·전동/디젤 / 10.16: 01 2.1.4 ⑥(친환경 에너지원) 적용 — 전동 지게차 사용. 보유 대수는 미확인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4" t="inlineStr">
        <is>
          <t xml:space="preserve">화면에 추가 </t>
        </is>
      </c>
      <c r="G16" s="4" t="inlineStr">
        <is>
          <t>있음 → 증빙 첨부, 수치 기재 / 없음 → 3등급 유지 가능성 검토</t>
        </is>
      </c>
      <c r="H16" s="4" t="inlineStr">
        <is>
          <t>없을 때 하향 위험</t>
        </is>
      </c>
      <c r="I16" s="5" t="inlineStr">
        <is>
          <t>결과는 있는데 정확도는 제공되지 않는다면? (추가할 순 잇음)</t>
        </is>
      </c>
      <c r="J16" s="22" t="inlineStr">
        <is>
          <t>반영 대기</t>
        </is>
      </c>
      <c r="K16" s="20" t="inlineStr">
        <is>
          <t>01 1.3.1 작성 메모를 "실사 결과로 재고 정확도(일치 건 ÷ 실사 대상 건) 산출해 수치 기재"로 갱신. 수치 제공 시 본문 반영</t>
        </is>
      </c>
    </row>
    <row r="17" hidden="1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4" t="n"/>
      <c r="G17" s="4" t="inlineStr">
        <is>
          <t>자동 → 3등급 유지 / 수동 → 4등급으로 하향</t>
        </is>
      </c>
      <c r="H17" s="4" t="inlineStr">
        <is>
          <t>수동일 때 −2.5점</t>
        </is>
      </c>
      <c r="I17" s="5" t="inlineStr">
        <is>
          <t>보충 이동 실적 최근 1년 2건 – 보관·피킹 겸용 셀 운영으로 보충이 거의 필요 없음(2026-10-14 확인)</t>
        </is>
      </c>
      <c r="J17" s="19" t="inlineStr">
        <is>
          <t>반영 완료</t>
        </is>
      </c>
      <c r="K17" s="20" t="inlineStr">
        <is>
          <t>01 1.3.2 ①② 운영 실태에 맞게 수정, 자동 생성 문구 삭제, 3→4등급(−2.5점, 총점 789.0)</t>
        </is>
      </c>
    </row>
    <row r="18" hidden="1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4" t="n"/>
      <c r="G18" s="4" t="inlineStr">
        <is>
          <t>지원 → 3등급 유지, 화면 캡처 / 수기 확인뿐 → 4등급</t>
        </is>
      </c>
      <c r="H18" s="4" t="inlineStr">
        <is>
          <t>미지원일 때 −1.5점</t>
        </is>
      </c>
      <c r="I18" s="5" t="inlineStr">
        <is>
          <t xml:space="preserve">지원 </t>
        </is>
      </c>
      <c r="J18" s="19" t="inlineStr">
        <is>
          <t>반영 완료</t>
        </is>
      </c>
      <c r="K18" s="20" t="inlineStr">
        <is>
          <t>01 1.3.5 시스템·프로세스에 유통기한·로트 기준 자동 할당(FEFO/FIFO) 명시, 사진 1 교체, 3등급 유지, 작성 메모 삭제</t>
        </is>
      </c>
    </row>
    <row r="19" hidden="1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4" t="n"/>
      <c r="G19" s="4" t="inlineStr">
        <is>
          <t>있음 → 로직 설명·화면 추가, 2등급 검토 / 없음 → 3등급 유지</t>
        </is>
      </c>
      <c r="H19" s="4" t="inlineStr">
        <is>
          <t>있을 때 +2.0점</t>
        </is>
      </c>
      <c r="I19" s="5" t="inlineStr">
        <is>
          <t>있음</t>
        </is>
      </c>
      <c r="J19" s="19" t="inlineStr">
        <is>
          <t>반영 완료</t>
        </is>
      </c>
      <c r="K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idden="1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4" t="n"/>
      <c r="G20" s="4" t="inlineStr">
        <is>
          <t>정렬됨 → 3등급으로 상향 / 아님 → 4등급 유지</t>
        </is>
      </c>
      <c r="H20" s="4" t="inlineStr">
        <is>
          <t>정렬될 때 +1.0점</t>
        </is>
      </c>
      <c r="I20" s="5" t="inlineStr">
        <is>
          <t>정렬</t>
        </is>
      </c>
      <c r="J20" s="19" t="inlineStr">
        <is>
          <t>반영 완료</t>
        </is>
      </c>
      <c r="K20" s="20" t="inlineStr">
        <is>
          <t>01 1.4.3 4→3등급(+1.0점). 픽킹 리스트 로케이션 순 자동 정렬 명시, 자동화 수준 30→50%</t>
        </is>
      </c>
    </row>
    <row r="21" hidden="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4" t="n"/>
      <c r="G21" s="4" t="inlineStr">
        <is>
          <t>있음 → 3등급 이상 검토 / 없음 → 4등급 유지</t>
        </is>
      </c>
      <c r="H21" s="4" t="inlineStr">
        <is>
          <t>있을 때 +1.5점</t>
        </is>
      </c>
      <c r="I21" s="5" t="inlineStr">
        <is>
          <t xml:space="preserve">재고관리 기능만 있음. </t>
        </is>
      </c>
      <c r="J21" s="19" t="inlineStr">
        <is>
          <t>반영 완료</t>
        </is>
      </c>
      <c r="K21" s="20" t="inlineStr">
        <is>
          <t>01 1.5.2 4→3등급(+1.5점). 포장재 재고관리 기능 명시(③ 추가), 사진 2 추가. 규격 자동 추천은 없음으로 기재</t>
        </is>
      </c>
    </row>
    <row r="22" hidden="1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4" t="n"/>
      <c r="G22" s="4" t="inlineStr">
        <is>
          <t>가능 → 4등급으로 상향 / 불가 → 5등급 유지</t>
        </is>
      </c>
      <c r="H22" s="4" t="inlineStr">
        <is>
          <t>가능할 때 +2.0점</t>
        </is>
      </c>
      <c r="I22" s="5" t="inlineStr">
        <is>
          <t xml:space="preserve">불가 </t>
        </is>
      </c>
      <c r="J22" s="19" t="inlineStr">
        <is>
          <t>반영 완료</t>
        </is>
      </c>
      <c r="K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4" t="n"/>
      <c r="G23" s="4" t="inlineStr">
        <is>
          <t>현장·임대인(아레나스) 제원 확인 후 V/미적용 표시, 미적용 개수로 등급 재계산</t>
        </is>
      </c>
      <c r="H23" s="4" t="inlineStr">
        <is>
          <t>결과에 따라 2~4등급 (±2.0점)</t>
        </is>
      </c>
      <c r="I23" s="5" t="inlineStr">
        <is>
          <t>바닥 ⑧⑨ 적용</t>
        </is>
      </c>
      <c r="J23" s="6" t="inlineStr">
        <is>
          <t>반영 완료</t>
        </is>
      </c>
      <c r="K23" s="21" t="inlineStr">
        <is>
          <t>2026-10-15: 01 2.1.1 도크 10개 모두 V, 바닥 ⑥ V·판단근거 기재. 3등급 유지(바닥 ⑧⑨ 확인 대기 — 둘 다 적용이면 2등급 +2.0점). 2.1.1 [사진 1]은 실내 접안이 보이게 촬영 / 10.16: 바닥 ⑧⑨ V → 미적용 1개(⑦)로 2등급(+2.0점)</t>
        </is>
      </c>
    </row>
    <row r="24" hidden="1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4" t="n"/>
      <c r="G24" s="4" t="inlineStr">
        <is>
          <t>적용 → 1등급 / 미적용 → 2등급 유지</t>
        </is>
      </c>
      <c r="H24" s="4" t="inlineStr">
        <is>
          <t>적용일 때 +2.0점</t>
        </is>
      </c>
      <c r="I24" s="5" t="inlineStr">
        <is>
          <t>기둥 없음 (주 통로 내 장애 기둥 없음, 2026-10-07 답변)</t>
        </is>
      </c>
      <c r="J24" s="19" t="inlineStr">
        <is>
          <t>반영 완료</t>
        </is>
      </c>
      <c r="K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4" t="n"/>
      <c r="G25" s="4" t="inlineStr">
        <is>
          <t>모두 적용 → 1등급까지 가능, 미적용 개수로 재계산</t>
        </is>
      </c>
      <c r="H25" s="4" t="inlineStr">
        <is>
          <t>최대 +2.0점</t>
        </is>
      </c>
      <c r="I25" s="5" t="inlineStr">
        <is>
          <t>3개 모두 적용</t>
        </is>
      </c>
      <c r="J25" s="6" t="inlineStr">
        <is>
          <t>반영 완료</t>
        </is>
      </c>
      <c r="K25" s="21" t="inlineStr">
        <is>
          <t>10.16: ①④⑤ V → 미적용 0개로 1등급(+2.0점)</t>
        </is>
      </c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4" t="n"/>
      <c r="G26" s="4" t="inlineStr">
        <is>
          <t>미적용 개수로 재계산. 1개라도 미적용이면 4등급 이하</t>
        </is>
      </c>
      <c r="H26" s="4" t="inlineStr">
        <is>
          <t>미적용 시 −2.0점 이상</t>
        </is>
      </c>
      <c r="I26" s="5" t="inlineStr">
        <is>
          <t>①~④ 미적용</t>
        </is>
      </c>
      <c r="J26" s="6" t="inlineStr">
        <is>
          <t>반영 완료</t>
        </is>
      </c>
      <c r="K26" s="21" t="inlineStr">
        <is>
          <t>10.16: ①~④ 미적용, ⑤ 현장 확인 중, ⑥ V(전동 지게차) → 미적용 6개로 "미적용"(0점, −16.0점). 관리기준 수립·측정 기록 확보 시 상향 가능</t>
        </is>
      </c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4" t="n"/>
      <c r="G27" s="4" t="inlineStr">
        <is>
          <t>확보 → 3등급 유지 / 미확보 → 4등급</t>
        </is>
      </c>
      <c r="H27" s="4" t="inlineStr">
        <is>
          <t>미확보 시 −3.0점</t>
        </is>
      </c>
      <c r="I27" s="5" t="inlineStr">
        <is>
          <t>미확보(미적용)</t>
        </is>
      </c>
      <c r="J27" s="6" t="inlineStr">
        <is>
          <t>반영 완료</t>
        </is>
      </c>
      <c r="K27" s="21" t="inlineStr">
        <is>
          <t>2026-10-14 참고: 건축물대장상 건물 내진설계 적용(VII-0.170g) 확인. 랙 내진 자료는 여전히 필요 / 10.16: ⑥ 랙 내진 미적용 → 미적용 3개로 4등급(−3.0점). 작성 메모 삭제</t>
        </is>
      </c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4" t="n"/>
      <c r="G28" s="4" t="inlineStr">
        <is>
          <t>확보 → 실제 값으로 교체, 3등급 유지 / 없음 → 4~5등급으로 하향</t>
        </is>
      </c>
      <c r="H28" s="4" t="inlineStr">
        <is>
          <t>없을 때 −3.0~−6.0점</t>
        </is>
      </c>
      <c r="I28" s="5" t="n"/>
      <c r="J28" s="6" t="inlineStr">
        <is>
          <t>미확인</t>
        </is>
      </c>
      <c r="K28" s="21" t="n"/>
    </row>
    <row r="29" hidden="1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62~63쪽)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4" t="n"/>
      <c r="G29" s="4" t="inlineStr">
        <is>
          <t>실제 값으로 교체</t>
        </is>
      </c>
      <c r="H29" s="4" t="inlineStr">
        <is>
          <t>없을 때 하향 위험</t>
        </is>
      </c>
      <c r="I29" s="5" t="inlineStr">
        <is>
          <t>영종센터 운영실적 엑셀(2025.6~2026.10, 공정별 근무시간·출고 물량)로 산출 가능. 2025.6 이전 자료 없음</t>
        </is>
      </c>
      <c r="J29" s="6" t="inlineStr">
        <is>
          <t>반영 완료</t>
        </is>
      </c>
      <c r="K29" s="21" t="inlineStr">
        <is>
          <t>01 2.2.2 ③④·판단근거에 UPH 실적 기재(2026.1~9 OPS 86.5·풀필먼트 24.8, 풀필먼트 19.3→27.6 +43%), [사진 2] 월별 UPH 실적표 삽입, 작성 메모 삭제. 3등급 유지. 3_운영매뉴얼 13장 KPI 반영 / 10.15: ①~③·연동과정·판단근거를 실제 집계 방식으로 수정, ⑤ QR 작업자 추적 도입·시범 운영 중 기재(2.3.1-4 ③ 동일) / 10.15: 1.1.2 2→3등급(−2.0점, 총점 787.0), 2.1.5·2.2.1·06도 QR 시범 운영 표현으로 통일</t>
        </is>
      </c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4" t="inlineStr">
        <is>
          <t xml:space="preserve">어드민에서 뽑기 </t>
        </is>
      </c>
      <c r="G30" s="4" t="inlineStr">
        <is>
          <t>한 기준으로 통일해 01·05·⑦ 수정</t>
        </is>
      </c>
      <c r="H30" s="4" t="inlineStr">
        <is>
          <t>없음 (정합성)</t>
        </is>
      </c>
      <c r="I30" s="5" t="n"/>
      <c r="J30" s="6" t="inlineStr">
        <is>
          <t>미확인</t>
        </is>
      </c>
      <c r="K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4" t="inlineStr">
        <is>
          <t xml:space="preserve">채은정팀장님 </t>
        </is>
      </c>
      <c r="G31" s="4" t="inlineStr">
        <is>
          <t>데이터 있음 → 3등급 검토 / 없음 → 4등급 유지</t>
        </is>
      </c>
      <c r="H31" s="4" t="inlineStr">
        <is>
          <t>있을 때 +2.0점</t>
        </is>
      </c>
      <c r="I31" s="5" t="inlineStr">
        <is>
          <t>LED 조명 미적용</t>
        </is>
      </c>
      <c r="J31" s="6" t="inlineStr">
        <is>
          <t>일부 반영</t>
        </is>
      </c>
      <c r="K31" s="21" t="inlineStr">
        <is>
          <t>10.16: 01 2.2.4 ③ "비작업 구역 소등 등 전력 관리(LED 미적용)"로 수정, 사진 3 캡션 변경, 작성 메모 삭제. 4등급 유지. 포장재·재활용·전력 실적은 채은정 팀장님 확인</t>
        </is>
      </c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4" t="n"/>
      <c r="G32" s="4" t="inlineStr">
        <is>
          <t>07 기술서와 01에 확정 목록 기재</t>
        </is>
      </c>
      <c r="H32" s="4" t="inlineStr">
        <is>
          <t>없음</t>
        </is>
      </c>
      <c r="I32" s="5" t="inlineStr">
        <is>
          <t>Smartship 화면 기준 연동 확인: 쿠팡, 스마트스토어, G마켓, 옥션, 11번가, 롯데ON, 카카오톡 스토어, 토스쇼핑, Qoo10, AliExpress, Lazada(SG·PH·MY·ID), Cafe24 (2026-10-15)</t>
        </is>
      </c>
      <c r="J32" s="6" t="inlineStr">
        <is>
          <t>일부 반영</t>
        </is>
      </c>
      <c r="K32" s="21" t="inlineStr">
        <is>
          <t>2026-10-15: 1_물류정보시스템 기술서 3.3에 채널 목록 기재. 01 2.3.1-1 작성 메모 정리 필요</t>
        </is>
      </c>
    </row>
    <row r="33" hidden="1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45" t="n"/>
      <c r="G33" s="11" t="inlineStr">
        <is>
          <t>07 기술서·사용자매뉴얼의 "대량 SKU는 엑셀 일괄 정의" 문구를 실제 기능에 맞게 수정(모바일 SKU별 도착수량 입력)</t>
        </is>
      </c>
      <c r="H33" s="11" t="inlineStr">
        <is>
          <t>없음 (문서 정합성)</t>
        </is>
      </c>
      <c r="I33" s="27" t="inlineStr">
        <is>
          <t>SKU 관리 화면 "EXCEL 정의 &amp; 수정"으로 SKU 일괄 정의 가능 (2026-10-13 확인)</t>
        </is>
      </c>
      <c r="J33" s="32" t="inlineStr">
        <is>
          <t>반영 완료</t>
        </is>
      </c>
      <c r="K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  <row r="34" ht="40.5" customHeight="1">
      <c r="A34" s="11" t="n">
        <v>30</v>
      </c>
      <c r="B34" s="11" t="inlineStr">
        <is>
          <t>2026-10-16</t>
        </is>
      </c>
      <c r="C34" s="11" t="inlineStr">
        <is>
          <t>04 장비 명세서 — 미확인 수량·도입경로</t>
        </is>
      </c>
      <c r="D34" s="11" t="inlineStr">
        <is>
          <t>04_도입설비 및 장비 명세서 (개요표·①~③절 [ ] 칸)</t>
        </is>
      </c>
      <c r="E34" s="11" t="inlineStr">
        <is>
          <t>① PTL 칸 수 ② 3D 소터 대수 ③ 오토라벨러 대수 ④ 싱귤레이터 대수 ⑤ 지게차 대수(구매/임차) ⑥ 수동 DWS 대수 ⑦ 카트피킹·오토라벨러·수동 DWS 도입 경로 ⑧ "DWS 투입구 6개"에 수동 DWS 포함 여부</t>
        </is>
      </c>
      <c r="F34" s="45" t="n"/>
      <c r="G34" s="11" t="inlineStr">
        <is>
          <t>확인값을 04 [ ] 칸에 기재, 02·07 설비 수량과 통일</t>
        </is>
      </c>
      <c r="H34" s="11" t="inlineStr">
        <is>
          <t>없음 (문서 정합성)</t>
        </is>
      </c>
      <c r="I34" s="27" t="n"/>
      <c r="J34" s="32" t="inlineStr">
        <is>
          <t>확인 대기</t>
        </is>
      </c>
      <c r="K34" s="21" t="inlineStr">
        <is>
          <t>10.16: 04 초안 정비(휴대용 DWS 삭제, 휠소터 라인·카트피킹·도크레벨러·지게차·수동 DWS·포장대 추가, 과장 표현 수정). 위 수량만 공란</t>
        </is>
      </c>
    </row>
  </sheetData>
  <autoFilter ref="A4:K33">
    <filterColumn colId="9" hiddenButton="0" showButton="1">
      <filters>
        <filter val="미확인"/>
        <filter val="반영 대기"/>
        <filter val="일부 반영"/>
      </filters>
    </filterColumn>
  </autoFilter>
  <dataValidations count="1">
    <dataValidation sqref="J5:J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45" activePane="bottomLeft" state="frozen"/>
      <selection pane="bottomLeft" activeCell="H18" sqref="H18"/>
    </sheetView>
  </sheetViews>
  <sheetFormatPr baseColWidth="8" defaultRowHeight="16.5"/>
  <cols>
    <col width="5" customWidth="1" min="1" max="1"/>
    <col width="26" customWidth="1" min="2" max="2"/>
    <col width="18" customWidth="1" min="3" max="3"/>
    <col width="62" customWidth="1" min="4" max="4"/>
    <col width="30" customWidth="1" min="5" max="5"/>
    <col width="18" customWidth="1" min="6" max="6"/>
    <col width="9" customWidth="1" min="7" max="8"/>
    <col width="26.125" bestFit="1" customWidth="1" min="9" max="9"/>
  </cols>
  <sheetData>
    <row r="1" ht="19.5" customHeight="1">
      <c r="A1" s="35" t="inlineStr">
        <is>
          <t>파일별 추가 작성 목록 (2026-10-15 기준, 「작성 서류 - yun」 폴더)</t>
        </is>
      </c>
    </row>
    <row r="2">
      <c r="A2" s="36" t="inlineStr">
        <is>
          <t>각 파일에서 아직 비어 있거나 자료를 받아 채워야 하는 부분. 완료하면 상태를 "완료"로 바꾸고, Claude에게 "파일별 추가 작성 처리해줘"라고 요청하면 해당 파일에 반영합니다.</t>
        </is>
      </c>
    </row>
    <row r="3"/>
    <row r="4">
      <c r="A4" s="18" t="inlineStr">
        <is>
          <t>No</t>
        </is>
      </c>
      <c r="B4" s="18" t="inlineStr">
        <is>
          <t>파일</t>
        </is>
      </c>
      <c r="C4" s="18" t="inlineStr">
        <is>
          <t>위치</t>
        </is>
      </c>
      <c r="D4" s="18" t="inlineStr">
        <is>
          <t>추가로 써야 할 내용</t>
        </is>
      </c>
      <c r="E4" s="18" t="inlineStr">
        <is>
          <t>필요한 자료 · 받을 곳</t>
        </is>
      </c>
      <c r="F4" s="18" t="inlineStr">
        <is>
          <t>점수·제출 영향</t>
        </is>
      </c>
      <c r="G4" s="18" t="inlineStr">
        <is>
          <t>우선순위</t>
        </is>
      </c>
      <c r="H4" s="18" t="inlineStr">
        <is>
          <t>상태</t>
        </is>
      </c>
      <c r="I4" s="18" t="inlineStr">
        <is>
          <t>메모</t>
        </is>
      </c>
    </row>
    <row r="5" ht="27" customHeight="1">
      <c r="A5" s="37" t="n">
        <v>1</v>
      </c>
      <c r="B5" s="38" t="inlineStr">
        <is>
          <t>① 신청서 기재안</t>
        </is>
      </c>
      <c r="C5" s="38" t="inlineStr">
        <is>
          <t>1. 신청인</t>
        </is>
      </c>
      <c r="D5" s="38" t="inlineStr">
        <is>
          <t>실무담당자 성명·부서·직위, 전화·팩스, 전자우편 입력(01 Ⅲ장 인증업무 담당자와 동일하게)</t>
        </is>
      </c>
      <c r="E5" s="38" t="inlineStr">
        <is>
          <t>담당자 확정</t>
        </is>
      </c>
      <c r="F5" s="38" t="inlineStr">
        <is>
          <t>필수 기재</t>
        </is>
      </c>
      <c r="G5" s="39" t="inlineStr">
        <is>
          <t>높음</t>
        </is>
      </c>
      <c r="H5" s="37" t="inlineStr">
        <is>
          <t>일부 작성</t>
        </is>
      </c>
      <c r="I5" s="38" t="inlineStr">
        <is>
          <t>10.16: 실무담당자 성명 장윤진 기재. 부서·직위·전화·팩스·전자우편 남음</t>
        </is>
      </c>
    </row>
    <row r="6" ht="27" customHeight="1">
      <c r="A6" s="37" t="n">
        <v>2</v>
      </c>
      <c r="B6" s="38" t="inlineStr">
        <is>
          <t>① 신청서 기재안</t>
        </is>
      </c>
      <c r="C6" s="38" t="inlineStr">
        <is>
          <t>전체</t>
        </is>
      </c>
      <c r="D6" s="38" t="inlineStr">
        <is>
          <t>HWP 서식(별지 제8호의6)에 기재안 내용 옮겨 입력, 신청일 기재, 대표자 승인·서명(인)</t>
        </is>
      </c>
      <c r="E6" s="38" t="inlineStr">
        <is>
          <t>한글 프로그램에서 직접 입력</t>
        </is>
      </c>
      <c r="F6" s="38" t="inlineStr">
        <is>
          <t>필수</t>
        </is>
      </c>
      <c r="G6" s="39" t="inlineStr">
        <is>
          <t>높음</t>
        </is>
      </c>
      <c r="H6" s="37" t="inlineStr">
        <is>
          <t>미작성</t>
        </is>
      </c>
      <c r="I6" s="38" t="n"/>
    </row>
    <row r="7">
      <c r="A7" s="37" t="n">
        <v>3</v>
      </c>
      <c r="B7" s="38" t="inlineStr">
        <is>
          <t>① 신청서 기재안</t>
        </is>
      </c>
      <c r="C7" s="38" t="inlineStr">
        <is>
          <t>작성 메모</t>
        </is>
      </c>
      <c r="D7" s="38" t="inlineStr">
        <is>
          <t>작성 메모 삭제(제출 직전)</t>
        </is>
      </c>
      <c r="E7" s="38" t="inlineStr">
        <is>
          <t>-</t>
        </is>
      </c>
      <c r="F7" s="38" t="inlineStr">
        <is>
          <t>-</t>
        </is>
      </c>
      <c r="G7" s="40" t="inlineStr">
        <is>
          <t>낮음</t>
        </is>
      </c>
      <c r="H7" s="37" t="inlineStr">
        <is>
          <t>미작성</t>
        </is>
      </c>
      <c r="I7" s="38" t="n"/>
    </row>
    <row r="8">
      <c r="A8" s="37" t="n">
        <v>4</v>
      </c>
      <c r="B8" s="38" t="inlineStr">
        <is>
          <t>01 자체평가서</t>
        </is>
      </c>
      <c r="C8" s="38" t="inlineStr">
        <is>
          <t>Ⅲ장 개요</t>
        </is>
      </c>
      <c r="D8" s="38" t="inlineStr">
        <is>
          <t>종업원 수(영종센터 정규직·임시직·기타)</t>
        </is>
      </c>
      <c r="E8" s="38" t="inlineStr">
        <is>
          <t>인사팀</t>
        </is>
      </c>
      <c r="F8" s="38" t="inlineStr">
        <is>
          <t>필수 기재</t>
        </is>
      </c>
      <c r="G8" s="39" t="inlineStr">
        <is>
          <t>높음</t>
        </is>
      </c>
      <c r="H8" s="37" t="inlineStr">
        <is>
          <t>미작성</t>
        </is>
      </c>
      <c r="I8" s="38" t="n"/>
    </row>
    <row r="9" ht="27" customHeight="1">
      <c r="A9" s="37" t="n">
        <v>5</v>
      </c>
      <c r="B9" s="38" t="inlineStr">
        <is>
          <t>01 자체평가서</t>
        </is>
      </c>
      <c r="C9" s="38" t="inlineStr">
        <is>
          <t>Ⅲ장 개요</t>
        </is>
      </c>
      <c r="D9" s="38" t="inlineStr">
        <is>
          <t>매출액 칸 — 기준: 영종센터 물류서비스 매출(플랫폼 이용료 제외), 칸 이름도 기준이 드러나게 수정</t>
        </is>
      </c>
      <c r="E9" s="38" t="inlineStr">
        <is>
          <t>재무팀(추후 수령)</t>
        </is>
      </c>
      <c r="F9" s="38" t="inlineStr">
        <is>
          <t>필수 기재</t>
        </is>
      </c>
      <c r="G9" s="39" t="inlineStr">
        <is>
          <t>높음</t>
        </is>
      </c>
      <c r="H9" s="37" t="inlineStr">
        <is>
          <t>미작성</t>
        </is>
      </c>
      <c r="I9" s="38" t="n"/>
    </row>
    <row r="10">
      <c r="A10" s="37" t="n">
        <v>6</v>
      </c>
      <c r="B10" s="38" t="inlineStr">
        <is>
          <t>01 자체평가서</t>
        </is>
      </c>
      <c r="C10" s="38" t="inlineStr">
        <is>
          <t>Ⅲ장 개요</t>
        </is>
      </c>
      <c r="D10" s="38" t="inlineStr">
        <is>
          <t>인증업무 담당자 성명·직책·전화·E-mail</t>
        </is>
      </c>
      <c r="E10" s="38" t="inlineStr">
        <is>
          <t>담당자 확정</t>
        </is>
      </c>
      <c r="F10" s="38" t="inlineStr">
        <is>
          <t>필수 기재</t>
        </is>
      </c>
      <c r="G10" s="39" t="inlineStr">
        <is>
          <t>높음</t>
        </is>
      </c>
      <c r="H10" s="37" t="inlineStr">
        <is>
          <t>일부 작성</t>
        </is>
      </c>
      <c r="I10" s="38" t="inlineStr">
        <is>
          <t>10.16: 성명 장윤진 기재. 직책·전화·E-mail 남음</t>
        </is>
      </c>
    </row>
    <row r="11" ht="27" customHeight="1">
      <c r="A11" s="37" t="n">
        <v>7</v>
      </c>
      <c r="B11" s="38" t="inlineStr">
        <is>
          <t>01 자체평가서</t>
        </is>
      </c>
      <c r="C11" s="38" t="inlineStr">
        <is>
          <t>Ⅲ장 개요</t>
        </is>
      </c>
      <c r="D11" s="38" t="inlineStr">
        <is>
          <t>센터 면적 기준 확정(임차 3,474.25평 ≈11,485㎡ vs 운영 2,845평 ≈9,405㎡) 후 01·02·05·⑧·① 통일</t>
        </is>
      </c>
      <c r="E11" s="38" t="inlineStr">
        <is>
          <t>결정 필요</t>
        </is>
      </c>
      <c r="F11" s="38" t="inlineStr">
        <is>
          <t>정합성</t>
        </is>
      </c>
      <c r="G11" s="41" t="inlineStr">
        <is>
          <t>중간</t>
        </is>
      </c>
      <c r="H11" s="37" t="inlineStr">
        <is>
          <t>완료</t>
        </is>
      </c>
      <c r="I11" s="38" t="inlineStr">
        <is>
          <t>10.16: 운영면적 2,845평 기준으로 결정, 01·①·02 반영(05·⑧ 파일 없음)</t>
        </is>
      </c>
    </row>
    <row r="12">
      <c r="A12" s="37" t="n">
        <v>8</v>
      </c>
      <c r="B12" s="38" t="inlineStr">
        <is>
          <t>01 자체평가서</t>
        </is>
      </c>
      <c r="C12" s="38" t="inlineStr">
        <is>
          <t>1.1.2 하역 작업</t>
        </is>
      </c>
      <c r="D12" s="38" t="inlineStr">
        <is>
          <t>도크레벨러 수량(1개소/2개소) 확정 후 01·02·04 통일, 작성 메모 삭제</t>
        </is>
      </c>
      <c r="E12" s="38" t="inlineStr">
        <is>
          <t>현장 확인</t>
        </is>
      </c>
      <c r="F12" s="38" t="inlineStr">
        <is>
          <t>정합성</t>
        </is>
      </c>
      <c r="G12" s="41" t="inlineStr">
        <is>
          <t>중간</t>
        </is>
      </c>
      <c r="H12" s="37" t="inlineStr">
        <is>
          <t>완료</t>
        </is>
      </c>
      <c r="I12" s="38" t="inlineStr">
        <is>
          <t>10.16: 도크레벨러 1개소, 01·02 반영</t>
        </is>
      </c>
    </row>
    <row r="13">
      <c r="A13" s="37" t="n">
        <v>9</v>
      </c>
      <c r="B13" s="38" t="inlineStr">
        <is>
          <t>01 자체평가서</t>
        </is>
      </c>
      <c r="C13" s="38" t="inlineStr">
        <is>
          <t>1.1.4 제품정보 인식</t>
        </is>
      </c>
      <c r="D13" s="38" t="inlineStr">
        <is>
          <t>휴대용 DWS 실제 사용 공정·수량 확인 → 04·02·05·07(1_기술서) 수량 통일</t>
        </is>
      </c>
      <c r="E13" s="38" t="inlineStr">
        <is>
          <t>현장·설비 대장</t>
        </is>
      </c>
      <c r="F13" s="38" t="inlineStr">
        <is>
          <t>정합성</t>
        </is>
      </c>
      <c r="G13" s="41" t="inlineStr">
        <is>
          <t>중간</t>
        </is>
      </c>
      <c r="H13" s="37" t="inlineStr">
        <is>
          <t>완료</t>
        </is>
      </c>
      <c r="I13" s="38" t="inlineStr">
        <is>
          <t>10.16: 휴대용 DWS 없음 → 02 삭제(01 1.1.3·1.1.4는 기존 반영). 04는 파일 없음</t>
        </is>
      </c>
    </row>
    <row r="14">
      <c r="A14" s="37" t="n">
        <v>10</v>
      </c>
      <c r="B14" s="38" t="inlineStr">
        <is>
          <t>01 자체평가서</t>
        </is>
      </c>
      <c r="C14" s="38" t="inlineStr">
        <is>
          <t>1.2.2 적치장소 이동</t>
        </is>
      </c>
      <c r="D14" s="38" t="inlineStr">
        <is>
          <t>지게차 보유 대수·동력원(전동/디젤) 기재(04에도 추가)</t>
        </is>
      </c>
      <c r="E14" s="38" t="inlineStr">
        <is>
          <t>현장 확인</t>
        </is>
      </c>
      <c r="F14" s="38" t="inlineStr">
        <is>
          <t>2.1.4 ⑥ 근거 가능</t>
        </is>
      </c>
      <c r="G14" s="41" t="inlineStr">
        <is>
          <t>중간</t>
        </is>
      </c>
      <c r="H14" s="37" t="inlineStr">
        <is>
          <t>미작성</t>
        </is>
      </c>
      <c r="I14" s="38" t="n"/>
    </row>
    <row r="15">
      <c r="A15" s="37" t="n">
        <v>11</v>
      </c>
      <c r="B15" s="38" t="inlineStr">
        <is>
          <t>01 자체평가서</t>
        </is>
      </c>
      <c r="C15" s="38" t="inlineStr">
        <is>
          <t>1.3.1 재고조사</t>
        </is>
      </c>
      <c r="D15" s="38" t="inlineStr">
        <is>
          <t>최근 1년 실사 결과로 재고 정확도(%) 산출해 연동과정·판단근거에 기재</t>
        </is>
      </c>
      <c r="E15" s="38" t="inlineStr">
        <is>
          <t>실사 결과 자료</t>
        </is>
      </c>
      <c r="F15" s="38" t="inlineStr">
        <is>
          <t>없으면 하향 위험</t>
        </is>
      </c>
      <c r="G15" s="41" t="inlineStr">
        <is>
          <t>중간</t>
        </is>
      </c>
      <c r="H15" s="37" t="inlineStr">
        <is>
          <t>미작성</t>
        </is>
      </c>
      <c r="I15" s="38" t="n"/>
    </row>
    <row r="16">
      <c r="A16" s="37" t="n">
        <v>12</v>
      </c>
      <c r="B16" s="38" t="inlineStr">
        <is>
          <t>01 자체평가서</t>
        </is>
      </c>
      <c r="C16" s="38" t="inlineStr">
        <is>
          <t>2.1.1 도크·바닥</t>
        </is>
      </c>
      <c r="D16" s="38" t="inlineStr">
        <is>
          <t>바닥 ⑧ AGV·로봇, ⑨ 자동창고 평탄도 적용 여부 확정</t>
        </is>
      </c>
      <c r="E16" s="38" t="inlineStr">
        <is>
          <t>임대인(아레나스) 평탄도 제원</t>
        </is>
      </c>
      <c r="F16" s="38" t="inlineStr">
        <is>
          <t>둘 다 적용 시 +2.0점</t>
        </is>
      </c>
      <c r="G16" s="41" t="inlineStr">
        <is>
          <t>중간</t>
        </is>
      </c>
      <c r="H16" s="37" t="inlineStr">
        <is>
          <t>완료</t>
        </is>
      </c>
      <c r="I16" s="38" t="inlineStr">
        <is>
          <t>10.16: ⑧⑨ V → 2등급</t>
        </is>
      </c>
    </row>
    <row r="17">
      <c r="A17" s="37" t="n">
        <v>13</v>
      </c>
      <c r="B17" s="38" t="inlineStr">
        <is>
          <t>01 자체평가서</t>
        </is>
      </c>
      <c r="C17" s="38" t="inlineStr">
        <is>
          <t>2.1.3 배치·동선</t>
        </is>
      </c>
      <c r="D17" s="38" t="inlineStr">
        <is>
          <t>확인 3개(화물차·승용차 동선 분리, 야드 지게차 동선, 보행자 통로 분리) 적용 여부</t>
        </is>
      </c>
      <c r="E17" s="38" t="inlineStr">
        <is>
          <t>현장 확인</t>
        </is>
      </c>
      <c r="F17" s="38" t="inlineStr">
        <is>
          <t>최대 +2.0점</t>
        </is>
      </c>
      <c r="G17" s="41" t="inlineStr">
        <is>
          <t>중간</t>
        </is>
      </c>
      <c r="H17" s="37" t="inlineStr">
        <is>
          <t>완료</t>
        </is>
      </c>
      <c r="I17" s="38" t="inlineStr">
        <is>
          <t>10.16: 3개 V → 1등급</t>
        </is>
      </c>
    </row>
    <row r="18" ht="27" customHeight="1">
      <c r="A18" s="37" t="n">
        <v>14</v>
      </c>
      <c r="B18" s="38" t="inlineStr">
        <is>
          <t>01 자체평가서</t>
        </is>
      </c>
      <c r="C18" s="38" t="inlineStr">
        <is>
          <t>2.1.4 작업환경</t>
        </is>
      </c>
      <c r="D18" s="38" t="inlineStr">
        <is>
          <t>확인 6개(조도·공기질·온습도 관리기준·측정 기록, 보관공간 온습도·방충, 전동 지게차)</t>
        </is>
      </c>
      <c r="E18" s="38" t="inlineStr">
        <is>
          <t>측정 기록·방역 점검표</t>
        </is>
      </c>
      <c r="F18" s="38" t="inlineStr">
        <is>
          <t>미적용 시 −2.0점 이상</t>
        </is>
      </c>
      <c r="G18" s="39" t="inlineStr">
        <is>
          <t>높음</t>
        </is>
      </c>
      <c r="H18" s="37" t="inlineStr">
        <is>
          <t>완료</t>
        </is>
      </c>
      <c r="I18" s="38" t="inlineStr">
        <is>
          <t>10.16: ①~④ 미적용·⑥ V → 미적용(0점). ⑤ 현장 확인 중</t>
        </is>
      </c>
    </row>
    <row r="19">
      <c r="A19" s="37" t="n">
        <v>15</v>
      </c>
      <c r="B19" s="38" t="inlineStr">
        <is>
          <t>01 자체평가서</t>
        </is>
      </c>
      <c r="C19" s="38" t="inlineStr">
        <is>
          <t>2.1.5 재해·안전</t>
        </is>
      </c>
      <c r="D19" s="38" t="inlineStr">
        <is>
          <t>랙 내진 설계·시공 확인서 확보, 소방시설 자체점검 결과보고서 첨부</t>
        </is>
      </c>
      <c r="E19" s="38" t="inlineStr">
        <is>
          <t>임대인·랙 시공사·소방안전관리자</t>
        </is>
      </c>
      <c r="F19" s="38" t="inlineStr">
        <is>
          <t>미확보 시 −3.0점</t>
        </is>
      </c>
      <c r="G19" s="39" t="inlineStr">
        <is>
          <t>높음</t>
        </is>
      </c>
      <c r="H19" s="37" t="inlineStr">
        <is>
          <t>일부 작성</t>
        </is>
      </c>
      <c r="I19" s="38" t="inlineStr">
        <is>
          <t>10.16: 랙 내진 미적용 → 4등급. 소방시설 자체점검 결과보고서 첨부는 남음</t>
        </is>
      </c>
    </row>
    <row r="20" ht="27" customHeight="1">
      <c r="A20" s="37" t="n">
        <v>16</v>
      </c>
      <c r="B20" s="38" t="inlineStr">
        <is>
          <t>01 자체평가서</t>
        </is>
      </c>
      <c r="C20" s="38" t="inlineStr">
        <is>
          <t>2.2.1 비용 절감</t>
        </is>
      </c>
      <c r="D20" s="38" t="inlineStr">
        <is>
          <t>실적 근거 작성: 박스당 센터 운영비 월별 추이(운송비 제외) 또는 2026.07.15 임차면적 조정 사례, 사진 1·2 자료 첨부. "예시" 언급 메모 삭제</t>
        </is>
      </c>
      <c r="E20" s="38" t="inlineStr">
        <is>
          <t>재무팀 영종센터 월별 비용(2025.6~2026.9)</t>
        </is>
      </c>
      <c r="F20" s="38" t="inlineStr">
        <is>
          <t>없으면 4등급(−3.0점)</t>
        </is>
      </c>
      <c r="G20" s="39" t="inlineStr">
        <is>
          <t>높음</t>
        </is>
      </c>
      <c r="H20" s="37" t="inlineStr">
        <is>
          <t>미작성</t>
        </is>
      </c>
      <c r="I20" s="38" t="inlineStr">
        <is>
          <t>10.16: 사용자 메모 — 자동화설비(소터, 2026년 2분기 메가와리 도입) 전후 인건비 절감 지표: 2025Q4·2026Q1 vs 2026Q2·Q3 실적 비교, 사진 2는 KPI 자료</t>
        </is>
      </c>
    </row>
    <row r="21" ht="40.5" customHeight="1">
      <c r="A21" s="37" t="n">
        <v>17</v>
      </c>
      <c r="B21" s="38" t="inlineStr">
        <is>
          <t>01 자체평가서</t>
        </is>
      </c>
      <c r="C21" s="38" t="inlineStr">
        <is>
          <t>2.2.2 생산성 향상</t>
        </is>
      </c>
      <c r="D21" s="38" t="inlineStr">
        <is>
          <t>UPH 실적 산출·기재(근태 기반 투입 인시 ÷ 월별 물동량), 사진 2 UPH 실적표</t>
        </is>
      </c>
      <c r="E21" s="38" t="inlineStr">
        <is>
          <t>근태 자료 + 2026년 월별 물동량(OPS·풀필)</t>
        </is>
      </c>
      <c r="F21" s="38" t="inlineStr">
        <is>
          <t>없으면 하향 위험</t>
        </is>
      </c>
      <c r="G21" s="39" t="inlineStr">
        <is>
          <t>높음</t>
        </is>
      </c>
      <c r="H21" s="37" t="inlineStr">
        <is>
          <t>완료</t>
        </is>
      </c>
      <c r="I21" s="38" t="inlineStr">
        <is>
          <t>10.15: 운영실적 엑셀 기반 월별 UPH 실적표(2025.11~2026.09) 삽입, 본문·판단근거 기재</t>
        </is>
      </c>
    </row>
    <row r="22">
      <c r="A22" s="37" t="n">
        <v>18</v>
      </c>
      <c r="B22" s="38" t="inlineStr">
        <is>
          <t>01 자체평가서</t>
        </is>
      </c>
      <c r="C22" s="38" t="inlineStr">
        <is>
          <t>2.2.3 품질·안전</t>
        </is>
      </c>
      <c r="D22" s="38" t="inlineStr">
        <is>
          <t>오출고율 산식·실적 확정(회사소개서 0.0001%와 통일), 클레임 처리 이력(사진 2)</t>
        </is>
      </c>
      <c r="E22" s="38" t="inlineStr">
        <is>
          <t>품질·CS 자료</t>
        </is>
      </c>
      <c r="F22" s="38" t="inlineStr">
        <is>
          <t>정합성·등급 근거</t>
        </is>
      </c>
      <c r="G22" s="39" t="inlineStr">
        <is>
          <t>높음</t>
        </is>
      </c>
      <c r="H22" s="37" t="inlineStr">
        <is>
          <t>미작성</t>
        </is>
      </c>
      <c r="I22" s="38" t="n"/>
    </row>
    <row r="23" ht="27" customHeight="1">
      <c r="A23" s="37" t="n">
        <v>19</v>
      </c>
      <c r="B23" s="38" t="inlineStr">
        <is>
          <t>01 자체평가서</t>
        </is>
      </c>
      <c r="C23" s="38" t="inlineStr">
        <is>
          <t>2.2.4 친환경</t>
        </is>
      </c>
      <c r="D23" s="38" t="inlineStr">
        <is>
          <t>③ "전력·조명 사용량을 관리한다(확인 필요)" 확정, LED·전력·포장재·폐기물 실적 기재</t>
        </is>
      </c>
      <c r="E23" s="38" t="inlineStr">
        <is>
          <t>시설·총무 자료</t>
        </is>
      </c>
      <c r="F23" s="38" t="inlineStr">
        <is>
          <t>있으면 +2.0점</t>
        </is>
      </c>
      <c r="G23" s="41" t="inlineStr">
        <is>
          <t>중간</t>
        </is>
      </c>
      <c r="H23" s="37" t="inlineStr">
        <is>
          <t>미작성</t>
        </is>
      </c>
      <c r="I23" s="38" t="inlineStr">
        <is>
          <t>10.15: ③ LED 미적용으로 확정. 포장재·폐기물·전력 실적은 남음(채은정 팀장님)</t>
        </is>
      </c>
    </row>
    <row r="24">
      <c r="A24" s="37" t="n">
        <v>20</v>
      </c>
      <c r="B24" s="38" t="inlineStr">
        <is>
          <t>01 자체평가서</t>
        </is>
      </c>
      <c r="C24" s="38" t="inlineStr">
        <is>
          <t>2.3.1-1 수발주</t>
        </is>
      </c>
      <c r="D24" s="38" t="inlineStr">
        <is>
          <t>작성 메모 정리 — 채널 목록은 1_기술서 3.3에 반영됨(필요 시 01 본문에도 기재)</t>
        </is>
      </c>
      <c r="E24" s="38" t="inlineStr">
        <is>
          <t>즉시 가능</t>
        </is>
      </c>
      <c r="F24" s="38" t="inlineStr">
        <is>
          <t>-</t>
        </is>
      </c>
      <c r="G24" s="40" t="inlineStr">
        <is>
          <t>낮음</t>
        </is>
      </c>
      <c r="H24" s="37" t="inlineStr">
        <is>
          <t>미작성</t>
        </is>
      </c>
      <c r="I24" s="38" t="n"/>
    </row>
    <row r="25" ht="27" customHeight="1">
      <c r="A25" s="37" t="n">
        <v>21</v>
      </c>
      <c r="B25" s="38" t="inlineStr">
        <is>
          <t>01 자체평가서</t>
        </is>
      </c>
      <c r="C25" s="38" t="inlineStr">
        <is>
          <t>증빙 사진</t>
        </is>
      </c>
      <c r="D25" s="38" t="inlineStr">
        <is>
          <t>남은 46칸(현장사진 29·자료 17) 촬영·확보 후 삽입 — "현장사진·증빙 목록" 시트에서 L열 미완료 항목 참조</t>
        </is>
      </c>
      <c r="E25" s="38" t="inlineStr">
        <is>
          <t>현장 촬영·관련 부서</t>
        </is>
      </c>
      <c r="F25" s="38" t="inlineStr">
        <is>
          <t>증명자료 필수</t>
        </is>
      </c>
      <c r="G25" s="39" t="inlineStr">
        <is>
          <t>높음</t>
        </is>
      </c>
      <c r="H25" s="37" t="inlineStr">
        <is>
          <t>미작성</t>
        </is>
      </c>
      <c r="I25" s="38" t="n"/>
    </row>
    <row r="26" ht="27" customHeight="1">
      <c r="A26" s="37" t="n">
        <v>22</v>
      </c>
      <c r="B26" s="38" t="inlineStr">
        <is>
          <t>01 자체평가서</t>
        </is>
      </c>
      <c r="C26" s="38" t="inlineStr">
        <is>
          <t>1.1.5 [사진 2]</t>
        </is>
      </c>
      <c r="D26" s="38" t="inlineStr">
        <is>
          <t>삽입 이미지가 [사진 1]과 동일 → Smartship 입고신청 목록(입고완료·실제입고수량) 화면으로 교체</t>
        </is>
      </c>
      <c r="E26" s="38" t="inlineStr">
        <is>
          <t>Smartship 화면 캡처</t>
        </is>
      </c>
      <c r="F26" s="38" t="inlineStr">
        <is>
          <t>-</t>
        </is>
      </c>
      <c r="G26" s="41" t="inlineStr">
        <is>
          <t>중간</t>
        </is>
      </c>
      <c r="H26" s="37" t="inlineStr">
        <is>
          <t>미작성</t>
        </is>
      </c>
      <c r="I26" s="38" t="n"/>
    </row>
    <row r="27">
      <c r="A27" s="37" t="n">
        <v>23</v>
      </c>
      <c r="B27" s="38" t="inlineStr">
        <is>
          <t>01 자체평가서</t>
        </is>
      </c>
      <c r="C27" s="38" t="inlineStr">
        <is>
          <t>2.3.2 [사진 2]</t>
        </is>
      </c>
      <c r="D27" s="38" t="inlineStr">
        <is>
          <t>설비 구성도 삽입(2.3.2_휠소터_설비구성도 확정본)</t>
        </is>
      </c>
      <c r="E27" s="38" t="inlineStr">
        <is>
          <t>확정본 PNG</t>
        </is>
      </c>
      <c r="F27" s="38" t="inlineStr">
        <is>
          <t>-</t>
        </is>
      </c>
      <c r="G27" s="41" t="inlineStr">
        <is>
          <t>중간</t>
        </is>
      </c>
      <c r="H27" s="37" t="inlineStr">
        <is>
          <t>완료</t>
        </is>
      </c>
      <c r="I27" s="38" t="inlineStr">
        <is>
          <t>10.16: 실도면 삽입</t>
        </is>
      </c>
    </row>
    <row r="28">
      <c r="A28" s="37" t="n">
        <v>24</v>
      </c>
      <c r="B28" s="38" t="inlineStr">
        <is>
          <t>01 자체평가서</t>
        </is>
      </c>
      <c r="C28" s="38" t="inlineStr">
        <is>
          <t>전체</t>
        </is>
      </c>
      <c r="D28" s="38" t="inlineStr">
        <is>
          <t>작성 메모 14곳 삭제(제출 직전)</t>
        </is>
      </c>
      <c r="E28" s="38" t="inlineStr">
        <is>
          <t>-</t>
        </is>
      </c>
      <c r="F28" s="38" t="inlineStr">
        <is>
          <t>-</t>
        </is>
      </c>
      <c r="G28" s="40" t="inlineStr">
        <is>
          <t>낮음</t>
        </is>
      </c>
      <c r="H28" s="37" t="inlineStr">
        <is>
          <t>미작성</t>
        </is>
      </c>
      <c r="I28" s="38" t="n"/>
    </row>
    <row r="29">
      <c r="A29" s="37" t="n">
        <v>25</v>
      </c>
      <c r="B29" s="38" t="inlineStr">
        <is>
          <t>02 설계설명서</t>
        </is>
      </c>
      <c r="C29" s="38" t="inlineStr">
        <is>
          <t>1. 도면 목록 No.6</t>
        </is>
      </c>
      <c r="D29" s="38" t="inlineStr">
        <is>
          <t>단면도(3층 도크·램프 진입구조) 확보 — 현재 "확보 필요"</t>
        </is>
      </c>
      <c r="E29" s="38" t="inlineStr">
        <is>
          <t>임대인 건축 설계도서</t>
        </is>
      </c>
      <c r="F29" s="38" t="inlineStr">
        <is>
          <t>-</t>
        </is>
      </c>
      <c r="G29" s="41" t="inlineStr">
        <is>
          <t>중간</t>
        </is>
      </c>
      <c r="H29" s="37" t="inlineStr">
        <is>
          <t>미작성</t>
        </is>
      </c>
      <c r="I29" s="38" t="n"/>
    </row>
    <row r="30">
      <c r="A30" s="37" t="n">
        <v>26</v>
      </c>
      <c r="B30" s="38" t="inlineStr">
        <is>
          <t>02 설계설명서</t>
        </is>
      </c>
      <c r="C30" s="38" t="inlineStr">
        <is>
          <t>2. 센터 개요</t>
        </is>
      </c>
      <c r="D30" s="38" t="inlineStr">
        <is>
          <t>"검수+맵핑" 877.5㎡를 어느 분야(검품·포장/상차·출고)로 볼지 결정</t>
        </is>
      </c>
      <c r="E30" s="38" t="inlineStr">
        <is>
          <t>결정 필요</t>
        </is>
      </c>
      <c r="F30" s="38" t="inlineStr">
        <is>
          <t>정합성</t>
        </is>
      </c>
      <c r="G30" s="40" t="inlineStr">
        <is>
          <t>낮음</t>
        </is>
      </c>
      <c r="H30" s="37" t="inlineStr">
        <is>
          <t>미작성</t>
        </is>
      </c>
      <c r="I30" s="38" t="n"/>
    </row>
    <row r="31" ht="27" customHeight="1">
      <c r="A31" s="37" t="n">
        <v>27</v>
      </c>
      <c r="B31" s="38" t="inlineStr">
        <is>
          <t>02 설계설명서</t>
        </is>
      </c>
      <c r="C31" s="38" t="inlineStr">
        <is>
          <t>3.6 상차·출고</t>
        </is>
      </c>
      <c r="D31" s="38" t="inlineStr">
        <is>
          <t>처리능력 확정(일 최대 30,000박스 vs ⑧ 35,000박스) — 1_기술서는 30,000으로 기재</t>
        </is>
      </c>
      <c r="E31" s="38" t="inlineStr">
        <is>
          <t>운영팀</t>
        </is>
      </c>
      <c r="F31" s="38" t="inlineStr">
        <is>
          <t>정합성</t>
        </is>
      </c>
      <c r="G31" s="41" t="inlineStr">
        <is>
          <t>중간</t>
        </is>
      </c>
      <c r="H31" s="37" t="inlineStr">
        <is>
          <t>미작성</t>
        </is>
      </c>
      <c r="I31" s="38" t="n"/>
    </row>
    <row r="32">
      <c r="A32" s="37" t="n">
        <v>28</v>
      </c>
      <c r="B32" s="38" t="inlineStr">
        <is>
          <t>02 설계설명서</t>
        </is>
      </c>
      <c r="C32" s="38" t="inlineStr">
        <is>
          <t>2·3장</t>
        </is>
      </c>
      <c r="D32" s="38" t="inlineStr">
        <is>
          <t>면적 기준(일부 해지 반영)·DWS 수량(3.4·3.5) 확정 시 함께 수정, 작성 메모 삭제</t>
        </is>
      </c>
      <c r="E32" s="38" t="inlineStr">
        <is>
          <t>면적·DWS 결정 후</t>
        </is>
      </c>
      <c r="F32" s="38" t="inlineStr">
        <is>
          <t>정합성</t>
        </is>
      </c>
      <c r="G32" s="41" t="inlineStr">
        <is>
          <t>중간</t>
        </is>
      </c>
      <c r="H32" s="37" t="inlineStr">
        <is>
          <t>미작성</t>
        </is>
      </c>
      <c r="I32" s="38" t="n"/>
    </row>
    <row r="33" ht="27" customHeight="1">
      <c r="A33" s="37" t="n">
        <v>29</v>
      </c>
      <c r="B33" s="38" t="inlineStr">
        <is>
          <t>03 설계변경 확인서</t>
        </is>
      </c>
      <c r="C33" s="38" t="inlineStr">
        <is>
          <t>설계변경 여부</t>
        </is>
      </c>
      <c r="D33" s="38" t="inlineStr">
        <is>
          <t>"해당 없음" 유지 여부 결정 — 건축물대장 변동(2022.08.18 3층 방화구획 대수선, 2024.03.12 증축). 변경 있으면 변경 내역 표 작성</t>
        </is>
      </c>
      <c r="E33" s="38" t="inlineStr">
        <is>
          <t>임대인 확인</t>
        </is>
      </c>
      <c r="F33" s="38" t="inlineStr">
        <is>
          <t>미제출 가능 여부</t>
        </is>
      </c>
      <c r="G33" s="41" t="inlineStr">
        <is>
          <t>중간</t>
        </is>
      </c>
      <c r="H33" s="37" t="inlineStr">
        <is>
          <t>완료</t>
        </is>
      </c>
      <c r="I33" s="38" t="inlineStr">
        <is>
          <t>10.15: "해당 없음"으로 확정(사용자 결정). 첨부 여부만 결정</t>
        </is>
      </c>
    </row>
    <row r="34">
      <c r="A34" s="37" t="n">
        <v>30</v>
      </c>
      <c r="B34" s="38" t="inlineStr">
        <is>
          <t>03 설계변경 확인서</t>
        </is>
      </c>
      <c r="C34" s="38" t="inlineStr">
        <is>
          <t>서명란</t>
        </is>
      </c>
      <c r="D34" s="38" t="inlineStr">
        <is>
          <t>대표이사 표기(각자대표 2인 병기 여부)·직인, 작성 메모 삭제</t>
        </is>
      </c>
      <c r="E34" s="38" t="inlineStr">
        <is>
          <t>-</t>
        </is>
      </c>
      <c r="F34" s="38" t="inlineStr">
        <is>
          <t>-</t>
        </is>
      </c>
      <c r="G34" s="40" t="inlineStr">
        <is>
          <t>낮음</t>
        </is>
      </c>
      <c r="H34" s="37" t="inlineStr">
        <is>
          <t>미작성</t>
        </is>
      </c>
      <c r="I34" s="38" t="n"/>
    </row>
    <row r="35">
      <c r="A35" s="37" t="n">
        <v>31</v>
      </c>
      <c r="B35" s="38" t="inlineStr">
        <is>
          <t>06 품질·안전·환경 매뉴얼</t>
        </is>
      </c>
      <c r="C35" s="38" t="inlineStr">
        <is>
          <t>2.2 품질 지표</t>
        </is>
      </c>
      <c r="D35" s="38" t="inlineStr">
        <is>
          <t>오출고율·클레임율 목표 [확정값] 입력(01 2.2.3·3_운영매뉴얼 13장과 동일)</t>
        </is>
      </c>
      <c r="E35" s="38" t="inlineStr">
        <is>
          <t>품질 기준 확정</t>
        </is>
      </c>
      <c r="F35" s="38" t="inlineStr">
        <is>
          <t>-</t>
        </is>
      </c>
      <c r="G35" s="41" t="inlineStr">
        <is>
          <t>중간</t>
        </is>
      </c>
      <c r="H35" s="37" t="inlineStr">
        <is>
          <t>미작성</t>
        </is>
      </c>
      <c r="I35" s="38" t="n"/>
    </row>
    <row r="36" ht="27" customHeight="1">
      <c r="A36" s="37" t="n">
        <v>32</v>
      </c>
      <c r="B36" s="38" t="inlineStr">
        <is>
          <t>06 품질·안전·환경 매뉴얼</t>
        </is>
      </c>
      <c r="C36" s="38" t="inlineStr">
        <is>
          <t>3.1 소방·방화</t>
        </is>
      </c>
      <c r="D36" s="38" t="inlineStr">
        <is>
          <t>내화구조·방화구획 [확인], 소화기·옥내소화전 수, 스프링클러 여부, 비상구 수, 랙 내진 [확인]</t>
        </is>
      </c>
      <c r="E36" s="38" t="inlineStr">
        <is>
          <t>소방시설 자체점검 결과보고서·건축물대장</t>
        </is>
      </c>
      <c r="F36" s="38" t="inlineStr">
        <is>
          <t>2.1.5 근거</t>
        </is>
      </c>
      <c r="G36" s="41" t="inlineStr">
        <is>
          <t>중간</t>
        </is>
      </c>
      <c r="H36" s="37" t="inlineStr">
        <is>
          <t>미작성</t>
        </is>
      </c>
      <c r="I36" s="38" t="n"/>
    </row>
    <row r="37">
      <c r="A37" s="37" t="n">
        <v>33</v>
      </c>
      <c r="B37" s="38" t="inlineStr">
        <is>
          <t>06 품질·안전·환경 매뉴얼</t>
        </is>
      </c>
      <c r="C37" s="38" t="inlineStr">
        <is>
          <t>3.4 교육·점검</t>
        </is>
      </c>
      <c r="D37" s="38" t="inlineStr">
        <is>
          <t>신규 채용 교육 실시일, 지게차 운전 교육 주기·교육일, 소방 대피 훈련 주기·실시일</t>
        </is>
      </c>
      <c r="E37" s="38" t="inlineStr">
        <is>
          <t>안전 담당 기록</t>
        </is>
      </c>
      <c r="F37" s="38" t="inlineStr">
        <is>
          <t>-</t>
        </is>
      </c>
      <c r="G37" s="41" t="inlineStr">
        <is>
          <t>중간</t>
        </is>
      </c>
      <c r="H37" s="37" t="inlineStr">
        <is>
          <t>미작성</t>
        </is>
      </c>
      <c r="I37" s="38" t="n"/>
    </row>
    <row r="38">
      <c r="A38" s="37" t="n">
        <v>34</v>
      </c>
      <c r="B38" s="38" t="inlineStr">
        <is>
          <t>06 품질·안전·환경 매뉴얼</t>
        </is>
      </c>
      <c r="C38" s="38" t="inlineStr">
        <is>
          <t>4.1 에너지</t>
        </is>
      </c>
      <c r="D38" s="38" t="inlineStr">
        <is>
          <t>LED 조명 적용 여부·비율</t>
        </is>
      </c>
      <c r="E38" s="38" t="inlineStr">
        <is>
          <t>시설 확인</t>
        </is>
      </c>
      <c r="F38" s="38" t="inlineStr">
        <is>
          <t>2.2.4 근거</t>
        </is>
      </c>
      <c r="G38" s="41" t="inlineStr">
        <is>
          <t>중간</t>
        </is>
      </c>
      <c r="H38" s="37" t="inlineStr">
        <is>
          <t>완료</t>
        </is>
      </c>
      <c r="I38" s="38" t="inlineStr">
        <is>
          <t>10.15: LED 미적용 → "LED 조명 미적용(일반 조명) / 비작업 구역 소등 관리"로 기재</t>
        </is>
      </c>
    </row>
    <row r="39" ht="27" customHeight="1">
      <c r="A39" s="37" t="n">
        <v>35</v>
      </c>
      <c r="B39" s="38" t="inlineStr">
        <is>
          <t>06 품질·안전·환경 매뉴얼</t>
        </is>
      </c>
      <c r="C39" s="38" t="inlineStr">
        <is>
          <t>4.3 친환경 실적</t>
        </is>
      </c>
      <c r="D39" s="38" t="inlineStr">
        <is>
          <t>실적 표 12칸(포장재 적용률·재활용률·전력 원단위·전동장비 비율 × 2023~2025) — 자료 없는 연도는 "집계 전" 표기</t>
        </is>
      </c>
      <c r="E39" s="38" t="inlineStr">
        <is>
          <t>총무·시설 자료</t>
        </is>
      </c>
      <c r="F39" s="38" t="inlineStr">
        <is>
          <t>2.2.4 근거</t>
        </is>
      </c>
      <c r="G39" s="41" t="inlineStr">
        <is>
          <t>중간</t>
        </is>
      </c>
      <c r="H39" s="37" t="inlineStr">
        <is>
          <t>미작성</t>
        </is>
      </c>
      <c r="I39" s="38" t="n"/>
    </row>
    <row r="40">
      <c r="A40" s="37" t="n">
        <v>36</v>
      </c>
      <c r="B40" s="38" t="inlineStr">
        <is>
          <t>06 품질·안전·환경 매뉴얼</t>
        </is>
      </c>
      <c r="C40" s="38" t="inlineStr">
        <is>
          <t>4.4 보유 인증</t>
        </is>
      </c>
      <c r="D40" s="38" t="inlineStr">
        <is>
          <t>ISO 9001·14001·45001 보유 여부(미보유 시 "해당 없음")</t>
        </is>
      </c>
      <c r="E40" s="38" t="inlineStr">
        <is>
          <t>총무 확인</t>
        </is>
      </c>
      <c r="F40" s="38" t="inlineStr">
        <is>
          <t>-</t>
        </is>
      </c>
      <c r="G40" s="40" t="inlineStr">
        <is>
          <t>낮음</t>
        </is>
      </c>
      <c r="H40" s="37" t="inlineStr">
        <is>
          <t>미작성</t>
        </is>
      </c>
      <c r="I40" s="38" t="n"/>
    </row>
    <row r="41" ht="27" customHeight="1">
      <c r="A41" s="37" t="n">
        <v>37</v>
      </c>
      <c r="B41" s="38" t="inlineStr">
        <is>
          <t>06 품질·안전·환경 매뉴얼</t>
        </is>
      </c>
      <c r="C41" s="38" t="inlineStr">
        <is>
          <t>전체</t>
        </is>
      </c>
      <c r="D41" s="38" t="inlineStr">
        <is>
          <t>사내 제정·센터장 승인(결재) 후 제출, 작성 메모 삭제</t>
        </is>
      </c>
      <c r="E41" s="38" t="inlineStr">
        <is>
          <t>결재</t>
        </is>
      </c>
      <c r="F41" s="38" t="inlineStr">
        <is>
          <t>"보유한 경우만" 제출 서류</t>
        </is>
      </c>
      <c r="G41" s="41" t="inlineStr">
        <is>
          <t>중간</t>
        </is>
      </c>
      <c r="H41" s="37" t="inlineStr">
        <is>
          <t>미작성</t>
        </is>
      </c>
      <c r="I41" s="38" t="n"/>
    </row>
    <row r="42">
      <c r="A42" s="37" t="n">
        <v>38</v>
      </c>
      <c r="B42" s="38" t="inlineStr">
        <is>
          <t>1_물류정보시스템 기술서(②-7)</t>
        </is>
      </c>
      <c r="C42" s="38" t="inlineStr">
        <is>
          <t>2.2 물동량</t>
        </is>
      </c>
      <c r="D42" s="38" t="inlineStr">
        <is>
          <t>일평균 주문 건수, 국내:해외 비중 [확인 필요]</t>
        </is>
      </c>
      <c r="E42" s="38" t="inlineStr">
        <is>
          <t>Smartship 주문 통계</t>
        </is>
      </c>
      <c r="F42" s="38" t="inlineStr">
        <is>
          <t>-</t>
        </is>
      </c>
      <c r="G42" s="41" t="inlineStr">
        <is>
          <t>중간</t>
        </is>
      </c>
      <c r="H42" s="37" t="inlineStr">
        <is>
          <t>미작성</t>
        </is>
      </c>
      <c r="I42" s="38" t="n"/>
    </row>
    <row r="43" ht="27" customHeight="1">
      <c r="A43" s="37" t="n">
        <v>39</v>
      </c>
      <c r="B43" s="38" t="inlineStr">
        <is>
          <t>1_물류정보시스템 기술서(②-7)</t>
        </is>
      </c>
      <c r="C43" s="38" t="inlineStr">
        <is>
          <t>2.2 물동량</t>
        </is>
      </c>
      <c r="D43" s="38" t="inlineStr">
        <is>
          <t>재고형:셀러 발송분 36:64(풀필먼트=재고형, OPS=셀러 발송분으로 산정) 대응이 맞는지 확인</t>
        </is>
      </c>
      <c r="E43" s="38" t="inlineStr">
        <is>
          <t>운영팀</t>
        </is>
      </c>
      <c r="F43" s="38" t="inlineStr">
        <is>
          <t>-</t>
        </is>
      </c>
      <c r="G43" s="40" t="inlineStr">
        <is>
          <t>낮음</t>
        </is>
      </c>
      <c r="H43" s="37" t="inlineStr">
        <is>
          <t>미작성</t>
        </is>
      </c>
      <c r="I43" s="38" t="n"/>
    </row>
    <row r="44">
      <c r="A44" s="37" t="n">
        <v>40</v>
      </c>
      <c r="B44" s="38" t="inlineStr">
        <is>
          <t>1_물류정보시스템 기술서(②-7)</t>
        </is>
      </c>
      <c r="C44" s="38" t="inlineStr">
        <is>
          <t>3.5 기술 스택</t>
        </is>
      </c>
      <c r="D44" s="38" t="inlineStr">
        <is>
          <t>서버 프레임워크, DB 종류 [확인 필요]</t>
        </is>
      </c>
      <c r="E44" s="38" t="inlineStr">
        <is>
          <t>IT팀</t>
        </is>
      </c>
      <c r="F44" s="38" t="inlineStr">
        <is>
          <t>-</t>
        </is>
      </c>
      <c r="G44" s="41" t="inlineStr">
        <is>
          <t>중간</t>
        </is>
      </c>
      <c r="H44" s="37" t="inlineStr">
        <is>
          <t>완료</t>
        </is>
      </c>
      <c r="I44" s="38" t="inlineStr">
        <is>
          <t>10.16: 서버 .NET·Node.js, DB MS SQL Server 기재</t>
        </is>
      </c>
    </row>
    <row r="45" ht="27" customHeight="1">
      <c r="A45" s="37" t="n">
        <v>41</v>
      </c>
      <c r="B45" s="38" t="inlineStr">
        <is>
          <t>1_물류정보시스템 기술서(②-7)</t>
        </is>
      </c>
      <c r="C45" s="38" t="inlineStr">
        <is>
          <t>6.1 설비 구성</t>
        </is>
      </c>
      <c r="D45" s="38" t="inlineStr">
        <is>
          <t>3D 소터 시간당 약 1,500 SKU, PTL 1개 구역, 휠소터 시간당 약 3,500개·슈트 18개 반영. DAS는 운영 중단(10.16) → 전 문서에서 삭제</t>
        </is>
      </c>
      <c r="E45" s="38" t="inlineStr">
        <is>
          <t>설비 사양서·현장</t>
        </is>
      </c>
      <c r="F45" s="38" t="inlineStr">
        <is>
          <t>-</t>
        </is>
      </c>
      <c r="G45" s="41" t="inlineStr">
        <is>
          <t>중간</t>
        </is>
      </c>
      <c r="H45" s="37" t="inlineStr">
        <is>
          <t>완료</t>
        </is>
      </c>
      <c r="I45" s="38" t="inlineStr">
        <is>
          <t>10.15~16: 3D 소터·PTL·슈트 반영, DAS만 남음</t>
        </is>
      </c>
    </row>
    <row r="46" ht="27" customHeight="1">
      <c r="A46" s="37" t="n">
        <v>42</v>
      </c>
      <c r="B46" s="38" t="inlineStr">
        <is>
          <t>1_물류정보시스템 기술서(②-7)</t>
        </is>
      </c>
      <c r="C46" s="38" t="inlineStr">
        <is>
          <t>제출</t>
        </is>
      </c>
      <c r="D46" s="38" t="inlineStr">
        <is>
          <t>제출 시 파일명을 "07_물류정보시스템 기술서"로 정리(제출서류_10종 07은 표지 양식)</t>
        </is>
      </c>
      <c r="E46" s="38" t="inlineStr">
        <is>
          <t>-</t>
        </is>
      </c>
      <c r="F46" s="38" t="inlineStr">
        <is>
          <t>-</t>
        </is>
      </c>
      <c r="G46" s="40" t="inlineStr">
        <is>
          <t>낮음</t>
        </is>
      </c>
      <c r="H46" s="37" t="inlineStr">
        <is>
          <t>미작성</t>
        </is>
      </c>
      <c r="I46" s="38" t="n"/>
    </row>
    <row r="47" ht="27" customHeight="1">
      <c r="A47" s="37" t="n">
        <v>43</v>
      </c>
      <c r="B47" s="38" t="inlineStr">
        <is>
          <t>2_업무-시스템 연계기술서(②-8)</t>
        </is>
      </c>
      <c r="C47" s="38" t="inlineStr">
        <is>
          <t>6·7장</t>
        </is>
      </c>
      <c r="D47" s="38" t="inlineStr">
        <is>
          <t>인터페이스 필드·공통 코드는 "대표 예시" — 인터페이스 정의서가 있으면 실제 값으로 교체(선택)</t>
        </is>
      </c>
      <c r="E47" s="38" t="inlineStr">
        <is>
          <t>IT팀</t>
        </is>
      </c>
      <c r="F47" s="38" t="inlineStr">
        <is>
          <t>-</t>
        </is>
      </c>
      <c r="G47" s="40" t="inlineStr">
        <is>
          <t>낮음</t>
        </is>
      </c>
      <c r="H47" s="37" t="inlineStr">
        <is>
          <t>미작성</t>
        </is>
      </c>
      <c r="I47" s="38" t="n"/>
    </row>
    <row r="48">
      <c r="A48" s="37" t="n">
        <v>44</v>
      </c>
      <c r="B48" s="38" t="inlineStr">
        <is>
          <t>2_업무-시스템 연계기술서(②-8)</t>
        </is>
      </c>
      <c r="C48" s="38" t="inlineStr">
        <is>
          <t>제출</t>
        </is>
      </c>
      <c r="D48" s="38" t="inlineStr">
        <is>
          <t>제출 시 파일명을 "08_업무-시스템 연계기술서"로 정리</t>
        </is>
      </c>
      <c r="E48" s="38" t="inlineStr">
        <is>
          <t>-</t>
        </is>
      </c>
      <c r="F48" s="38" t="inlineStr">
        <is>
          <t>-</t>
        </is>
      </c>
      <c r="G48" s="40" t="inlineStr">
        <is>
          <t>낮음</t>
        </is>
      </c>
      <c r="H48" s="37" t="inlineStr">
        <is>
          <t>미작성</t>
        </is>
      </c>
      <c r="I48" s="38" t="n"/>
    </row>
    <row r="49">
      <c r="A49" s="37" t="n">
        <v>45</v>
      </c>
      <c r="B49" s="38" t="inlineStr">
        <is>
          <t>3_운영매뉴얼(②-5)</t>
        </is>
      </c>
      <c r="C49" s="38" t="inlineStr">
        <is>
          <t>13. 운영 지표</t>
        </is>
      </c>
      <c r="D49" s="38" t="inlineStr">
        <is>
          <t>오출고율 목표 [○% 이하] 입력(06 2.2와 동일 값)</t>
        </is>
      </c>
      <c r="E49" s="38" t="inlineStr">
        <is>
          <t>품질 기준 확정</t>
        </is>
      </c>
      <c r="F49" s="38" t="inlineStr">
        <is>
          <t>-</t>
        </is>
      </c>
      <c r="G49" s="41" t="inlineStr">
        <is>
          <t>중간</t>
        </is>
      </c>
      <c r="H49" s="37" t="inlineStr">
        <is>
          <t>미작성</t>
        </is>
      </c>
      <c r="I49" s="38" t="n"/>
    </row>
    <row r="50" ht="27" customHeight="1">
      <c r="A50" s="37" t="n">
        <v>46</v>
      </c>
      <c r="B50" s="38" t="inlineStr">
        <is>
          <t>3_운영매뉴얼(②-5)</t>
        </is>
      </c>
      <c r="C50" s="38" t="inlineStr">
        <is>
          <t>제출</t>
        </is>
      </c>
      <c r="D50" s="38" t="inlineStr">
        <is>
          <t>제출 시 파일명을 "05_물류센터 운영 매뉴얼"로 정리(제출서류_10종 05는 표지 양식)</t>
        </is>
      </c>
      <c r="E50" s="38" t="inlineStr">
        <is>
          <t>-</t>
        </is>
      </c>
      <c r="F50" s="38" t="inlineStr">
        <is>
          <t>-</t>
        </is>
      </c>
      <c r="G50" s="40" t="inlineStr">
        <is>
          <t>낮음</t>
        </is>
      </c>
      <c r="H50" s="37" t="inlineStr">
        <is>
          <t>미작성</t>
        </is>
      </c>
      <c r="I50" s="38" t="n"/>
    </row>
    <row r="51">
      <c r="A51" s="37" t="n">
        <v>47</v>
      </c>
      <c r="B51" s="38" t="inlineStr">
        <is>
          <t>⑥ 조견표</t>
        </is>
      </c>
      <c r="C51" s="38" t="inlineStr">
        <is>
          <t>수록 쪽</t>
        </is>
      </c>
      <c r="D51" s="38" t="inlineStr">
        <is>
          <t>남은 사진 삽입 후 쪽번호 재산정, Word로 열어 1회 대조(현재 PDF 변환 기준 75쪽)</t>
        </is>
      </c>
      <c r="E51" s="38" t="inlineStr">
        <is>
          <t>01 최종본</t>
        </is>
      </c>
      <c r="F51" s="38" t="inlineStr">
        <is>
          <t>-</t>
        </is>
      </c>
      <c r="G51" s="40" t="inlineStr">
        <is>
          <t>낮음</t>
        </is>
      </c>
      <c r="H51" s="37" t="inlineStr">
        <is>
          <t>미작성</t>
        </is>
      </c>
      <c r="I51" s="38" t="n"/>
    </row>
    <row r="52" ht="40.5" customHeight="1">
      <c r="A52" s="37" t="n">
        <v>48</v>
      </c>
      <c r="B52" s="38" t="inlineStr">
        <is>
          <t>②-4 도입설비 및 장비 명세서(04)</t>
        </is>
      </c>
      <c r="C52" s="38" t="inlineStr">
        <is>
          <t>파일 없음</t>
        </is>
      </c>
      <c r="D52" s="38" t="inlineStr">
        <is>
          <t>작성본 필요(제출서류_10종 04는 표지 양식): PDA 35대, DWS 종류별 수량, 지게차·봉함기·휠소터·싱귤레이터·오토라벨러, 설비 사진, "오분류율 0%" 근거 정리, 작성일 2026.10.31</t>
        </is>
      </c>
      <c r="E52" s="38" t="inlineStr">
        <is>
          <t>설비 대장·현장</t>
        </is>
      </c>
      <c r="F52" s="38" t="inlineStr">
        <is>
          <t>필수 제출</t>
        </is>
      </c>
      <c r="G52" s="39" t="inlineStr">
        <is>
          <t>높음</t>
        </is>
      </c>
      <c r="H52" s="37" t="inlineStr">
        <is>
          <t>미작성</t>
        </is>
      </c>
      <c r="I52" s="38" t="n"/>
    </row>
    <row r="53">
      <c r="A53" s="37" t="n">
        <v>49</v>
      </c>
      <c r="B53" s="38" t="inlineStr">
        <is>
          <t>④ 사본=원본 확인서</t>
        </is>
      </c>
      <c r="C53" s="38" t="inlineStr">
        <is>
          <t>파일 없음</t>
        </is>
      </c>
      <c r="D53" s="38" t="inlineStr">
        <is>
          <t>작성: 작성일 2026.10.31, 대표이사 김양훈·노현석(각자대표) 표기, 대표이사 직인</t>
        </is>
      </c>
      <c r="E53" s="38" t="inlineStr">
        <is>
          <t>-</t>
        </is>
      </c>
      <c r="F53" s="38" t="inlineStr">
        <is>
          <t>필수 제출</t>
        </is>
      </c>
      <c r="G53" s="39" t="inlineStr">
        <is>
          <t>높음</t>
        </is>
      </c>
      <c r="H53" s="37" t="inlineStr">
        <is>
          <t>미작성</t>
        </is>
      </c>
      <c r="I53" s="38" t="n"/>
    </row>
    <row r="54" ht="40.5" customHeight="1">
      <c r="A54" s="37" t="n">
        <v>50</v>
      </c>
      <c r="B54" s="38" t="inlineStr">
        <is>
          <t>⑦ 신청기업 소개자료</t>
        </is>
      </c>
      <c r="C54" s="38" t="inlineStr">
        <is>
          <t>파일 없음</t>
        </is>
      </c>
      <c r="D54" s="38" t="inlineStr">
        <is>
          <t>작성: 회사소개서 v2 기반, 상호 "트랙스로지스코리아(주)", 본점 마곡 아이파크 디어반, 설립 2009.09.04(등기)·개업 2009.10.01, 오출고율 수치 기준 통일, 작성일 2026.10.31</t>
        </is>
      </c>
      <c r="E54" s="38" t="inlineStr">
        <is>
          <t>회사소개서 v2·마케팅</t>
        </is>
      </c>
      <c r="F54" s="38" t="inlineStr">
        <is>
          <t>필수 제출</t>
        </is>
      </c>
      <c r="G54" s="39" t="inlineStr">
        <is>
          <t>높음</t>
        </is>
      </c>
      <c r="H54" s="37" t="inlineStr">
        <is>
          <t>미작성</t>
        </is>
      </c>
      <c r="I54" s="38" t="n"/>
    </row>
    <row r="55" ht="27" customHeight="1">
      <c r="A55" s="37" t="n">
        <v>51</v>
      </c>
      <c r="B55" s="38" t="inlineStr">
        <is>
          <t>⑧ 신청대상 물류센터 소개자료</t>
        </is>
      </c>
      <c r="C55" s="38" t="inlineStr">
        <is>
          <t>파일 없음</t>
        </is>
      </c>
      <c r="D55" s="38" t="inlineStr">
        <is>
          <t>작성: 사용승인 2021.01.22, 면적(임차·운영 구분), 인력 규모, 출고 처리능력 확정값, 도크·설비 현황, 작성일 2026.10.31</t>
        </is>
      </c>
      <c r="E55" s="38" t="inlineStr">
        <is>
          <t>건축물대장·Lay-out·네트워크 소개서</t>
        </is>
      </c>
      <c r="F55" s="38" t="inlineStr">
        <is>
          <t>필수 제출</t>
        </is>
      </c>
      <c r="G55" s="39" t="inlineStr">
        <is>
          <t>높음</t>
        </is>
      </c>
      <c r="H55" s="37" t="inlineStr">
        <is>
          <t>미작성</t>
        </is>
      </c>
      <c r="I55" s="38" t="n"/>
    </row>
    <row r="56" ht="27" customHeight="1">
      <c r="A56" s="37" t="n">
        <v>52</v>
      </c>
      <c r="B56" s="38" t="inlineStr">
        <is>
          <t>⑨ 건축물대장·임대차계약서</t>
        </is>
      </c>
      <c r="C56" s="38" t="inlineStr">
        <is>
          <t>첨부</t>
        </is>
      </c>
      <c r="D56" s="38" t="inlineStr">
        <is>
          <t>임대차계약서 본문(2021.06.04 최초 계약·변경계약) 사본, 승계동의서 날짜 기재 서명본 확보. 건축물대장 신청일 기준 재발급 검토</t>
        </is>
      </c>
      <c r="E56" s="38" t="inlineStr">
        <is>
          <t>임대인·총무</t>
        </is>
      </c>
      <c r="F56" s="38" t="inlineStr">
        <is>
          <t>필수 제출</t>
        </is>
      </c>
      <c r="G56" s="39" t="inlineStr">
        <is>
          <t>높음</t>
        </is>
      </c>
      <c r="H56" s="37" t="inlineStr">
        <is>
          <t>미작성</t>
        </is>
      </c>
      <c r="I56" s="38" t="n"/>
    </row>
    <row r="57" ht="27" customHeight="1">
      <c r="A57" s="37" t="n">
        <v>53</v>
      </c>
      <c r="B57" s="38" t="inlineStr">
        <is>
          <t>③ 물류사업 등록증</t>
        </is>
      </c>
      <c r="C57" s="38" t="inlineStr">
        <is>
          <t>5-1 창고업</t>
        </is>
      </c>
      <c r="D57" s="38" t="inlineStr">
        <is>
          <t>2026.07.15 일부 해지로 보관면적(19,412.63㎡) 변동 → 물류창고업 변경등록 필요 여부 확인</t>
        </is>
      </c>
      <c r="E57" s="38" t="inlineStr">
        <is>
          <t>중구청 문의</t>
        </is>
      </c>
      <c r="F57" s="38" t="inlineStr">
        <is>
          <t>필수 확인</t>
        </is>
      </c>
      <c r="G57" s="39" t="inlineStr">
        <is>
          <t>높음</t>
        </is>
      </c>
      <c r="H57" s="37" t="inlineStr">
        <is>
          <t>미작성</t>
        </is>
      </c>
      <c r="I57" s="38" t="n"/>
    </row>
    <row r="58" ht="27" customHeight="1">
      <c r="A58" s="37" t="n">
        <v>54</v>
      </c>
      <c r="B58" s="38" t="inlineStr">
        <is>
          <t>②-10 법인등기</t>
        </is>
      </c>
      <c r="C58" s="38" t="inlineStr">
        <is>
          <t>재발급</t>
        </is>
      </c>
      <c r="D58" s="38" t="inlineStr">
        <is>
          <t>신청일 기준 최근본 재발급 여부 확인(현재 2026.06.10 발행), 36MB → 제출용 압축본</t>
        </is>
      </c>
      <c r="E58" s="38" t="inlineStr">
        <is>
          <t>인증센터 문의</t>
        </is>
      </c>
      <c r="F58" s="38" t="inlineStr">
        <is>
          <t>-</t>
        </is>
      </c>
      <c r="G58" s="41" t="inlineStr">
        <is>
          <t>중간</t>
        </is>
      </c>
      <c r="H58" s="37" t="inlineStr">
        <is>
          <t>미작성</t>
        </is>
      </c>
      <c r="I58" s="38" t="n"/>
    </row>
    <row r="59">
      <c r="A59" s="37" t="n">
        <v>55</v>
      </c>
      <c r="B59" s="38" t="inlineStr">
        <is>
          <t>⑪ 심사수수료</t>
        </is>
      </c>
      <c r="C59" s="38" t="inlineStr">
        <is>
          <t>면제 증빙</t>
        </is>
      </c>
      <c r="D59" s="38" t="inlineStr">
        <is>
          <t>중소기업 면제 시 납부영수증 대신 제출할 서류 확인</t>
        </is>
      </c>
      <c r="E59" s="38" t="inlineStr">
        <is>
          <t>인증센터(044-211-3256)</t>
        </is>
      </c>
      <c r="F59" s="38" t="inlineStr">
        <is>
          <t>-</t>
        </is>
      </c>
      <c r="G59" s="41" t="inlineStr">
        <is>
          <t>중간</t>
        </is>
      </c>
      <c r="H59" s="37" t="inlineStr">
        <is>
          <t>미작성</t>
        </is>
      </c>
      <c r="I59" s="38" t="n"/>
    </row>
    <row r="60"/>
    <row r="61">
      <c r="B61" s="42" t="inlineStr">
        <is>
          <t>집계</t>
        </is>
      </c>
    </row>
    <row r="62">
      <c r="B62" t="inlineStr">
        <is>
          <t>전체</t>
        </is>
      </c>
      <c r="C62">
        <f>COUNTA(D5:D59)</f>
        <v/>
      </c>
    </row>
    <row r="63">
      <c r="B63" t="inlineStr">
        <is>
          <t>높음</t>
        </is>
      </c>
      <c r="C63">
        <f>COUNTIF(G5:G59,"높음")</f>
        <v/>
      </c>
    </row>
    <row r="64">
      <c r="B64" t="inlineStr">
        <is>
          <t>완료</t>
        </is>
      </c>
      <c r="C64">
        <f>COUNTIF(H5:H59,"완료")</f>
        <v/>
      </c>
    </row>
  </sheetData>
  <autoFilter ref="A4:I59"/>
  <dataValidations count="1">
    <dataValidation sqref="H5:H59" showDropDown="0" showInputMessage="0" showErrorMessage="0" allowBlank="1" type="list">
      <formula1>"미작성,진행 중,완료,해당 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workbookViewId="0">
      <pane ySplit="4" topLeftCell="A5" activePane="bottomLeft" state="frozen"/>
      <selection activeCell="E11" sqref="E11"/>
      <selection pane="bottomLeft" activeCell="H15" sqref="H15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27.625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9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9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9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9</v>
      </c>
      <c r="E13" s="10" t="inlineStr">
        <is>
          <t>[사진 4]</t>
        </is>
      </c>
      <c r="F13" s="11" t="inlineStr">
        <is>
          <t>SW(WMS) 공정별 인원관리(QR, 시범 운영 중)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9</v>
      </c>
      <c r="E14" s="28" t="inlineStr">
        <is>
          <t>[사진 5]</t>
        </is>
      </c>
      <c r="F14" s="20" t="inlineStr">
        <is>
          <t>SW(WMS) 공정별 인원관리(QR, 시범 운영 중)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11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11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11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11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13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13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13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15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15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15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10.14: 삽입 이미지가 [사진 1]과 동일 → 교체 필요</t>
        </is>
      </c>
      <c r="J24" s="11" t="n"/>
      <c r="K24" s="11" t="inlineStr">
        <is>
          <t>1.1.5_사진3</t>
        </is>
      </c>
      <c r="L24" s="13" t="inlineStr">
        <is>
          <t>△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15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idden="1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18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18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20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20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idden="1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20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 / 10.15 01 삽입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 ht="27" customHeight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22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22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23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idden="1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23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24</v>
      </c>
      <c r="E35" s="10" t="inlineStr">
        <is>
          <t>[사진 1]</t>
        </is>
      </c>
      <c r="F35" s="11" t="inlineStr">
        <is>
          <t>SW(WMS) 재고실사 관리 – 실사 생성(대상 유형·기간 지정) 및 실사 목록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inlineStr">
        <is>
          <t>10.14 01 삽입 확인</t>
        </is>
      </c>
      <c r="J35" s="11" t="n"/>
      <c r="K35" s="11" t="inlineStr">
        <is>
          <t>1.3.1_사진1</t>
        </is>
      </c>
      <c r="L35" s="13" t="inlineStr">
        <is>
          <t>O</t>
        </is>
      </c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idden="1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24</v>
      </c>
      <c r="E36" s="10" t="inlineStr">
        <is>
          <t>[사진 2]</t>
        </is>
      </c>
      <c r="F36" s="11" t="inlineStr">
        <is>
          <t>SW(WMS) 재고실사 상세 – 창고·입고·선반·체크재고 비교 및 셀별 불일치 조정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inlineStr">
        <is>
          <t>10.14 01 삽입 확인</t>
        </is>
      </c>
      <c r="J36" s="11" t="n"/>
      <c r="K36" s="11" t="inlineStr">
        <is>
          <t>1.3.1_사진2</t>
        </is>
      </c>
      <c r="L36" s="13" t="inlineStr">
        <is>
          <t>O</t>
        </is>
      </c>
      <c r="M36" s="25" t="inlineStr">
        <is>
          <t>[강조] 실사 결과 차이 건수·조정 사유·조정 이력, 재고 정확도(%) / [의미] 차이 분석·피드백 실적</t>
        </is>
      </c>
    </row>
    <row r="37" hidden="1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26</v>
      </c>
      <c r="E37" s="10" t="inlineStr">
        <is>
          <t>[사진 1]</t>
        </is>
      </c>
      <c r="F37" s="11" t="inlineStr">
        <is>
          <t>SW(WMS) SKU 이동 처리 – 보충·이동 요청 등록 및 출발·도착 셀 지정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inlineStr">
        <is>
          <t>10.14 01 삽입 확인</t>
        </is>
      </c>
      <c r="J37" s="11" t="n"/>
      <c r="K37" s="11" t="inlineStr">
        <is>
          <t>1.3.2_사진1</t>
        </is>
      </c>
      <c r="L37" s="13" t="inlineStr">
        <is>
          <t>O</t>
        </is>
      </c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idden="1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27</v>
      </c>
      <c r="E38" s="10" t="inlineStr">
        <is>
          <t>[사진 1]</t>
        </is>
      </c>
      <c r="F38" s="11" t="inlineStr">
        <is>
          <t>SW(WMS) SKU 이동 관리 – 유형별 이동 요청·처리 실적(2026.01~10, 26,348건)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inlineStr">
        <is>
          <t>10.14 01 삽입 확인</t>
        </is>
      </c>
      <c r="J38" s="11" t="n"/>
      <c r="K38" s="11" t="inlineStr">
        <is>
          <t>1.3.3_사진1</t>
        </is>
      </c>
      <c r="L38" s="13" t="inlineStr">
        <is>
          <t>O</t>
        </is>
      </c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28</v>
      </c>
      <c r="E39" s="10" t="inlineStr">
        <is>
          <t>[사진 1]</t>
        </is>
      </c>
      <c r="F39" s="11" t="inlineStr">
        <is>
          <t>SW(WMS) 전체 대시보드 – 공정별 실시간 처리 현황 및 피킹존 재고부족·미출고 모니터링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inlineStr">
        <is>
          <t>10.14 01 삽입 확인</t>
        </is>
      </c>
      <c r="J39" s="11" t="n"/>
      <c r="K39" s="11" t="inlineStr">
        <is>
          <t>1.3.4_사진1</t>
        </is>
      </c>
      <c r="L39" s="13" t="inlineStr">
        <is>
          <t>O</t>
        </is>
      </c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28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idden="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28</v>
      </c>
      <c r="E41" s="10" t="inlineStr">
        <is>
          <t>[사진 3]</t>
        </is>
      </c>
      <c r="F41" s="11" t="inlineStr">
        <is>
          <t>SW(WMS) 마감리포트 – 일·주·월 단위 재고·입출고 집계(2026년 9월)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inlineStr">
        <is>
          <t>2026-10-13 확보(피그마)</t>
        </is>
      </c>
      <c r="J41" s="11" t="n"/>
      <c r="K41" s="11" t="inlineStr">
        <is>
          <t>1.3.4_사진3</t>
        </is>
      </c>
      <c r="L41" s="13" t="inlineStr">
        <is>
          <t>O</t>
        </is>
      </c>
      <c r="M41" s="25" t="inlineStr">
        <is>
          <t>[강조] 일·주·월 리포트 탭, 2026년 9월 집계 카드(총 SKU·입출고·재고 부족) / [의미] 기간별 재고·입출고 정기 분석(2등급 근거). 셀러 ID 가림</t>
        </is>
      </c>
    </row>
    <row r="42" hidden="1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30</v>
      </c>
      <c r="E42" s="10" t="inlineStr">
        <is>
          <t>[사진 1]</t>
        </is>
      </c>
      <c r="F42" s="11" t="inlineStr">
        <is>
          <t>SW(WMS) SKU 입출고 이력 – 동일 SKU 로트별 유통기한 순 출고(FEFO)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inlineStr">
        <is>
          <t>10.14 01 삽입 확인</t>
        </is>
      </c>
      <c r="J42" s="11" t="n"/>
      <c r="K42" s="11" t="inlineStr">
        <is>
          <t>1.3.5_사진1</t>
        </is>
      </c>
      <c r="L42" s="13" t="inlineStr">
        <is>
          <t>O</t>
        </is>
      </c>
      <c r="M42" s="25" t="inlineStr">
        <is>
          <t>[강조] 유통기한·로트 그룹핑 탭, 출고 할당 시 유통기한 빠른 순 자동 배정 결과 / [의미] FEFO/FIFO 시스템 자동 할당</t>
        </is>
      </c>
    </row>
    <row r="43" hidden="1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31</v>
      </c>
      <c r="E43" s="10" t="inlineStr">
        <is>
          <t>[사진 1]</t>
        </is>
      </c>
      <c r="F43" s="11" t="inlineStr">
        <is>
          <t>SW(WMS) 픽킹 리스트 생성 – 선택 주문 기준 생성(패킹장비 타입·정렬 기준·피킹 시작 지점 지정)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inlineStr">
        <is>
          <t>10.14 01 삽입 확인</t>
        </is>
      </c>
      <c r="J43" s="11" t="n"/>
      <c r="K43" s="11" t="inlineStr">
        <is>
          <t>1.4.1_사진1</t>
        </is>
      </c>
      <c r="L43" s="13" t="inlineStr">
        <is>
          <t>O</t>
        </is>
      </c>
      <c r="M43" s="25" t="inlineStr">
        <is>
          <t>[강조] 주문 필터(국내/해외·컷오프)와 생성된 픽킹 리스트 목록 / [의미] 실시간 작업지시 자동 생성</t>
        </is>
      </c>
    </row>
    <row r="44" hidden="1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31</v>
      </c>
      <c r="E44" s="10" t="inlineStr">
        <is>
          <t>[사진 2]</t>
        </is>
      </c>
      <c r="F44" s="11" t="inlineStr">
        <is>
          <t>SW 모바일(PDA) 피킹 리스트 관리 – 타입별 피킹 현황 및 작업자 피킹 지시 목록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inlineStr">
        <is>
          <t>10.14 01 삽입 확인</t>
        </is>
      </c>
      <c r="J44" s="11" t="n"/>
      <c r="K44" s="11" t="inlineStr">
        <is>
          <t>1.4.1_사진2</t>
        </is>
      </c>
      <c r="L44" s="13" t="inlineStr">
        <is>
          <t>O</t>
        </is>
      </c>
      <c r="M44" s="25" t="inlineStr">
        <is>
          <t>[강조] PDA에 표시된 피킹 대상 로케이션·SKU·수량 / [의미] 작업지시가 현장 단말로 실시간 전달</t>
        </is>
      </c>
    </row>
    <row r="45" hidden="1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31</v>
      </c>
      <c r="E45" s="10" t="inlineStr">
        <is>
          <t>[사진 3]</t>
        </is>
      </c>
      <c r="F45" s="11" t="inlineStr">
        <is>
          <t>SW(WMS) 픽킹 리스트 관리 – 주문 구성별 피킹 방식 구분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2026-10-13 확보(피그마)</t>
        </is>
      </c>
      <c r="J45" s="11" t="n"/>
      <c r="K45" s="11" t="inlineStr">
        <is>
          <t>1.4.1_사진3</t>
        </is>
      </c>
      <c r="L45" s="13" t="inlineStr">
        <is>
          <t>O</t>
        </is>
      </c>
      <c r="M45" s="25" t="inlineStr">
        <is>
          <t>[강조] 리스트별 피킹타입(3D Sorter·Multi Pattern Item·Cart Picking) / [의미] 주문 구성에 따라 피킹 방식 자동 결정(2등급 근거). 이메일·생성자 가림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33</v>
      </c>
      <c r="E46" s="10" t="inlineStr">
        <is>
          <t>[사진 1]</t>
        </is>
      </c>
      <c r="F46" s="11" t="inlineStr">
        <is>
          <t>SW 모바일(PDA) 피킹 화면 – SKU별 로케이션·지시수량 확인 및 스캔 수량 입력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inlineStr">
        <is>
          <t>10.14 01 삽입 확인</t>
        </is>
      </c>
      <c r="J46" s="11" t="n"/>
      <c r="K46" s="11" t="inlineStr">
        <is>
          <t>1.4.2_사진1</t>
        </is>
      </c>
      <c r="L46" s="13" t="inlineStr">
        <is>
          <t>O</t>
        </is>
      </c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33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35</v>
      </c>
      <c r="E48" s="10" t="inlineStr">
        <is>
          <t>[사진 1]</t>
        </is>
      </c>
      <c r="F48" s="11" t="inlineStr">
        <is>
          <t>SW(WMS) 픽킹 리스트 출력 – 로케이션 순 피킹 순서 자동 정렬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inlineStr">
        <is>
          <t>2026-10-13 확보(피그마)</t>
        </is>
      </c>
      <c r="J48" s="11" t="n"/>
      <c r="K48" s="11" t="inlineStr">
        <is>
          <t>1.4.3_사진1</t>
        </is>
      </c>
      <c r="L48" s="13" t="inlineStr">
        <is>
          <t>O</t>
        </is>
      </c>
      <c r="M48" s="25" t="inlineStr">
        <is>
          <t>[강조] 위치 칸(A13-3-4→A13-3-5→A14-1-2…) / [의미] 피킹 순서가 로케이션 순으로 자동 정렬(3등급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36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idden="1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36</v>
      </c>
      <c r="E50" s="10" t="inlineStr">
        <is>
          <t>[사진 2]</t>
        </is>
      </c>
      <c r="F50" s="11" t="inlineStr">
        <is>
          <t>SW 모바일(PDA) 피킹 스캔 검증 – 지시에 없는 SKU 스캔 시 경고·진행 차단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inlineStr">
        <is>
          <t>10.14 01 삽입 확인</t>
        </is>
      </c>
      <c r="J50" s="11" t="n"/>
      <c r="K50" s="11" t="inlineStr">
        <is>
          <t>1.4.4_사진2</t>
        </is>
      </c>
      <c r="L50" s="13" t="inlineStr">
        <is>
          <t>O</t>
        </is>
      </c>
      <c r="M50" s="25" t="inlineStr">
        <is>
          <t>[강조] 스캔 성공(일치)·불일치 경고 화면 / [의미] 피킹 장소·상품 실시간 스캔 검증</t>
        </is>
      </c>
    </row>
    <row r="51" hidden="1" ht="27" customHeight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38</v>
      </c>
      <c r="E51" s="10" t="inlineStr">
        <is>
          <t>[사진 1]</t>
        </is>
      </c>
      <c r="F51" s="11" t="inlineStr">
        <is>
          <t>SW(WMS) 슈트 설정 – 슈트번호별 라우트·소트코드 매핑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inlineStr">
        <is>
          <t>10.14 01 삽입 확인</t>
        </is>
      </c>
      <c r="J51" s="11" t="n"/>
      <c r="K51" s="11" t="inlineStr">
        <is>
          <t>1.4.5_사진1</t>
        </is>
      </c>
      <c r="L51" s="13" t="inlineStr">
        <is>
          <t>O</t>
        </is>
      </c>
      <c r="M51" s="25" t="inlineStr">
        <is>
          <t>[강조] 슈트별 분류코드·Route 매핑, 변경 즉시 반영(웹소켓) / [의미] 분류정보 실시간 생성·지시</t>
        </is>
      </c>
    </row>
    <row r="52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38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39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idden="1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39</v>
      </c>
      <c r="E54" s="10" t="inlineStr">
        <is>
          <t>[사진 2]</t>
        </is>
      </c>
      <c r="F54" s="11" t="inlineStr">
        <is>
          <t>SW(WMS) 소터 모니터링 – 투입구(DWS)별·시간대별 분류 처리 건수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inlineStr">
        <is>
          <t>10.14 01 삽입 확인</t>
        </is>
      </c>
      <c r="J54" s="11" t="n"/>
      <c r="K54" s="11" t="inlineStr">
        <is>
          <t>1.4.6_사진2</t>
        </is>
      </c>
      <c r="L54" s="13" t="inlineStr">
        <is>
          <t>O</t>
        </is>
      </c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40</v>
      </c>
      <c r="E55" s="10" t="inlineStr">
        <is>
          <t>[사진 1]</t>
        </is>
      </c>
      <c r="F55" s="11" t="inlineStr">
        <is>
          <t>SW(WMS) 픽킹 리스트 관리 – 피킹·패킹 진행 현황 및 패킹 대기 작업 실시간 조회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inlineStr">
        <is>
          <t>10.14 01 삽입 확인</t>
        </is>
      </c>
      <c r="J55" s="11" t="n"/>
      <c r="K55" s="11" t="inlineStr">
        <is>
          <t>1.5.1_사진1</t>
        </is>
      </c>
      <c r="L55" s="13" t="inlineStr">
        <is>
          <t>O</t>
        </is>
      </c>
      <c r="M55" s="25" t="inlineStr">
        <is>
          <t>[강조] 포장 대상 주문 목록·상태 / [의미] 포장장소로 작업정보 실시간 제공</t>
        </is>
      </c>
    </row>
    <row r="56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40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41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idden="1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41</v>
      </c>
      <c r="E58" s="10" t="inlineStr">
        <is>
          <t>[사진 2]</t>
        </is>
      </c>
      <c r="F58" s="11" t="inlineStr">
        <is>
          <t>SW(WMS) SKU 관리 – 부자재(포장재) 품목별 재고 관리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2026-10-13 확보(피그마)</t>
        </is>
      </c>
      <c r="J58" s="11" t="n"/>
      <c r="K58" s="11" t="inlineStr">
        <is>
          <t>1.5.2_사진2</t>
        </is>
      </c>
      <c r="L58" s="13" t="inlineStr">
        <is>
          <t>O</t>
        </is>
      </c>
      <c r="M58" s="25" t="inlineStr">
        <is>
          <t>[강조] 부자재여부 "부자재" 필터, 포장재 품목명(Polybag·Box size), 창고·입고·가용 재고 / [의미] 포장재를 부자재 SKU로 등록해 재고 관리(3등급 근거). Seller ID 가림</t>
        </is>
      </c>
    </row>
    <row r="59" hidden="1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42</v>
      </c>
      <c r="E59" s="10" t="inlineStr">
        <is>
          <t>[사진 1]</t>
        </is>
      </c>
      <c r="F59" s="11" t="inlineStr">
        <is>
          <t>SW(WMS) 출고 검품 – SKU 스캔 검품·녹화 시작·박스/완충재 자동 선택·출고 처리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inlineStr">
        <is>
          <t>10.14 01 삽입 확인</t>
        </is>
      </c>
      <c r="J59" s="11" t="n"/>
      <c r="K59" s="11" t="inlineStr">
        <is>
          <t>1.5.3_사진1</t>
        </is>
      </c>
      <c r="L59" s="13" t="inlineStr">
        <is>
          <t>O</t>
        </is>
      </c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42</v>
      </c>
      <c r="E60" s="10" t="inlineStr">
        <is>
          <t>[사진 2]</t>
        </is>
      </c>
      <c r="F60" s="11" t="inlineStr">
        <is>
          <t>SW(WMS) 주문 상세 – 패킹 녹화 영상(카메라 2대) 주문별 매핑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inlineStr">
        <is>
          <t>10.14 01 삽입 확인</t>
        </is>
      </c>
      <c r="J60" s="11" t="n"/>
      <c r="K60" s="11" t="inlineStr">
        <is>
          <t>1.5.3_사진2</t>
        </is>
      </c>
      <c r="L60" s="13" t="inlineStr">
        <is>
          <t>O</t>
        </is>
      </c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42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42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44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45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45</v>
      </c>
      <c r="E65" s="10" t="inlineStr">
        <is>
          <t>[사진 2]</t>
        </is>
      </c>
      <c r="F65" s="11" t="inlineStr">
        <is>
          <t>SW(WMS) 주문 상세 – 택배사·송장번호 자동 매칭 및 박스·완충재·무게 기록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inlineStr">
        <is>
          <t>10.14 01 삽입 확인</t>
        </is>
      </c>
      <c r="J65" s="11" t="n"/>
      <c r="K65" s="11" t="inlineStr">
        <is>
          <t>1.5.5_사진2</t>
        </is>
      </c>
      <c r="L65" s="13" t="inlineStr">
        <is>
          <t>O</t>
        </is>
      </c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46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46</v>
      </c>
      <c r="E67" s="10" t="inlineStr">
        <is>
          <t>[사진 2]</t>
        </is>
      </c>
      <c r="F67" s="11" t="inlineStr">
        <is>
          <t>SW 모바일(PDA) 번들 작업 – MAWB·Route 확인 및 Route 불일치 화물 스캔 차단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inlineStr">
        <is>
          <t>10.14 01 삽입 확인</t>
        </is>
      </c>
      <c r="J67" s="11" t="n"/>
      <c r="K67" s="11" t="inlineStr">
        <is>
          <t>1.6.1_사진2</t>
        </is>
      </c>
      <c r="L67" s="13" t="inlineStr">
        <is>
          <t>O</t>
        </is>
      </c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48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48</v>
      </c>
      <c r="E69" s="10" t="inlineStr">
        <is>
          <t>[사진 2]</t>
        </is>
      </c>
      <c r="F69" s="11" t="inlineStr">
        <is>
          <t>TMS MAWB 상세 – 항공편 출항·입항 일정 및 Flight Confirm 관리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 / 10.14 01 삽입 확인</t>
        </is>
      </c>
      <c r="J69" s="11" t="n"/>
      <c r="K69" s="11" t="inlineStr">
        <is>
          <t>1.6.2_사진2</t>
        </is>
      </c>
      <c r="L69" s="13" t="inlineStr">
        <is>
          <t>O</t>
        </is>
      </c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49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idden="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49</v>
      </c>
      <c r="E71" s="10" t="inlineStr">
        <is>
          <t>[사진 2]</t>
        </is>
      </c>
      <c r="F71" s="11" t="inlineStr">
        <is>
          <t>SW 모바일(PDA) MAWB·번들팩 조회 – 출발 일정별 MAWB 확정 및 번들팩별 수량·무게 확인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inlineStr">
        <is>
          <t>10.14 01 삽입 확인</t>
        </is>
      </c>
      <c r="J71" s="11" t="n"/>
      <c r="K71" s="11" t="inlineStr">
        <is>
          <t>1.6.3_사진2</t>
        </is>
      </c>
      <c r="L71" s="13" t="inlineStr">
        <is>
          <t>O</t>
        </is>
      </c>
      <c r="M71" s="25" t="inlineStr">
        <is>
          <t>[강조] 인계 수량·번들팩 스캔 결과, 인계 확인 시각 / [의미] 상차·인계 정보 온라인 확인</t>
        </is>
      </c>
    </row>
    <row r="72" hidden="1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51</v>
      </c>
      <c r="E72" s="10" t="inlineStr">
        <is>
          <t>[사진 1]</t>
        </is>
      </c>
      <c r="F72" s="11" t="inlineStr">
        <is>
          <t>TX 어드민 배송 추적 – 포장번호별 출고·DPC 입고·간선 이동 이력 실시간 조회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inlineStr">
        <is>
          <t>10.14 01 삽입 확인</t>
        </is>
      </c>
      <c r="J72" s="11" t="n"/>
      <c r="K72" s="11" t="inlineStr">
        <is>
          <t>1.6.4_사진1</t>
        </is>
      </c>
      <c r="L72" s="13" t="inlineStr">
        <is>
          <t>O</t>
        </is>
      </c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51</v>
      </c>
      <c r="E73" s="10" t="inlineStr">
        <is>
          <t>[사진 2]</t>
        </is>
      </c>
      <c r="F73" s="11" t="inlineStr">
        <is>
          <t>Smartship(OMS) 배송 현황 – 출고 후 배송 단계·배송사·송장번호 자동 연동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inlineStr">
        <is>
          <t>10.14 01 삽입 확인</t>
        </is>
      </c>
      <c r="J73" s="11" t="n"/>
      <c r="K73" s="11" t="inlineStr">
        <is>
          <t>1.6.4_사진2</t>
        </is>
      </c>
      <c r="L73" s="13" t="inlineStr">
        <is>
          <t>O</t>
        </is>
      </c>
      <c r="M73" s="25" t="inlineStr">
        <is>
          <t>[강조] 주문번호와 연결된 출고 영상 목록 / [의미] 출고 증빙이 주문 단위로 자동 매핑</t>
        </is>
      </c>
    </row>
    <row r="74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53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실내 도크 전경: 트럭이 건물 안(3층)에 접안한 모습과 천장이 함께 보이게 + 레벨러·도어 — 차양·쉘터 대신 실내 접안 구조임을 보여주는 컷</t>
        </is>
      </c>
    </row>
    <row r="75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53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53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55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55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56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56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57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57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57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58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58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idden="1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58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 / 10.15 01 삽입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58</v>
      </c>
      <c r="E87" s="10" t="inlineStr">
        <is>
          <t>[사진 4]</t>
        </is>
      </c>
      <c r="F87" s="11" t="inlineStr">
        <is>
          <t>SW(WMS) 공정별 인원관리(QR, 시범 운영 중) – 공정별 현재 투입 인원 파악(비상 시 인원 확인)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inlineStr">
        <is>
          <t>10.14 01 삽입 확인</t>
        </is>
      </c>
      <c r="J87" s="11" t="n"/>
      <c r="K87" s="11" t="inlineStr">
        <is>
          <t>2.1.5_사진4</t>
        </is>
      </c>
      <c r="L87" s="13" t="inlineStr">
        <is>
          <t>O</t>
        </is>
      </c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58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 / 10.15 01 삽입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61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61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62</v>
      </c>
      <c r="E91" s="10" t="inlineStr">
        <is>
          <t>[사진 1]</t>
        </is>
      </c>
      <c r="F91" s="11" t="inlineStr">
        <is>
          <t>SW(WMS) 작업자 추적(QR, 시범 운영 중) – 공정별·인원별 작업자 수·처리량·작업시간 집계 화면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inlineStr">
        <is>
          <t>10.14 01 삽입 확인</t>
        </is>
      </c>
      <c r="J91" s="11" t="n"/>
      <c r="K91" s="11" t="inlineStr">
        <is>
          <t>2.2.2_사진1</t>
        </is>
      </c>
      <c r="L91" s="13" t="inlineStr">
        <is>
          <t>O</t>
        </is>
      </c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63</v>
      </c>
      <c r="E92" s="10" t="inlineStr">
        <is>
          <t>[사진 2]</t>
        </is>
      </c>
      <c r="F92" s="11" t="inlineStr">
        <is>
          <t>월별 UPH 실적표(2025.11~2026.09) – 공정별 출고 박스÷투입 인시, 풀필먼트 UPH 19.3→27.6(약 43% 향상)</t>
        </is>
      </c>
      <c r="G92" s="12" t="inlineStr">
        <is>
          <t>자료·문서</t>
        </is>
      </c>
      <c r="H92" s="11" t="inlineStr">
        <is>
          <t>영종센터 운영실적 엑셀(공정별 근무시간·출고 물량) 집계</t>
        </is>
      </c>
      <c r="I92" s="11" t="inlineStr">
        <is>
          <t>10.15 작성·01 삽입</t>
        </is>
      </c>
      <c r="J92" s="11" t="n"/>
      <c r="K92" s="11" t="inlineStr">
        <is>
          <t>2.2.2_사진2</t>
        </is>
      </c>
      <c r="L92" s="13" t="inlineStr">
        <is>
          <t>O</t>
        </is>
      </c>
      <c r="M92" s="25" t="inlineStr">
        <is>
          <t>[강조] 공정별 UPH = 출고 박스 ÷ 투입 인시, 풀필먼트 19.3→27.6 / [의미] 생산성 지속 향상, 일 목표(OPS 815·풀필 205) 관리</t>
        </is>
      </c>
    </row>
    <row r="93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64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64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64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 / 10.15 01 삽입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66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66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66</v>
      </c>
      <c r="E98" s="10" t="inlineStr">
        <is>
          <t>[사진 3]</t>
        </is>
      </c>
      <c r="F98" s="11" t="inlineStr">
        <is>
          <t>전력 사용 관리(비작업 구역 소등)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비작업 구역 소등 상태·조명 스위치 구역 표시 등 전력 관리 장면(LED 미적용 — LED 사진 불필요)</t>
        </is>
      </c>
    </row>
    <row r="99" hidden="1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67</v>
      </c>
      <c r="E99" s="10" t="inlineStr">
        <is>
          <t>[사진 1]</t>
        </is>
      </c>
      <c r="F99" s="11" t="inlineStr">
        <is>
          <t>Smartship(OMS) 주문 관리 – 판매채널 API 주문 자동 수집 및 풀필먼트 출고 상태 관리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inlineStr">
        <is>
          <t>10.14 01 삽입 확인</t>
        </is>
      </c>
      <c r="J99" s="11" t="n"/>
      <c r="K99" s="11" t="inlineStr">
        <is>
          <t>2.3.1-1_사진1</t>
        </is>
      </c>
      <c r="L99" s="13" t="inlineStr">
        <is>
          <t>O</t>
        </is>
      </c>
      <c r="M99" s="25" t="inlineStr">
        <is>
          <t>[강조] 수집 채널(엑셀·단건·API·플랫폼), 검증 결과(주소·수량·중복) / [의미] 주문 수집~출하지시 자동 처리</t>
        </is>
      </c>
    </row>
    <row r="100" hidden="1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67</v>
      </c>
      <c r="E100" s="10" t="inlineStr">
        <is>
          <t>[사진 2]</t>
        </is>
      </c>
      <c r="F100" s="11" t="inlineStr">
        <is>
          <t>Smartship(OMS) 쇼핑몰 주문 연동 – 판매채널별 API 자동 수집 결과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inlineStr">
        <is>
          <t>10.14 01 삽입 확인</t>
        </is>
      </c>
      <c r="J100" s="11" t="n"/>
      <c r="K100" s="11" t="inlineStr">
        <is>
          <t>2.3.1-1_사진2</t>
        </is>
      </c>
      <c r="L100" s="13" t="inlineStr">
        <is>
          <t>O</t>
        </is>
      </c>
      <c r="M100" s="25" t="inlineStr">
        <is>
          <t>[강조] 연동 중인 쇼핑몰·오픈마켓 목록과 연동 상태 / [의미] 외부 채널과 API 연동</t>
        </is>
      </c>
    </row>
    <row r="101" hidden="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69</v>
      </c>
      <c r="E101" s="10" t="inlineStr">
        <is>
          <t>[사진 1]</t>
        </is>
      </c>
      <c r="F101" s="11" t="inlineStr">
        <is>
          <t>SW(WMS) 입고 확정 – 도착완료·입고완료 처리 및 재고 반영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inlineStr">
        <is>
          <t>10.14 01 삽입 확인</t>
        </is>
      </c>
      <c r="J101" s="11" t="n"/>
      <c r="K101" s="11" t="inlineStr">
        <is>
          <t>2.3.1-2_사진1</t>
        </is>
      </c>
      <c r="L101" s="13" t="inlineStr">
        <is>
          <t>O</t>
        </is>
      </c>
      <c r="M101" s="25" t="inlineStr">
        <is>
          <t>[강조] 입고 C1~CC 상태, 출고 단계(피킹→검품→DWS→송장) / [의미] 입출고가 시스템에서 단계별 관리</t>
        </is>
      </c>
    </row>
    <row r="102" hidden="1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69</v>
      </c>
      <c r="E102" s="10" t="inlineStr">
        <is>
          <t>[사진 2]</t>
        </is>
      </c>
      <c r="F102" s="11" t="inlineStr">
        <is>
          <t>TMS MAWB 상세 – 항공편 출항·입항 일정 및 Flight Confirm 관리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inlineStr">
        <is>
          <t>10.14 01 삽입 확인</t>
        </is>
      </c>
      <c r="J102" s="11" t="n"/>
      <c r="K102" s="11" t="inlineStr">
        <is>
          <t>2.3.1-2_사진2</t>
        </is>
      </c>
      <c r="L102" s="13" t="inlineStr">
        <is>
          <t>O</t>
        </is>
      </c>
      <c r="M102" s="25" t="inlineStr">
        <is>
          <t>[강조] 운송·인계 내역(택배사·조업사, MAWB) / [의미] WMS↔TMS 연계로 배송정보 실시간 공유</t>
        </is>
      </c>
    </row>
    <row r="103" hidden="1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71</v>
      </c>
      <c r="E103" s="10" t="inlineStr">
        <is>
          <t>[사진 1]</t>
        </is>
      </c>
      <c r="F103" s="11" t="inlineStr">
        <is>
          <t>SW(WMS) 재고실사 관리 – 실사 생성(대상 유형·기간 지정) 및 실사 목록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inlineStr">
        <is>
          <t>10.14 01 삽입 확인</t>
        </is>
      </c>
      <c r="J103" s="11" t="n"/>
      <c r="K103" s="11" t="inlineStr">
        <is>
          <t>2.3.1-3_사진1</t>
        </is>
      </c>
      <c r="L103" s="13" t="inlineStr">
        <is>
          <t>O</t>
        </is>
      </c>
      <c r="M103" s="25" t="inlineStr">
        <is>
          <t>대시보드·셀 상세·실사·마감리포트 4개 화면을 한 장에 모아 배치(각 화면 제목 표시)</t>
        </is>
      </c>
    </row>
    <row r="104" hidden="1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72</v>
      </c>
      <c r="E104" s="10" t="inlineStr">
        <is>
          <t>[사진 1]</t>
        </is>
      </c>
      <c r="F104" s="11" t="inlineStr">
        <is>
          <t>SW(WMS) 창고 레이아웃 관리 – Zone·Block·설비(소터·DWS) 배치 등록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inlineStr">
        <is>
          <t>10.14 01 삽입 확인</t>
        </is>
      </c>
      <c r="J104" s="11" t="n"/>
      <c r="K104" s="11" t="inlineStr">
        <is>
          <t>2.3.1-4_사진1</t>
        </is>
      </c>
      <c r="L104" s="13" t="inlineStr">
        <is>
          <t>O</t>
        </is>
      </c>
      <c r="M104" s="25" t="inlineStr">
        <is>
          <t>레이아웃관리·디바이스 등록·작업자 추적 3개 화면을 한 장에 배치(공간·단말·인력 자원 관리)</t>
        </is>
      </c>
    </row>
    <row r="105" hidden="1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73</v>
      </c>
      <c r="E105" s="10" t="inlineStr">
        <is>
          <t>[사진 1]</t>
        </is>
      </c>
      <c r="F105" s="11" t="inlineStr">
        <is>
          <t>SW(WMS) 전체 대시보드 – 풀필먼트 공정별 처리 현황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inlineStr">
        <is>
          <t>10.14 01 삽입 확인</t>
        </is>
      </c>
      <c r="J105" s="11" t="n"/>
      <c r="K105" s="11" t="inlineStr">
        <is>
          <t>2.3.1-5_사진1</t>
        </is>
      </c>
      <c r="L105" s="13" t="inlineStr">
        <is>
          <t>O</t>
        </is>
      </c>
      <c r="M105" s="25" t="inlineStr">
        <is>
          <t>[강조] 주문 상태별(대기·픽킹·팩킹·펜딩·출고·취소) 건수 / [의미] 풀필먼트 주문 통합 관리</t>
        </is>
      </c>
    </row>
    <row r="106" hidden="1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73</v>
      </c>
      <c r="E106" s="10" t="inlineStr">
        <is>
          <t>[사진 2]</t>
        </is>
      </c>
      <c r="F106" s="11" t="inlineStr">
        <is>
          <t>SW(WMS) 고객반품 관리 – 반품 주문 등록·DPC 도착·검품·셀러 확인·최종 완료 단계 관리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inlineStr">
        <is>
          <t>10.14 01 삽입 확인</t>
        </is>
      </c>
      <c r="J106" s="11" t="n"/>
      <c r="K106" s="11" t="inlineStr">
        <is>
          <t>2.3.1-5_사진2</t>
        </is>
      </c>
      <c r="L106" s="13" t="inlineStr">
        <is>
          <t>O</t>
        </is>
      </c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73</v>
      </c>
      <c r="E107" s="10" t="inlineStr">
        <is>
          <t>[사진 3]</t>
        </is>
      </c>
      <c r="F107" s="11" t="inlineStr">
        <is>
          <t>SW(WMS) 오류화물(펜딩) 관리 – SKU 미정의·재고 부족·통관 품목·경로 검증 등 유형별 보류 처리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inlineStr">
        <is>
          <t>10.14 01 삽입 확인</t>
        </is>
      </c>
      <c r="J107" s="11" t="n"/>
      <c r="K107" s="11" t="inlineStr">
        <is>
          <t>2.3.1-5_사진3</t>
        </is>
      </c>
      <c r="L107" s="13" t="inlineStr">
        <is>
          <t>O</t>
        </is>
      </c>
      <c r="M107" s="25" t="inlineStr">
        <is>
          <t>[강조] 오류화물 목록·사유·처리 상태 / [의미] 예외 화물 관리</t>
        </is>
      </c>
    </row>
    <row r="108" hidden="1" ht="27" customHeight="1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75</v>
      </c>
      <c r="E108" s="10" t="inlineStr">
        <is>
          <t>[사진 1]</t>
        </is>
      </c>
      <c r="F108" s="11" t="inlineStr">
        <is>
          <t>SW(WMS) 소터 모니터링 – 투입구(DWS)별·시간대별 분류 처리 건수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inlineStr">
        <is>
          <t>10.14 01 삽입 확인</t>
        </is>
      </c>
      <c r="J108" s="11" t="n"/>
      <c r="K108" s="11" t="inlineStr">
        <is>
          <t>2.3.2_사진1</t>
        </is>
      </c>
      <c r="L108" s="13" t="inlineStr">
        <is>
          <t>O</t>
        </is>
      </c>
      <c r="M108" s="25" t="inlineStr">
        <is>
          <t>[강조] 소터 모니터링 매트릭스 + 슈트 설정 화면 / [의미] 자동화 설비 전반이 WMS와 실시간 연동(WCS 역할)</t>
        </is>
      </c>
    </row>
    <row r="109" ht="27" customHeight="1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75</v>
      </c>
      <c r="E109" s="10" t="inlineStr">
        <is>
          <t>[사진 2]</t>
        </is>
      </c>
      <c r="F109" s="11" t="inlineStr">
        <is>
          <t>휠소터 설비 구성도(실도면) – 투입구·합류 컨베이어·싱귤레이터·스캐너·휠소터(9모듈) 배치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inlineStr">
        <is>
          <t>10.16 실도면 01 삽입</t>
        </is>
      </c>
      <c r="J109" s="11" t="n"/>
      <c r="K109" s="11" t="inlineStr">
        <is>
          <t>2.3.2_사진2</t>
        </is>
      </c>
      <c r="L109" s="13" t="inlineStr">
        <is>
          <t>O</t>
        </is>
      </c>
      <c r="M109" s="25" t="inlineStr">
        <is>
          <t>CAD 실도면(투입·합류·싱귤레이터·스캐너·휠소터 9모듈, 총길이 약 31m) – 10.16 캡션 수정</t>
        </is>
      </c>
    </row>
    <row r="110"/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11" hiddenButton="0" showButton="1">
      <filters blank="1">
        <filter val="△"/>
      </filters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2026-10-15T23:20:23Z</dcterms:modified>
  <cp:lastModifiedBy>Jang Yun Jin(장윤진)</cp:lastModifiedBy>
</cp:coreProperties>
</file>