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확인 필요" sheetId="1" state="visible" r:id="rId1"/>
    <sheet xmlns:r="http://schemas.openxmlformats.org/officeDocument/2006/relationships" name="파일별 추가 작성" sheetId="2" state="visible" r:id="rId2"/>
    <sheet xmlns:r="http://schemas.openxmlformats.org/officeDocument/2006/relationships" name="현장사진·증빙 목록" sheetId="3" state="visible" r:id="rId3"/>
  </sheets>
  <definedNames>
    <definedName name="_xlnm._FilterDatabase" localSheetId="1" hidden="1">'파일별 추가 작성'!$A$4:$I$59</definedName>
    <definedName name="_xlnm._FilterDatabase" localSheetId="2" hidden="1">'현장사진·증빙 목록'!$A$4:$M$109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3"/>
      <color rgb="FF595959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3"/>
      <color rgb="FF595959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0"/>
    </font>
    <font>
      <name val="맑은 고딕"/>
      <charset val="129"/>
      <family val="3"/>
      <b val="1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C00000"/>
      <sz val="9"/>
    </font>
    <font>
      <b val="1"/>
      <color rgb="001F3864"/>
      <sz val="13"/>
    </font>
    <font>
      <color rgb="00595959"/>
      <sz val="9"/>
    </font>
    <font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00FFEB9C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  <xf numFmtId="0" fontId="8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vertical="top" wrapText="1"/>
    </xf>
    <xf numFmtId="0" fontId="9" fillId="6" borderId="2" applyAlignment="1" pivotButton="0" quotePrefix="0" xfId="0">
      <alignment horizontal="center" vertical="top" wrapText="1"/>
    </xf>
    <xf numFmtId="0" fontId="9" fillId="7" borderId="2" applyAlignment="1" pivotButton="0" quotePrefix="0" xfId="0">
      <alignment horizontal="center" vertical="top" wrapText="1"/>
    </xf>
    <xf numFmtId="0" fontId="9" fillId="8" borderId="2" applyAlignment="1" pivotButton="0" quotePrefix="0" xfId="0">
      <alignment horizontal="center" vertical="top" wrapText="1"/>
    </xf>
    <xf numFmtId="0" fontId="9" fillId="9" borderId="2" applyAlignment="1" pivotButton="0" quotePrefix="0" xfId="0">
      <alignment horizontal="center" vertical="top" wrapText="1"/>
    </xf>
    <xf numFmtId="0" fontId="10" fillId="0" borderId="0" pivotButton="0" quotePrefix="0" xfId="0"/>
    <xf numFmtId="0" fontId="11" fillId="0" borderId="0" pivotButton="0" quotePrefix="0" xfId="0"/>
    <xf numFmtId="0" fontId="8" fillId="5" borderId="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top"/>
    </xf>
    <xf numFmtId="0" fontId="12" fillId="0" borderId="3" applyAlignment="1" pivotButton="0" quotePrefix="0" xfId="0">
      <alignment vertical="top" wrapText="1"/>
    </xf>
    <xf numFmtId="0" fontId="0" fillId="0" borderId="3" pivotButton="0" quotePrefix="0" xfId="0"/>
    <xf numFmtId="0" fontId="4" fillId="11" borderId="1" applyAlignment="1" pivotButton="0" quotePrefix="0" xfId="0">
      <alignment horizontal="center" vertical="top"/>
    </xf>
    <xf numFmtId="0" fontId="9" fillId="12" borderId="2" applyAlignment="1" pivotButton="0" quotePrefix="0" xfId="0">
      <alignment horizontal="center" vertical="top" wrapText="1"/>
    </xf>
    <xf numFmtId="0" fontId="9" fillId="13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vertical="top" wrapText="1"/>
    </xf>
    <xf numFmtId="0" fontId="13" fillId="0" borderId="0" pivotButton="0" quotePrefix="0" xfId="0"/>
    <xf numFmtId="0" fontId="9" fillId="7" borderId="2" applyAlignment="1" pivotButton="0" quotePrefix="0" xfId="0">
      <alignment vertical="top" wrapText="1"/>
    </xf>
    <xf numFmtId="0" fontId="12" fillId="0" borderId="3" applyAlignment="1" pivotButton="0" quotePrefix="0" xfId="0">
      <alignment horizontal="center" vertical="top" wrapText="1"/>
    </xf>
    <xf numFmtId="0" fontId="12" fillId="12" borderId="3" applyAlignment="1" pivotButton="0" quotePrefix="0" xfId="0">
      <alignment horizontal="center" vertical="top" wrapText="1"/>
    </xf>
    <xf numFmtId="0" fontId="12" fillId="7" borderId="3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/>
    </xf>
    <xf numFmtId="0" fontId="9" fillId="14" borderId="2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12" fillId="13" borderId="3" applyAlignment="1" pivotButton="0" quotePrefix="0" xfId="0">
      <alignment horizontal="center"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4" borderId="4" applyAlignment="1" pivotButton="0" quotePrefix="0" xfId="0">
      <alignment horizontal="center" vertical="center" wrapText="1"/>
    </xf>
    <xf numFmtId="0" fontId="16" fillId="16" borderId="4" applyAlignment="1" pivotButton="0" quotePrefix="0" xfId="0">
      <alignment horizontal="center" vertical="center" wrapText="1"/>
    </xf>
    <xf numFmtId="0" fontId="16" fillId="11" borderId="4" applyAlignment="1" pivotButton="0" quotePrefix="0" xfId="0">
      <alignment horizontal="center" vertical="center" wrapText="1"/>
    </xf>
    <xf numFmtId="0" fontId="17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7" activePane="bottomLeft" state="frozen"/>
      <selection pane="bottomLeft" activeCell="H20" sqref="H20"/>
    </sheetView>
  </sheetViews>
  <sheetFormatPr baseColWidth="8" defaultRowHeight="16.5"/>
  <cols>
    <col width="5" customWidth="1" min="1" max="1"/>
    <col width="11" customWidth="1" min="2" max="2"/>
    <col width="26" customWidth="1" min="3" max="4"/>
    <col width="40" customWidth="1" min="5" max="5"/>
    <col width="48" customWidth="1" min="6" max="6"/>
    <col width="20" customWidth="1" min="7" max="7"/>
    <col width="28" customWidth="1" min="8" max="8"/>
    <col width="11" customWidth="1" min="9" max="9"/>
    <col width="50" customWidth="1" min="10" max="10"/>
  </cols>
  <sheetData>
    <row r="1" ht="20.25" customHeight="1">
      <c r="A1" s="1" t="inlineStr">
        <is>
          <t>나중에 확인할 사항 (자체평가서 수정 대기 목록)</t>
        </is>
      </c>
    </row>
    <row r="2">
      <c r="A2" s="2" t="inlineStr">
        <is>
          <t>확인 후 Claude에게 "확인 필요 목록 처리해줘"라고 요청하면 결과에 맞춰 01·⑤·⑥·00 파일을 함께 수정합니다.</t>
        </is>
      </c>
    </row>
    <row r="3">
      <c r="A3" s="2" t="inlineStr">
        <is>
          <t>※ 쪽수는 PDF 변환 기준이며 Word에서는 1쪽 정도 차이 날 수 있습니다. 항목 번호로 찾아 주세요.</t>
        </is>
      </c>
    </row>
    <row r="4">
      <c r="A4" s="3" t="inlineStr">
        <is>
          <t>No</t>
        </is>
      </c>
      <c r="B4" s="3" t="inlineStr">
        <is>
          <t>등록일</t>
        </is>
      </c>
      <c r="C4" s="3" t="inlineStr">
        <is>
          <t>항목</t>
        </is>
      </c>
      <c r="D4" s="3" t="inlineStr">
        <is>
          <t>문서 / 위치</t>
        </is>
      </c>
      <c r="E4" s="3" t="inlineStr">
        <is>
          <t>확인할 질문</t>
        </is>
      </c>
      <c r="F4" s="3" t="inlineStr">
        <is>
          <t>확인 결과에 따른 처리</t>
        </is>
      </c>
      <c r="G4" s="3" t="inlineStr">
        <is>
          <t>점수 영향</t>
        </is>
      </c>
      <c r="H4" s="3" t="inlineStr">
        <is>
          <t>확인 결과(입력)</t>
        </is>
      </c>
      <c r="I4" s="3" t="inlineStr">
        <is>
          <t>상태</t>
        </is>
      </c>
      <c r="J4" s="18" t="inlineStr">
        <is>
          <t>처리 내용 (2026-10-07 반영)</t>
        </is>
      </c>
    </row>
    <row r="5" ht="27" customHeight="1">
      <c r="A5" s="4" t="n">
        <v>1</v>
      </c>
      <c r="B5" s="4" t="inlineStr">
        <is>
          <t>2026-10-07</t>
        </is>
      </c>
      <c r="C5" s="4" t="inlineStr">
        <is>
          <t>1.1.3 상품 검수/검품/분류 (4등급)</t>
        </is>
      </c>
      <c r="D5" s="4" t="inlineStr">
        <is>
          <t>01 자체평가서 1.1.3 페이지(약 10쪽)</t>
        </is>
      </c>
      <c r="E5" s="4" t="inlineStr">
        <is>
          <t>재고 입고 시점에 휴대용 DWS를 사용하지 않음 → 확인 완료</t>
        </is>
      </c>
      <c r="F5" s="4" t="inlineStr">
        <is>
          <t>설비 및 장비 칸에서 "휴대용 DWS" 삭제, 작성 메모(자동 계측 근거 시 3등급 검토) 삭제. 등급은 4등급 유지</t>
        </is>
      </c>
      <c r="G5" s="4" t="inlineStr">
        <is>
          <t>변동 없음 (14.0점)</t>
        </is>
      </c>
      <c r="H5" s="5" t="inlineStr">
        <is>
          <t>재고 입고 시 DWS 미사용</t>
        </is>
      </c>
      <c r="I5" s="19" t="inlineStr">
        <is>
          <t>반영 완료</t>
        </is>
      </c>
      <c r="J5" s="20" t="inlineStr">
        <is>
          <t>01 1.1.3 설비 칸에서 휴대용 DWS 삭제, 작성 메모 삭제. 4등급 유지</t>
        </is>
      </c>
    </row>
    <row r="6" ht="54" customHeight="1">
      <c r="A6" s="4" t="n">
        <v>2</v>
      </c>
      <c r="B6" s="4" t="inlineStr">
        <is>
          <t>2026-10-07</t>
        </is>
      </c>
      <c r="C6" s="4" t="inlineStr">
        <is>
          <t>1.1.4 제품정보의 인식 및 등록 (현재 3등급)</t>
        </is>
      </c>
      <c r="D6" s="4" t="inlineStr">
        <is>
          <t>01 자체평가서 1.1.4 페이지(약 11쪽)</t>
        </is>
      </c>
      <c r="E6" s="4" t="inlineStr">
        <is>
          <t>신규 SKU를 처음 등록할 때 DWS로 가로·세로·높이·무게를 측정해 시스템(SKU 정보)에 넣는가?</t>
        </is>
      </c>
      <c r="F6" s="4" t="inlineStr">
        <is>
          <t>예 → 3등급 유지, 문구를 "신규 SKU 등록 시 DWS 측정"으로 수정
아니오 → 4등급으로 하향, DWS 측정 문구 삭제(바코드 스캔·SKU 관리 화면 등록 중심으로 재작성)</t>
        </is>
      </c>
      <c r="G6" s="4" t="inlineStr">
        <is>
          <t>아니오일 때 −2.0점 (16.0→14.0, 총점 787.0→785.0)</t>
        </is>
      </c>
      <c r="H6" s="5" t="inlineStr">
        <is>
          <t xml:space="preserve">아니오 </t>
        </is>
      </c>
      <c r="I6" s="19" t="inlineStr">
        <is>
          <t>반영 완료</t>
        </is>
      </c>
      <c r="J6" s="20" t="inlineStr">
        <is>
          <t>01 1.1.4 3→4등급(−2.0점). DWS 측정 문구를 바코드 스캔·SKU 관리 등록 중심으로 재작성, 사진 1·3 교체. ⑤·⑥·00 반영</t>
        </is>
      </c>
    </row>
    <row r="7" ht="40.5" customHeight="1">
      <c r="A7" s="4" t="n">
        <v>3</v>
      </c>
      <c r="B7" s="4" t="inlineStr">
        <is>
          <t>2026-10-07</t>
        </is>
      </c>
      <c r="C7" s="4" t="inlineStr">
        <is>
          <t>04 도입설비 및 장비 명세서 — 휴대용 DWS</t>
        </is>
      </c>
      <c r="D7" s="4" t="inlineStr">
        <is>
          <t>04 명세서 설비 개요표·① 입고 단계 / 01 자체평가서 1.1.4 작성 메모</t>
        </is>
      </c>
      <c r="E7" s="4" t="inlineStr">
        <is>
          <t>휴대용 DWS 6대는 실제로 어느 공정에서 쓰는가? 수량이 맞는가? (현재 04: 휴대용 6대 / 02·05: 2대 / 07: 입고용 2대로 서로 다름)</t>
        </is>
      </c>
      <c r="F7" s="4" t="inlineStr">
        <is>
          <t>공정 구분을 실제 사용처로 수정. 02·05·07의 DWS 수량(2대 등)과 통일</t>
        </is>
      </c>
      <c r="G7" s="4" t="inlineStr">
        <is>
          <t>없음 (문서 정합성)</t>
        </is>
      </c>
      <c r="H7" s="5" t="n"/>
      <c r="I7" s="6" t="inlineStr">
        <is>
          <t>미확인</t>
        </is>
      </c>
      <c r="J7" s="21" t="n"/>
    </row>
    <row r="8" ht="27" customHeight="1">
      <c r="A8" s="4" t="n">
        <v>4</v>
      </c>
      <c r="B8" s="4" t="inlineStr">
        <is>
          <t>2026-10-06</t>
        </is>
      </c>
      <c r="C8" s="4" t="inlineStr">
        <is>
          <t>1.1.2 하역 작업 (2등급) — 도착 처리 단말</t>
        </is>
      </c>
      <c r="D8" s="4" t="inlineStr">
        <is>
          <t>01 자체평가서 1.1.2 프로세스 ③</t>
        </is>
      </c>
      <c r="E8" s="4" t="inlineStr">
        <is>
          <t>하역 후 도착 처리를 PDA로 하는가, 사무실 PC(SW 입고신청 화면 "진행" 버튼)로 하는가?</t>
        </is>
      </c>
      <c r="F8" s="4" t="inlineStr">
        <is>
          <t>현재 "현장 단말에서"로 넓게 표현함. 확인되면 PDA 또는 PC로 구체화, [사진 3] 설명도 맞춤</t>
        </is>
      </c>
      <c r="G8" s="4" t="inlineStr">
        <is>
          <t>없음</t>
        </is>
      </c>
      <c r="H8" s="5" t="inlineStr">
        <is>
          <t xml:space="preserve">PDA+PC 둘 다. </t>
        </is>
      </c>
      <c r="I8" s="19" t="inlineStr">
        <is>
          <t>반영 완료</t>
        </is>
      </c>
      <c r="J8" s="20" t="inlineStr">
        <is>
          <t>01 1.1.2 ③ "PDA 또는 사무실 PC(SW 입고신청 화면)에서 도착 처리"로 구체화, 사진 3 설명 수정</t>
        </is>
      </c>
    </row>
    <row r="9" ht="40.5" customHeight="1">
      <c r="A9" s="4" t="n">
        <v>5</v>
      </c>
      <c r="B9" s="4" t="inlineStr">
        <is>
          <t>2026-10-07</t>
        </is>
      </c>
      <c r="C9" s="4" t="inlineStr">
        <is>
          <t>Ⅲ. 회사 및 물류센터 개요</t>
        </is>
      </c>
      <c r="D9" s="4" t="inlineStr">
        <is>
          <t>01 자체평가서 Ⅲ장 개요표 (약 5쪽)</t>
        </is>
      </c>
      <c r="E9" s="4" t="inlineStr">
        <is>
          <t>영종센터 종업원 수(정규직·임시직·기타), 최근 3년 매출액(억원), 센터 처리물동량(박스)은? — 인사·재무팀 확정값</t>
        </is>
      </c>
      <c r="F9" s="4" t="inlineStr">
        <is>
          <t>개요표 [  ] 칸에 입력, 작성 메모 삭제</t>
        </is>
      </c>
      <c r="G9" s="4" t="inlineStr">
        <is>
          <t>없음 (필수 기재)</t>
        </is>
      </c>
      <c r="H9" s="5" t="inlineStr">
        <is>
          <t>처리물동량(박스, 영종센터 OPS+풀필먼트): 2026년 1~9월 3,706,125 / 2025년 6~12월 2,184,759(6월부터 집계, 1~5월 자료 없음). 매출액은 추후 수령(기준: 센터 물류서비스 매출, 플랫폼 이용료 제외)</t>
        </is>
      </c>
      <c r="I9" s="33" t="inlineStr">
        <is>
          <t>일부 반영</t>
        </is>
      </c>
      <c r="J9" s="21" t="inlineStr">
        <is>
          <t>2026-10-15: 물동량 반영 완료(2025.6~12·2026.1~9, 단위 박스로 통일). 남은 것: 종업원 수, 매출액</t>
        </is>
      </c>
    </row>
    <row r="10" ht="27" customHeight="1">
      <c r="A10" s="4" t="n">
        <v>6</v>
      </c>
      <c r="B10" s="4" t="inlineStr">
        <is>
          <t>2026-10-07</t>
        </is>
      </c>
      <c r="C10" s="4" t="inlineStr">
        <is>
          <t>Ⅲ. 인증업무 담당자</t>
        </is>
      </c>
      <c r="D10" s="4" t="inlineStr">
        <is>
          <t>01 자체평가서 Ⅲ장 개요표 (약 5쪽)</t>
        </is>
      </c>
      <c r="E10" s="4" t="inlineStr">
        <is>
          <t>인증업무 담당자 성명·직책·전화·E-mail</t>
        </is>
      </c>
      <c r="F10" s="4" t="inlineStr">
        <is>
          <t>개요표 담당자 칸 입력 (신청서 기재안 실무담당자와 동일하게)</t>
        </is>
      </c>
      <c r="G10" s="4" t="inlineStr">
        <is>
          <t>없음</t>
        </is>
      </c>
      <c r="H10" s="5" t="n"/>
      <c r="I10" s="6" t="inlineStr">
        <is>
          <t>미확인</t>
        </is>
      </c>
      <c r="J10" s="21" t="n"/>
    </row>
    <row r="11" ht="40.5" customHeight="1">
      <c r="A11" s="4" t="n">
        <v>7</v>
      </c>
      <c r="B11" s="4" t="inlineStr">
        <is>
          <t>2026-10-07</t>
        </is>
      </c>
      <c r="C11" s="4" t="inlineStr">
        <is>
          <t>센터 면적 통일</t>
        </is>
      </c>
      <c r="D11" s="4" t="inlineStr">
        <is>
          <t>01 자체평가서 Ⅲ장 작성 메모 / 02·05·⑧</t>
        </is>
      </c>
      <c r="E11" s="4" t="inlineStr">
        <is>
          <t>인증 대상 면적의 기준은? (05·⑧ 기능구역 합계 7,358.4㎡ / Lay-out 2,845평≈9,405㎡ / 창고업 등록 19,412.63㎡) — 임대차계약서 면적 확인</t>
        </is>
      </c>
      <c r="F11" s="4" t="inlineStr">
        <is>
          <t>확정 면적으로 01·02·05·⑧·신청서 기재안 통일</t>
        </is>
      </c>
      <c r="G11" s="4" t="inlineStr">
        <is>
          <t>없음 (문서 정합성)</t>
        </is>
      </c>
      <c r="H11" s="5" t="inlineStr">
        <is>
          <t>임대차(16-2·16-3): 2026.07.15부 3층 잔여 임차 3,474.25평(≈11,485㎡) / Lay-out 운영면적 2,845평 / 창고업 등록 19,412.63㎡는 해지 전 면적 (2026-10-14 자료 확보)</t>
        </is>
      </c>
      <c r="I11" s="6" t="inlineStr">
        <is>
          <t>일부 반영</t>
        </is>
      </c>
      <c r="J11" s="21" t="inlineStr">
        <is>
          <t>2026-10-14: 근거 자료 확보, 00 진행현황에 반영. 남은 것: 인증 대상 면적 기준(임차 vs 운영) 결정 후 01·02·05·⑧·① 통일</t>
        </is>
      </c>
    </row>
    <row r="12" ht="40.5" customHeight="1">
      <c r="A12" s="4" t="n">
        <v>8</v>
      </c>
      <c r="B12" s="4" t="inlineStr">
        <is>
          <t>2026-10-07</t>
        </is>
      </c>
      <c r="C12" s="4" t="inlineStr">
        <is>
          <t>상호 표기 통일</t>
        </is>
      </c>
      <c r="D12" s="4" t="inlineStr">
        <is>
          <t>01 Ⅲ장 작성 메모 / 04·05·07·08·④·⑦·⑧</t>
        </is>
      </c>
      <c r="E12" s="4" t="inlineStr">
        <is>
          <t>"(주)트랙스로지스" → "트랙스로지스코리아(주)"로 전 문서 통일해도 되는가? (창고업 등록증의 "트렉스" 오기 정정 여부 포함)</t>
        </is>
      </c>
      <c r="F12" s="4" t="inlineStr">
        <is>
          <t>기존 초안 문서들의 상호 일괄 수정</t>
        </is>
      </c>
      <c r="G12" s="4" t="inlineStr">
        <is>
          <t>없음 (문서 정합성)</t>
        </is>
      </c>
      <c r="H12" s="5" t="inlineStr">
        <is>
          <t xml:space="preserve">가능 </t>
        </is>
      </c>
      <c r="I12" s="31" t="inlineStr">
        <is>
          <t>반영 완료</t>
        </is>
      </c>
      <c r="J12" s="20" t="inlineStr">
        <is>
          <t>01은 이미 "트랙스로지스코리아(주)" 사용 → Ⅲ장 작성 메모에서 해당 줄 삭제. 2026-10-13: 제출서류_10종 02·04·05·06·07·08 표지 신청기업을 "트랙스로지스코리아(주) / TracX Logis Korea"로, 바닥글 "TracX Logis"를 "TracX Logis Korea"로 수정. (④·⑦·⑧ 초안은 저장소에 없음)</t>
        </is>
      </c>
    </row>
    <row r="13" ht="27" customHeight="1">
      <c r="A13" s="4" t="n">
        <v>9</v>
      </c>
      <c r="B13" s="4" t="inlineStr">
        <is>
          <t>2026-10-07</t>
        </is>
      </c>
      <c r="C13" s="4" t="inlineStr">
        <is>
          <t>1.1.2 하역 작업 — 도크레벨러 수량</t>
        </is>
      </c>
      <c r="D13" s="4" t="inlineStr">
        <is>
          <t>01 자체평가서 1.1.2 (약 8쪽) 작성 메모</t>
        </is>
      </c>
      <c r="E13" s="4" t="inlineStr">
        <is>
          <t>도크레벨러는 1개소인가 2개소인가? (02 설계설명서 1개소 / Lay-out 2개소)</t>
        </is>
      </c>
      <c r="F13" s="4" t="inlineStr">
        <is>
          <t>01·02·04·05 수량 통일, 작성 메모 삭제</t>
        </is>
      </c>
      <c r="G13" s="4" t="inlineStr">
        <is>
          <t>없음</t>
        </is>
      </c>
      <c r="H13" s="5" t="n"/>
      <c r="I13" s="6" t="inlineStr">
        <is>
          <t>미확인</t>
        </is>
      </c>
      <c r="J13" s="21" t="n"/>
    </row>
    <row r="14" ht="27" customHeight="1">
      <c r="A14" s="4" t="n">
        <v>10</v>
      </c>
      <c r="B14" s="4" t="inlineStr">
        <is>
          <t>2026-10-07</t>
        </is>
      </c>
      <c r="C14" s="4" t="inlineStr">
        <is>
          <t>1.2.1 작업정보의 정보제공 (3등급)</t>
        </is>
      </c>
      <c r="D14" s="4" t="inlineStr">
        <is>
          <t>01 자체평가서 1.2.1 (약 12쪽) 작성 메모</t>
        </is>
      </c>
      <c r="E14" s="4" t="inlineStr">
        <is>
          <t>WMS 로케이션 추천에 기준·규칙(회전율, ABC 분석 등)이 있는가? 문서화할 수 있는가?</t>
        </is>
      </c>
      <c r="F14" s="4" t="inlineStr">
        <is>
          <t>있음 → 규칙 설명 추가, 2등급 검토 / 없음 → 3등급 유지, 메모 삭제</t>
        </is>
      </c>
      <c r="G14" s="4" t="inlineStr">
        <is>
          <t>있을 때 +3.0점</t>
        </is>
      </c>
      <c r="H14" s="5" t="inlineStr">
        <is>
          <t xml:space="preserve">기준이 있는데 기존 입고 위치 기준으로 추천함. </t>
        </is>
      </c>
      <c r="I14" s="19" t="inlineStr">
        <is>
          <t>반영 완료</t>
        </is>
      </c>
      <c r="J14" s="20" t="inlineStr">
        <is>
          <t>01 1.2.1 ①에 "동일 SKU 기존 보관 위치 기준 추천" 규칙 명시, 판단근거 보강. 분석 기반 최적화가 아니어서 3등급 유지, 작성 메모 삭제</t>
        </is>
      </c>
    </row>
    <row r="15" ht="27" customHeight="1">
      <c r="A15" s="4" t="n">
        <v>11</v>
      </c>
      <c r="B15" s="4" t="inlineStr">
        <is>
          <t>2026-10-07</t>
        </is>
      </c>
      <c r="C15" s="4" t="inlineStr">
        <is>
          <t>1.2.2 적치장소 이동 — 지게차</t>
        </is>
      </c>
      <c r="D15" s="4" t="inlineStr">
        <is>
          <t>01 자체평가서 1.2.2 (약 13쪽) 작성 메모</t>
        </is>
      </c>
      <c r="E15" s="4" t="inlineStr">
        <is>
          <t>지게차 보유 대수와 동력원(전동/디젤)은?</t>
        </is>
      </c>
      <c r="F15" s="4" t="inlineStr">
        <is>
          <t>01 설비 칸·04 명세서에 추가. 전동이면 2.1.4 ⑥(친환경 에너지원) 적용 근거로도 활용</t>
        </is>
      </c>
      <c r="G15" s="4" t="inlineStr">
        <is>
          <t>없음 (2.1.4 등급에 영향 가능)</t>
        </is>
      </c>
      <c r="H15" s="5" t="inlineStr">
        <is>
          <t>지게차 운전자 8명(2026.06.23 안전작업 서약서 기준). 보유 대수·동력원은 미확인</t>
        </is>
      </c>
      <c r="I15" s="33" t="inlineStr">
        <is>
          <t>일부 반영</t>
        </is>
      </c>
      <c r="J15" s="21" t="inlineStr">
        <is>
          <t>2026-10-13: 01 1.2.2 ④ 지게차 안전작업 수칙 추가, [사진 3] 서약서 추가. 남은 것: 지게차 보유 대수·전동/디젤</t>
        </is>
      </c>
    </row>
    <row r="16" ht="27" customHeight="1">
      <c r="A16" s="4" t="n">
        <v>12</v>
      </c>
      <c r="B16" s="4" t="inlineStr">
        <is>
          <t>2026-10-07</t>
        </is>
      </c>
      <c r="C16" s="4" t="inlineStr">
        <is>
          <t>1.3.1 재고조사 — 정확도 실적</t>
        </is>
      </c>
      <c r="D16" s="4" t="inlineStr">
        <is>
          <t>01 자체평가서 1.3.1 (약 16쪽) 작성 메모</t>
        </is>
      </c>
      <c r="E16" s="4" t="inlineStr">
        <is>
          <t>최근 1년 재고 실사 결과(재고 정확도 %) 자료가 있는가?</t>
        </is>
      </c>
      <c r="F16" s="4" t="inlineStr">
        <is>
          <t>있음 → 증빙 첨부, 수치 기재 / 없음 → 3등급 유지 가능성 검토</t>
        </is>
      </c>
      <c r="G16" s="4" t="inlineStr">
        <is>
          <t>없을 때 하향 위험</t>
        </is>
      </c>
      <c r="H16" s="5" t="inlineStr">
        <is>
          <t>결과는 있는데 정확도는 제공되지 않는다면? (추가할 순 잇음)</t>
        </is>
      </c>
      <c r="I16" s="22" t="inlineStr">
        <is>
          <t>반영 대기</t>
        </is>
      </c>
      <c r="J16" s="20" t="inlineStr">
        <is>
          <t>01 1.3.1 작성 메모를 "실사 결과로 재고 정확도(일치 건 ÷ 실사 대상 건) 산출해 수치 기재"로 갱신. 수치 제공 시 본문 반영</t>
        </is>
      </c>
    </row>
    <row r="17" ht="40.5" customHeight="1">
      <c r="A17" s="4" t="n">
        <v>13</v>
      </c>
      <c r="B17" s="4" t="inlineStr">
        <is>
          <t>2026-10-07</t>
        </is>
      </c>
      <c r="C17" s="4" t="inlineStr">
        <is>
          <t>1.3.2 재고보충정보 생성·지시 (3등급)</t>
        </is>
      </c>
      <c r="D17" s="4" t="inlineStr">
        <is>
          <t>01 자체평가서 1.3.2 (약 17쪽) 작성 메모</t>
        </is>
      </c>
      <c r="E17" s="4" t="inlineStr">
        <is>
          <t>보충 요청이 기준재고(최소재고)에 따라 시스템이 자동 생성하는가, 관리자가 재고 재배치 화면에서 수동 등록하는가?</t>
        </is>
      </c>
      <c r="F17" s="4" t="inlineStr">
        <is>
          <t>자동 → 3등급 유지 / 수동 → 4등급으로 하향</t>
        </is>
      </c>
      <c r="G17" s="4" t="inlineStr">
        <is>
          <t>수동일 때 −2.5점</t>
        </is>
      </c>
      <c r="H17" s="5" t="inlineStr">
        <is>
          <t>보충 이동 실적 최근 1년 2건 – 보관·피킹 겸용 셀 운영으로 보충이 거의 필요 없음(2026-10-14 확인)</t>
        </is>
      </c>
      <c r="I17" s="19" t="inlineStr">
        <is>
          <t>반영 완료</t>
        </is>
      </c>
      <c r="J17" s="20" t="inlineStr">
        <is>
          <t>01 1.3.2 ①② 운영 실태에 맞게 수정, 자동 생성 문구 삭제, 3→4등급(−2.5점, 총점 789.0)</t>
        </is>
      </c>
    </row>
    <row r="18" ht="40.5" customHeight="1">
      <c r="A18" s="4" t="n">
        <v>14</v>
      </c>
      <c r="B18" s="4" t="inlineStr">
        <is>
          <t>2026-10-07</t>
        </is>
      </c>
      <c r="C18" s="4" t="inlineStr">
        <is>
          <t>1.3.5 재고 이력(선입선출) 및 품질관리 (3등급)</t>
        </is>
      </c>
      <c r="D18" s="4" t="inlineStr">
        <is>
          <t>01 자체평가서 1.3.5 (약 20쪽) 작성 메모</t>
        </is>
      </c>
      <c r="E18" s="4" t="inlineStr">
        <is>
          <t>WMS가 유통기한·로트 기준 자동 할당(FEFO/FIFO)을 지원하는가? (사용자매뉴얼에 유통기한/로트 그룹핑 탭은 있음)</t>
        </is>
      </c>
      <c r="F18" s="4" t="inlineStr">
        <is>
          <t>지원 → 3등급 유지, 화면 캡처 / 수기 확인뿐 → 4등급</t>
        </is>
      </c>
      <c r="G18" s="4" t="inlineStr">
        <is>
          <t>미지원일 때 −1.5점</t>
        </is>
      </c>
      <c r="H18" s="5" t="inlineStr">
        <is>
          <t xml:space="preserve">지원 </t>
        </is>
      </c>
      <c r="I18" s="19" t="inlineStr">
        <is>
          <t>반영 완료</t>
        </is>
      </c>
      <c r="J18" s="20" t="inlineStr">
        <is>
          <t>01 1.3.5 시스템·프로세스에 유통기한·로트 기준 자동 할당(FEFO/FIFO) 명시, 사진 1 교체, 3등급 유지, 작성 메모 삭제</t>
        </is>
      </c>
    </row>
    <row r="19" ht="27" customHeight="1">
      <c r="A19" s="4" t="n">
        <v>15</v>
      </c>
      <c r="B19" s="4" t="inlineStr">
        <is>
          <t>2026-10-07</t>
        </is>
      </c>
      <c r="C19" s="4" t="inlineStr">
        <is>
          <t>1.4.1 작업정보 생성·지시 (3등급)</t>
        </is>
      </c>
      <c r="D19" s="4" t="inlineStr">
        <is>
          <t>01 자체평가서 1.4.1 (약 21쪽) 작성 메모</t>
        </is>
      </c>
      <c r="E19" s="4" t="inlineStr">
        <is>
          <t>픽킹 방식(총량·카트·동일패턴)을 시스템이 자동으로 결정하는 로직이 있는가?</t>
        </is>
      </c>
      <c r="F19" s="4" t="inlineStr">
        <is>
          <t>있음 → 로직 설명·화면 추가, 2등급 검토 / 없음 → 3등급 유지</t>
        </is>
      </c>
      <c r="G19" s="4" t="inlineStr">
        <is>
          <t>있을 때 +2.0점</t>
        </is>
      </c>
      <c r="H19" s="5" t="inlineStr">
        <is>
          <t>있음</t>
        </is>
      </c>
      <c r="I19" s="19" t="inlineStr">
        <is>
          <t>반영 완료</t>
        </is>
      </c>
      <c r="J19" s="20" t="inlineStr">
        <is>
          <t>01 1.4.1 3→2등급(+2.0점). 주문 구성에 따른 피킹 방식 자동 결정 명시, 사진 3 추가. ※ 실제 결정 기준(품목 수·수량·동일 패턴 등)이 문구와 맞는지 확인 필요</t>
        </is>
      </c>
    </row>
    <row r="20" ht="27" customHeight="1">
      <c r="A20" s="4" t="n">
        <v>16</v>
      </c>
      <c r="B20" s="4" t="inlineStr">
        <is>
          <t>2026-10-07</t>
        </is>
      </c>
      <c r="C20" s="4" t="inlineStr">
        <is>
          <t>1.4.3 작업경로 실시간 관리 (4등급)</t>
        </is>
      </c>
      <c r="D20" s="4" t="inlineStr">
        <is>
          <t>01 자체평가서 1.4.3 (약 23쪽) 작성 메모</t>
        </is>
      </c>
      <c r="E20" s="4" t="inlineStr">
        <is>
          <t>픽킹 리스트가 동선 최적 순서(로케이션 순)로 정렬되어 나오는가?</t>
        </is>
      </c>
      <c r="F20" s="4" t="inlineStr">
        <is>
          <t>정렬됨 → 3등급으로 상향 / 아님 → 4등급 유지</t>
        </is>
      </c>
      <c r="G20" s="4" t="inlineStr">
        <is>
          <t>정렬될 때 +1.0점</t>
        </is>
      </c>
      <c r="H20" s="5" t="inlineStr">
        <is>
          <t>정렬</t>
        </is>
      </c>
      <c r="I20" s="19" t="inlineStr">
        <is>
          <t>반영 완료</t>
        </is>
      </c>
      <c r="J20" s="20" t="inlineStr">
        <is>
          <t>01 1.4.3 4→3등급(+1.0점). 픽킹 리스트 로케이션 순 자동 정렬 명시, 자동화 수준 30→50%</t>
        </is>
      </c>
    </row>
    <row r="21" ht="27" customHeight="1">
      <c r="A21" s="4" t="n">
        <v>17</v>
      </c>
      <c r="B21" s="4" t="inlineStr">
        <is>
          <t>2026-10-07</t>
        </is>
      </c>
      <c r="C21" s="4" t="inlineStr">
        <is>
          <t>1.5.2 포장재·포장물품 관리 (4등급)</t>
        </is>
      </c>
      <c r="D21" s="4" t="inlineStr">
        <is>
          <t>01 자체평가서 1.5.2 (약 28쪽) 작성 메모</t>
        </is>
      </c>
      <c r="E21" s="4" t="inlineStr">
        <is>
          <t>DWS 계측값 기반 박스 규격 추천이나 포장재 재고 관리 기능이 있는가?</t>
        </is>
      </c>
      <c r="F21" s="4" t="inlineStr">
        <is>
          <t>있음 → 3등급 이상 검토 / 없음 → 4등급 유지</t>
        </is>
      </c>
      <c r="G21" s="4" t="inlineStr">
        <is>
          <t>있을 때 +1.5점</t>
        </is>
      </c>
      <c r="H21" s="5" t="inlineStr">
        <is>
          <t xml:space="preserve">재고관리 기능만 있음. </t>
        </is>
      </c>
      <c r="I21" s="19" t="inlineStr">
        <is>
          <t>반영 완료</t>
        </is>
      </c>
      <c r="J21" s="20" t="inlineStr">
        <is>
          <t>01 1.5.2 4→3등급(+1.5점). 포장재 재고관리 기능 명시(③ 추가), 사진 2 추가. 규격 자동 추천은 없음으로 기재</t>
        </is>
      </c>
    </row>
    <row r="22" ht="27" customHeight="1">
      <c r="A22" s="4" t="n">
        <v>18</v>
      </c>
      <c r="B22" s="4" t="inlineStr">
        <is>
          <t>2026-10-07</t>
        </is>
      </c>
      <c r="C22" s="4" t="inlineStr">
        <is>
          <t>1.6.2 차량입차정보 인식 (5등급)</t>
        </is>
      </c>
      <c r="D22" s="4" t="inlineStr">
        <is>
          <t>01 자체평가서 1.6.2 (약 33쪽) 작성 메모</t>
        </is>
      </c>
      <c r="E22" s="4" t="inlineStr">
        <is>
          <t>TLPS에서 배차 차량 정보(차량번호·도착 예정)를 온라인으로 확인할 수 있는가?</t>
        </is>
      </c>
      <c r="F22" s="4" t="inlineStr">
        <is>
          <t>가능 → 4등급으로 상향 / 불가 → 5등급 유지</t>
        </is>
      </c>
      <c r="G22" s="4" t="inlineStr">
        <is>
          <t>가능할 때 +2.0점</t>
        </is>
      </c>
      <c r="H22" s="5" t="inlineStr">
        <is>
          <t xml:space="preserve">불가 </t>
        </is>
      </c>
      <c r="I22" s="19" t="inlineStr">
        <is>
          <t>반영 완료</t>
        </is>
      </c>
      <c r="J22" s="20" t="inlineStr">
        <is>
          <t>01 1.6.2 5등급 유지, 작성 메모 삭제</t>
        </is>
      </c>
    </row>
    <row r="23" ht="54" customHeight="1">
      <c r="A23" s="4" t="n">
        <v>19</v>
      </c>
      <c r="B23" s="4" t="inlineStr">
        <is>
          <t>2026-10-07</t>
        </is>
      </c>
      <c r="C23" s="4" t="inlineStr">
        <is>
          <t>2.1.1 도크 및 바닥성능 — "확인" 6개</t>
        </is>
      </c>
      <c r="D23" s="4" t="inlineStr">
        <is>
          <t>01 자체평가서 2.1.1 (약 36쪽) 평가요소표</t>
        </is>
      </c>
      <c r="E23" s="4" t="inlineStr">
        <is>
          <t>[도크] ⑥ 전면도크 등 상하역 개선안 ⑦ 차양 길이·넓이 ⑧ 도크씰·쉘터 / [바닥] ⑥ 우천·강설 유입 방지 ⑧ AGV·로봇 도입 가능 평탄도 ⑨ 자동창고 도입 가능 평탄도·하중 — 각각 적용인가?</t>
        </is>
      </c>
      <c r="F23" s="4" t="inlineStr">
        <is>
          <t>현장·임대인(아레나스) 제원 확인 후 V/미적용 표시, 미적용 개수로 등급 재계산</t>
        </is>
      </c>
      <c r="G23" s="4" t="inlineStr">
        <is>
          <t>결과에 따라 2~4등급 (±2.0점)</t>
        </is>
      </c>
      <c r="H23" s="5" t="inlineStr">
        <is>
          <t>실내 접안 구조(2026-10-15): 도크 ⑦ 차양·⑧ 날씨 대응, 바닥 ⑥ 우천 유입 방지 → 적용. 도크 ⑥ 개선안 → 적용(담당자 표시, 근거 기재 필요). 바닥 ⑧⑨ 평탄도는 임대인 제원 대기</t>
        </is>
      </c>
      <c r="I23" s="6" t="inlineStr">
        <is>
          <t>일부 반영</t>
        </is>
      </c>
      <c r="J23" s="21" t="inlineStr">
        <is>
          <t>2026-10-15: 01 2.1.1 도크 10개 모두 V, 바닥 ⑥ V·판단근거 기재. 3등급 유지(바닥 ⑧⑨ 확인 대기 — 둘 다 적용이면 2등급 +2.0점). 2.1.1 [사진 1]은 실내 접안이 보이게 촬영</t>
        </is>
      </c>
    </row>
    <row r="24" ht="27" customHeight="1">
      <c r="A24" s="4" t="n">
        <v>20</v>
      </c>
      <c r="B24" s="4" t="inlineStr">
        <is>
          <t>2026-10-07</t>
        </is>
      </c>
      <c r="C24" s="4" t="inlineStr">
        <is>
          <t>2.1.2 내부구조 — "확인" 1개</t>
        </is>
      </c>
      <c r="D24" s="4" t="inlineStr">
        <is>
          <t>01 자체평가서 2.1.2 (약 38쪽) 평가요소표</t>
        </is>
      </c>
      <c r="E24" s="4" t="inlineStr">
        <is>
          <t>⑩ 기둥 배치가 AGV·로봇 도입에 문제없는가?</t>
        </is>
      </c>
      <c r="F24" s="4" t="inlineStr">
        <is>
          <t>적용 → 1등급 / 미적용 → 2등급 유지</t>
        </is>
      </c>
      <c r="G24" s="4" t="inlineStr">
        <is>
          <t>적용일 때 +2.0점</t>
        </is>
      </c>
      <c r="H24" s="5" t="inlineStr">
        <is>
          <t>기둥 없음 (주 통로 내 장애 기둥 없음, 2026-10-07 답변)</t>
        </is>
      </c>
      <c r="I24" s="19" t="inlineStr">
        <is>
          <t>반영 완료</t>
        </is>
      </c>
      <c r="J24" s="25" t="inlineStr">
        <is>
          <t>01 2.1.2 평가요소 ⑩ V로 변경, 2→1등급(+2.0점). 판단근거에 기둥 격자·통로 설명 추가. ⑤·⑥·00 반영</t>
        </is>
      </c>
    </row>
    <row r="25" ht="40.5" customHeight="1">
      <c r="A25" s="4" t="n">
        <v>21</v>
      </c>
      <c r="B25" s="4" t="inlineStr">
        <is>
          <t>2026-10-07</t>
        </is>
      </c>
      <c r="C25" s="4" t="inlineStr">
        <is>
          <t>2.1.3 배치 및 동선 — "확인" 3개</t>
        </is>
      </c>
      <c r="D25" s="4" t="inlineStr">
        <is>
          <t>01 자체평가서 2.1.3 (약 39쪽) 평가요소표</t>
        </is>
      </c>
      <c r="E25" s="4" t="inlineStr">
        <is>
          <t>① 화물차·승용차 접근동선 분리 ④ 야드에서 입출차 동선과 지게차 동선 구분 ⑤ 화물차 동선과 보행자 통로 분리 — 각각 적용인가?</t>
        </is>
      </c>
      <c r="F25" s="4" t="inlineStr">
        <is>
          <t>모두 적용 → 1등급까지 가능, 미적용 개수로 재계산</t>
        </is>
      </c>
      <c r="G25" s="4" t="inlineStr">
        <is>
          <t>최대 +2.0점</t>
        </is>
      </c>
      <c r="H25" s="5" t="n"/>
      <c r="I25" s="6" t="inlineStr">
        <is>
          <t>미확인</t>
        </is>
      </c>
      <c r="J25" s="21" t="n"/>
    </row>
    <row r="26" ht="54" customHeight="1">
      <c r="A26" s="4" t="n">
        <v>22</v>
      </c>
      <c r="B26" s="4" t="inlineStr">
        <is>
          <t>2026-10-07</t>
        </is>
      </c>
      <c r="C26" s="4" t="inlineStr">
        <is>
          <t>2.1.4 작업환경 관리 — "확인" 6개</t>
        </is>
      </c>
      <c r="D26" s="4" t="inlineStr">
        <is>
          <t>01 자체평가서 2.1.4 (약 40쪽) 평가요소표</t>
        </is>
      </c>
      <c r="E26" s="4" t="inlineStr">
        <is>
          <t>① 조도·공기질·온습도 관리기준 ② 조도 ③ 공기질 ④ 온습도 ⑤ 보관공간 온습도·방충 관리 ⑥ 친환경 에너지 장비(전동 지게차) — 각각 적용인가? 측정 기록이 있는가?</t>
        </is>
      </c>
      <c r="F26" s="4" t="inlineStr">
        <is>
          <t>미적용 개수로 재계산. 1개라도 미적용이면 4등급 이하</t>
        </is>
      </c>
      <c r="G26" s="4" t="inlineStr">
        <is>
          <t>미적용 시 −2.0점 이상</t>
        </is>
      </c>
      <c r="H26" s="5" t="n"/>
      <c r="I26" s="6" t="inlineStr">
        <is>
          <t>미확인</t>
        </is>
      </c>
      <c r="J26" s="21" t="n"/>
    </row>
    <row r="27" ht="27" customHeight="1">
      <c r="A27" s="4" t="n">
        <v>23</v>
      </c>
      <c r="B27" s="4" t="inlineStr">
        <is>
          <t>2026-10-07</t>
        </is>
      </c>
      <c r="C27" s="4" t="inlineStr">
        <is>
          <t>2.1.5 재해 및 안전관리 — 랙 내진</t>
        </is>
      </c>
      <c r="D27" s="4" t="inlineStr">
        <is>
          <t>01 자체평가서 2.1.5 (약 41쪽) 평가요소표·작성 메모</t>
        </is>
      </c>
      <c r="E27" s="4" t="inlineStr">
        <is>
          <t>랙 내진 설계·시공 확인서(또는 임대인 자료)가 있는가?</t>
        </is>
      </c>
      <c r="F27" s="4" t="inlineStr">
        <is>
          <t>확보 → 3등급 유지 / 미확보 → 4등급</t>
        </is>
      </c>
      <c r="G27" s="4" t="inlineStr">
        <is>
          <t>미확보 시 −3.0점</t>
        </is>
      </c>
      <c r="H27" s="5" t="n"/>
      <c r="I27" s="6" t="inlineStr">
        <is>
          <t>미확인</t>
        </is>
      </c>
      <c r="J27" s="21" t="inlineStr">
        <is>
          <t>2026-10-14 참고: 건축물대장상 건물 내진설계 적용(VII-0.170g) 확인. 랙 내진 자료는 여전히 필요</t>
        </is>
      </c>
    </row>
    <row r="28" ht="27" customHeight="1">
      <c r="A28" s="4" t="n">
        <v>24</v>
      </c>
      <c r="B28" s="4" t="inlineStr">
        <is>
          <t>2026-10-07</t>
        </is>
      </c>
      <c r="C28" s="4" t="inlineStr">
        <is>
          <t>2.2.1 비용 절감 — 실적 자료</t>
        </is>
      </c>
      <c r="D28" s="4" t="inlineStr">
        <is>
          <t>01 자체평가서 2.2.1 (약 42쪽) 작성 메모 / 05 운영매뉴얼 3.2</t>
        </is>
      </c>
      <c r="E28" s="4" t="inlineStr">
        <is>
          <t>2023~2025 물류비·절감률 실제 결산 자료가 있는가? (05의 수치는 "예시")</t>
        </is>
      </c>
      <c r="F28" s="4" t="inlineStr">
        <is>
          <t>확보 → 실제 값으로 교체, 3등급 유지 / 없음 → 4~5등급으로 하향</t>
        </is>
      </c>
      <c r="G28" s="4" t="inlineStr">
        <is>
          <t>없을 때 −3.0~−6.0점</t>
        </is>
      </c>
      <c r="H28" s="5" t="n"/>
      <c r="I28" s="6" t="inlineStr">
        <is>
          <t>미확인</t>
        </is>
      </c>
      <c r="J28" s="21" t="n"/>
    </row>
    <row r="29" ht="40.5" customHeight="1">
      <c r="A29" s="4" t="n">
        <v>25</v>
      </c>
      <c r="B29" s="4" t="inlineStr">
        <is>
          <t>2026-10-07</t>
        </is>
      </c>
      <c r="C29" s="4" t="inlineStr">
        <is>
          <t>2.2.2 생산성 향상 — UPH 실적</t>
        </is>
      </c>
      <c r="D29" s="4" t="inlineStr">
        <is>
          <t>01 자체평가서 2.2.2 (약 62~63쪽)</t>
        </is>
      </c>
      <c r="E29" s="4" t="inlineStr">
        <is>
          <t>2023~2025 UPH(인시당 처리량) 실제 데이터가 있는가? (05의 42→46→50건은 "예시") 작업자 추적 레포트로 산출 가능한가?</t>
        </is>
      </c>
      <c r="F29" s="4" t="inlineStr">
        <is>
          <t>실제 값으로 교체</t>
        </is>
      </c>
      <c r="G29" s="4" t="inlineStr">
        <is>
          <t>없을 때 하향 위험</t>
        </is>
      </c>
      <c r="H29" s="5" t="inlineStr">
        <is>
          <t>영종센터 운영실적 엑셀(2025.6~2026.10, 공정별 근무시간·출고 물량)로 산출 가능. 2025.6 이전 자료 없음</t>
        </is>
      </c>
      <c r="I29" s="6" t="inlineStr">
        <is>
          <t>반영 완료</t>
        </is>
      </c>
      <c r="J29" s="21" t="inlineStr">
        <is>
          <t>01 2.2.2 ③④·판단근거에 UPH 실적 기재(2026.1~9 OPS 86.5·풀필먼트 24.8, 풀필먼트 19.3→27.6 +43%), [사진 2] 월별 UPH 실적표 삽입, 작성 메모 삭제. 3등급 유지. 3_운영매뉴얼 13장 KPI 반영 / 10.15: ①~③·연동과정·판단근거를 실제 집계 방식으로 수정, ⑤ QR 작업자 추적 도입·시범 운영 중 기재(2.3.1-4 ③ 동일) / 10.15: 1.1.2 2→3등급(−2.0점, 총점 787.0), 2.1.5·2.2.1·06도 QR 시범 운영 표현으로 통일</t>
        </is>
      </c>
    </row>
    <row r="30" ht="27" customHeight="1">
      <c r="A30" s="4" t="n">
        <v>26</v>
      </c>
      <c r="B30" s="4" t="inlineStr">
        <is>
          <t>2026-10-07</t>
        </is>
      </c>
      <c r="C30" s="4" t="inlineStr">
        <is>
          <t>2.2.3 품질 및 안전관리 — 오출고율</t>
        </is>
      </c>
      <c r="D30" s="4" t="inlineStr">
        <is>
          <t>01 자체평가서 2.2.3 (약 44쪽) 작성 메모</t>
        </is>
      </c>
      <c r="E30" s="4" t="inlineStr">
        <is>
          <t>영종센터 오출고율의 기준(산식·범위)과 실제 값은? (05 예시 0.35%→0.15% vs 회사소개서 0.0001%)</t>
        </is>
      </c>
      <c r="F30" s="4" t="inlineStr">
        <is>
          <t>한 기준으로 통일해 01·05·⑦ 수정</t>
        </is>
      </c>
      <c r="G30" s="4" t="inlineStr">
        <is>
          <t>없음 (정합성)</t>
        </is>
      </c>
      <c r="H30" s="5" t="n"/>
      <c r="I30" s="6" t="inlineStr">
        <is>
          <t>미확인</t>
        </is>
      </c>
      <c r="J30" s="21" t="n"/>
    </row>
    <row r="31" ht="27" customHeight="1">
      <c r="A31" s="4" t="n">
        <v>27</v>
      </c>
      <c r="B31" s="4" t="inlineStr">
        <is>
          <t>2026-10-07</t>
        </is>
      </c>
      <c r="C31" s="4" t="inlineStr">
        <is>
          <t>2.2.4 친환경관리 (4등급)</t>
        </is>
      </c>
      <c r="D31" s="4" t="inlineStr">
        <is>
          <t>01 자체평가서 2.2.4 (약 45쪽) 작성 메모</t>
        </is>
      </c>
      <c r="E31" s="4" t="inlineStr">
        <is>
          <t>LED 조명 적용 여부, 전력 사용량 데이터, 친환경 포장재 적용률·폐기물 재활용 실적이 있는가?</t>
        </is>
      </c>
      <c r="F31" s="4" t="inlineStr">
        <is>
          <t>데이터 있음 → 3등급 검토 / 없음 → 4등급 유지</t>
        </is>
      </c>
      <c r="G31" s="4" t="inlineStr">
        <is>
          <t>있을 때 +2.0점</t>
        </is>
      </c>
      <c r="H31" s="5" t="n"/>
      <c r="I31" s="6" t="inlineStr">
        <is>
          <t>미확인</t>
        </is>
      </c>
      <c r="J31" s="21" t="n"/>
    </row>
    <row r="32" ht="27" customHeight="1">
      <c r="A32" s="4" t="n">
        <v>28</v>
      </c>
      <c r="B32" s="4" t="inlineStr">
        <is>
          <t>2026-10-07</t>
        </is>
      </c>
      <c r="C32" s="4" t="inlineStr">
        <is>
          <t>2.3.1-1 수발주/상품분류 — 연동 채널</t>
        </is>
      </c>
      <c r="D32" s="4" t="inlineStr">
        <is>
          <t>01 자체평가서 2.3.1-1 (약 46쪽) 작성 메모 / 07 기술서 1.3</t>
        </is>
      </c>
      <c r="E32" s="4" t="inlineStr">
        <is>
          <t>실제 연동 완료된 쇼핑몰·오픈마켓 채널 목록은?</t>
        </is>
      </c>
      <c r="F32" s="4" t="inlineStr">
        <is>
          <t>07 기술서와 01에 확정 목록 기재</t>
        </is>
      </c>
      <c r="G32" s="4" t="inlineStr">
        <is>
          <t>없음</t>
        </is>
      </c>
      <c r="H32" s="5" t="inlineStr">
        <is>
          <t>Smartship 화면 기준 연동 확인: 쿠팡, 스마트스토어, G마켓, 옥션, 11번가, 롯데ON, 카카오톡 스토어, 토스쇼핑, Qoo10, AliExpress, Lazada(SG·PH·MY·ID), Cafe24 (2026-10-15)</t>
        </is>
      </c>
      <c r="I32" s="6" t="inlineStr">
        <is>
          <t>일부 반영</t>
        </is>
      </c>
      <c r="J32" s="21" t="inlineStr">
        <is>
          <t>2026-10-15: 1_물류정보시스템 기술서 3.3에 채널 목록 기재. 01 2.3.1-1 작성 메모 정리 필요</t>
        </is>
      </c>
    </row>
    <row r="33" ht="40.5" customHeight="1">
      <c r="A33" s="11" t="n">
        <v>29</v>
      </c>
      <c r="B33" s="11" t="inlineStr">
        <is>
          <t>2026-10-08</t>
        </is>
      </c>
      <c r="C33" s="11" t="inlineStr">
        <is>
          <t>SKU 엑셀 일괄 정의 기능</t>
        </is>
      </c>
      <c r="D33" s="11" t="inlineStr">
        <is>
          <t>07 물류정보시스템 기술서 2장(1-1) / 4_시스템사용자매뉴얼 SKU 관리 화면</t>
        </is>
      </c>
      <c r="E33" s="11" t="inlineStr">
        <is>
          <t>SKU 개별 속성을 엑셀로 일괄 정의하는 기능은 없음(입고 수량은 모바일에서 SKU별로 하나씩 입력·저장) → 확인 완료</t>
        </is>
      </c>
      <c r="F33" s="11" t="inlineStr">
        <is>
          <t>07 기술서·사용자매뉴얼의 "대량 SKU는 엑셀 일괄 정의" 문구를 실제 기능에 맞게 수정(모바일 SKU별 도착수량 입력)</t>
        </is>
      </c>
      <c r="G33" s="11" t="inlineStr">
        <is>
          <t>없음 (문서 정합성)</t>
        </is>
      </c>
      <c r="H33" s="27" t="inlineStr">
        <is>
          <t>SKU 관리 화면 "EXCEL 정의 &amp; 수정"으로 SKU 일괄 정의 가능 (2026-10-13 확인)</t>
        </is>
      </c>
      <c r="I33" s="32" t="inlineStr">
        <is>
          <t>반영 완료</t>
        </is>
      </c>
      <c r="J33" s="21" t="inlineStr">
        <is>
          <t>2026-10-13: 기능 있음 확인. 01 1.1.4 시스템·① ·연동과정에 "EXCEL 정의 &amp; 수정" 엑셀 일괄 정의 추가, 사진 2 캡션 보강. 4_시스템사용자매뉴얼 문구는 실제와 맞아 수정 없음. 등급 4등급 유지(자동 계측 없음)</t>
        </is>
      </c>
    </row>
  </sheetData>
  <dataValidations count="1">
    <dataValidation sqref="I5:I200" showDropDown="0" showInputMessage="0" showErrorMessage="0" allowBlank="1" type="list">
      <formula1>"미확인,반영 대기,반영 완료,해당 없음"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62" customWidth="1" min="4" max="4"/>
    <col width="30" customWidth="1" min="5" max="5"/>
    <col width="18" customWidth="1" min="6" max="6"/>
    <col width="9" customWidth="1" min="7" max="7"/>
    <col width="9" customWidth="1" min="8" max="8"/>
    <col width="24" customWidth="1" min="9" max="9"/>
  </cols>
  <sheetData>
    <row r="1">
      <c r="A1" s="35" t="inlineStr">
        <is>
          <t>파일별 추가 작성 목록 (2026-10-15 기준, 「작성 서류 - yun」 폴더)</t>
        </is>
      </c>
    </row>
    <row r="2">
      <c r="A2" s="36" t="inlineStr">
        <is>
          <t>각 파일에서 아직 비어 있거나 자료를 받아 채워야 하는 부분. 완료하면 상태를 "완료"로 바꾸고, Claude에게 "파일별 추가 작성 처리해줘"라고 요청하면 해당 파일에 반영합니다.</t>
        </is>
      </c>
    </row>
    <row r="4">
      <c r="A4" s="18" t="inlineStr">
        <is>
          <t>No</t>
        </is>
      </c>
      <c r="B4" s="18" t="inlineStr">
        <is>
          <t>파일</t>
        </is>
      </c>
      <c r="C4" s="18" t="inlineStr">
        <is>
          <t>위치</t>
        </is>
      </c>
      <c r="D4" s="18" t="inlineStr">
        <is>
          <t>추가로 써야 할 내용</t>
        </is>
      </c>
      <c r="E4" s="18" t="inlineStr">
        <is>
          <t>필요한 자료 · 받을 곳</t>
        </is>
      </c>
      <c r="F4" s="18" t="inlineStr">
        <is>
          <t>점수·제출 영향</t>
        </is>
      </c>
      <c r="G4" s="18" t="inlineStr">
        <is>
          <t>우선순위</t>
        </is>
      </c>
      <c r="H4" s="18" t="inlineStr">
        <is>
          <t>상태</t>
        </is>
      </c>
      <c r="I4" s="18" t="inlineStr">
        <is>
          <t>메모</t>
        </is>
      </c>
    </row>
    <row r="5">
      <c r="A5" s="37" t="n">
        <v>1</v>
      </c>
      <c r="B5" s="38" t="inlineStr">
        <is>
          <t>① 신청서 기재안</t>
        </is>
      </c>
      <c r="C5" s="38" t="inlineStr">
        <is>
          <t>1. 신청인</t>
        </is>
      </c>
      <c r="D5" s="38" t="inlineStr">
        <is>
          <t>실무담당자 성명·부서·직위, 전화·팩스, 전자우편 입력(01 Ⅲ장 인증업무 담당자와 동일하게)</t>
        </is>
      </c>
      <c r="E5" s="38" t="inlineStr">
        <is>
          <t>담당자 확정</t>
        </is>
      </c>
      <c r="F5" s="38" t="inlineStr">
        <is>
          <t>필수 기재</t>
        </is>
      </c>
      <c r="G5" s="39" t="inlineStr">
        <is>
          <t>높음</t>
        </is>
      </c>
      <c r="H5" s="37" t="inlineStr">
        <is>
          <t>미작성</t>
        </is>
      </c>
      <c r="I5" s="38" t="inlineStr"/>
    </row>
    <row r="6">
      <c r="A6" s="37" t="n">
        <v>2</v>
      </c>
      <c r="B6" s="38" t="inlineStr">
        <is>
          <t>① 신청서 기재안</t>
        </is>
      </c>
      <c r="C6" s="38" t="inlineStr">
        <is>
          <t>전체</t>
        </is>
      </c>
      <c r="D6" s="38" t="inlineStr">
        <is>
          <t>HWP 서식(별지 제8호의6)에 기재안 내용 옮겨 입력, 신청일 기재, 대표자 승인·서명(인)</t>
        </is>
      </c>
      <c r="E6" s="38" t="inlineStr">
        <is>
          <t>한글 프로그램에서 직접 입력</t>
        </is>
      </c>
      <c r="F6" s="38" t="inlineStr">
        <is>
          <t>필수</t>
        </is>
      </c>
      <c r="G6" s="39" t="inlineStr">
        <is>
          <t>높음</t>
        </is>
      </c>
      <c r="H6" s="37" t="inlineStr">
        <is>
          <t>미작성</t>
        </is>
      </c>
      <c r="I6" s="38" t="inlineStr"/>
    </row>
    <row r="7">
      <c r="A7" s="37" t="n">
        <v>3</v>
      </c>
      <c r="B7" s="38" t="inlineStr">
        <is>
          <t>① 신청서 기재안</t>
        </is>
      </c>
      <c r="C7" s="38" t="inlineStr">
        <is>
          <t>작성 메모</t>
        </is>
      </c>
      <c r="D7" s="38" t="inlineStr">
        <is>
          <t>작성 메모 삭제(제출 직전)</t>
        </is>
      </c>
      <c r="E7" s="38" t="inlineStr">
        <is>
          <t>-</t>
        </is>
      </c>
      <c r="F7" s="38" t="inlineStr">
        <is>
          <t>-</t>
        </is>
      </c>
      <c r="G7" s="40" t="inlineStr">
        <is>
          <t>낮음</t>
        </is>
      </c>
      <c r="H7" s="37" t="inlineStr">
        <is>
          <t>미작성</t>
        </is>
      </c>
      <c r="I7" s="38" t="inlineStr"/>
    </row>
    <row r="8">
      <c r="A8" s="37" t="n">
        <v>4</v>
      </c>
      <c r="B8" s="38" t="inlineStr">
        <is>
          <t>01 자체평가서</t>
        </is>
      </c>
      <c r="C8" s="38" t="inlineStr">
        <is>
          <t>Ⅲ장 개요</t>
        </is>
      </c>
      <c r="D8" s="38" t="inlineStr">
        <is>
          <t>종업원 수(영종센터 정규직·임시직·기타)</t>
        </is>
      </c>
      <c r="E8" s="38" t="inlineStr">
        <is>
          <t>인사팀</t>
        </is>
      </c>
      <c r="F8" s="38" t="inlineStr">
        <is>
          <t>필수 기재</t>
        </is>
      </c>
      <c r="G8" s="39" t="inlineStr">
        <is>
          <t>높음</t>
        </is>
      </c>
      <c r="H8" s="37" t="inlineStr">
        <is>
          <t>미작성</t>
        </is>
      </c>
      <c r="I8" s="38" t="inlineStr"/>
    </row>
    <row r="9">
      <c r="A9" s="37" t="n">
        <v>5</v>
      </c>
      <c r="B9" s="38" t="inlineStr">
        <is>
          <t>01 자체평가서</t>
        </is>
      </c>
      <c r="C9" s="38" t="inlineStr">
        <is>
          <t>Ⅲ장 개요</t>
        </is>
      </c>
      <c r="D9" s="38" t="inlineStr">
        <is>
          <t>매출액 칸 — 기준: 영종센터 물류서비스 매출(플랫폼 이용료 제외), 칸 이름도 기준이 드러나게 수정</t>
        </is>
      </c>
      <c r="E9" s="38" t="inlineStr">
        <is>
          <t>재무팀(추후 수령)</t>
        </is>
      </c>
      <c r="F9" s="38" t="inlineStr">
        <is>
          <t>필수 기재</t>
        </is>
      </c>
      <c r="G9" s="39" t="inlineStr">
        <is>
          <t>높음</t>
        </is>
      </c>
      <c r="H9" s="37" t="inlineStr">
        <is>
          <t>미작성</t>
        </is>
      </c>
      <c r="I9" s="38" t="inlineStr"/>
    </row>
    <row r="10">
      <c r="A10" s="37" t="n">
        <v>6</v>
      </c>
      <c r="B10" s="38" t="inlineStr">
        <is>
          <t>01 자체평가서</t>
        </is>
      </c>
      <c r="C10" s="38" t="inlineStr">
        <is>
          <t>Ⅲ장 개요</t>
        </is>
      </c>
      <c r="D10" s="38" t="inlineStr">
        <is>
          <t>인증업무 담당자 성명·직책·전화·E-mail</t>
        </is>
      </c>
      <c r="E10" s="38" t="inlineStr">
        <is>
          <t>담당자 확정</t>
        </is>
      </c>
      <c r="F10" s="38" t="inlineStr">
        <is>
          <t>필수 기재</t>
        </is>
      </c>
      <c r="G10" s="39" t="inlineStr">
        <is>
          <t>높음</t>
        </is>
      </c>
      <c r="H10" s="37" t="inlineStr">
        <is>
          <t>미작성</t>
        </is>
      </c>
      <c r="I10" s="38" t="inlineStr"/>
    </row>
    <row r="11">
      <c r="A11" s="37" t="n">
        <v>7</v>
      </c>
      <c r="B11" s="38" t="inlineStr">
        <is>
          <t>01 자체평가서</t>
        </is>
      </c>
      <c r="C11" s="38" t="inlineStr">
        <is>
          <t>Ⅲ장 개요</t>
        </is>
      </c>
      <c r="D11" s="38" t="inlineStr">
        <is>
          <t>센터 면적 기준 확정(임차 3,474.25평 ≈11,485㎡ vs 운영 2,845평 ≈9,405㎡) 후 01·02·05·⑧·① 통일</t>
        </is>
      </c>
      <c r="E11" s="38" t="inlineStr">
        <is>
          <t>결정 필요</t>
        </is>
      </c>
      <c r="F11" s="38" t="inlineStr">
        <is>
          <t>정합성</t>
        </is>
      </c>
      <c r="G11" s="41" t="inlineStr">
        <is>
          <t>중간</t>
        </is>
      </c>
      <c r="H11" s="37" t="inlineStr">
        <is>
          <t>미작성</t>
        </is>
      </c>
      <c r="I11" s="38" t="inlineStr"/>
    </row>
    <row r="12">
      <c r="A12" s="37" t="n">
        <v>8</v>
      </c>
      <c r="B12" s="38" t="inlineStr">
        <is>
          <t>01 자체평가서</t>
        </is>
      </c>
      <c r="C12" s="38" t="inlineStr">
        <is>
          <t>1.1.2 하역 작업</t>
        </is>
      </c>
      <c r="D12" s="38" t="inlineStr">
        <is>
          <t>도크레벨러 수량(1개소/2개소) 확정 후 01·02·04 통일, 작성 메모 삭제</t>
        </is>
      </c>
      <c r="E12" s="38" t="inlineStr">
        <is>
          <t>현장 확인</t>
        </is>
      </c>
      <c r="F12" s="38" t="inlineStr">
        <is>
          <t>정합성</t>
        </is>
      </c>
      <c r="G12" s="41" t="inlineStr">
        <is>
          <t>중간</t>
        </is>
      </c>
      <c r="H12" s="37" t="inlineStr">
        <is>
          <t>미작성</t>
        </is>
      </c>
      <c r="I12" s="38" t="inlineStr"/>
    </row>
    <row r="13">
      <c r="A13" s="37" t="n">
        <v>9</v>
      </c>
      <c r="B13" s="38" t="inlineStr">
        <is>
          <t>01 자체평가서</t>
        </is>
      </c>
      <c r="C13" s="38" t="inlineStr">
        <is>
          <t>1.1.4 제품정보 인식</t>
        </is>
      </c>
      <c r="D13" s="38" t="inlineStr">
        <is>
          <t>휴대용 DWS 실제 사용 공정·수량 확인 → 04·02·05·07(1_기술서) 수량 통일</t>
        </is>
      </c>
      <c r="E13" s="38" t="inlineStr">
        <is>
          <t>현장·설비 대장</t>
        </is>
      </c>
      <c r="F13" s="38" t="inlineStr">
        <is>
          <t>정합성</t>
        </is>
      </c>
      <c r="G13" s="41" t="inlineStr">
        <is>
          <t>중간</t>
        </is>
      </c>
      <c r="H13" s="37" t="inlineStr">
        <is>
          <t>미작성</t>
        </is>
      </c>
      <c r="I13" s="38" t="inlineStr"/>
    </row>
    <row r="14">
      <c r="A14" s="37" t="n">
        <v>10</v>
      </c>
      <c r="B14" s="38" t="inlineStr">
        <is>
          <t>01 자체평가서</t>
        </is>
      </c>
      <c r="C14" s="38" t="inlineStr">
        <is>
          <t>1.2.2 적치장소 이동</t>
        </is>
      </c>
      <c r="D14" s="38" t="inlineStr">
        <is>
          <t>지게차 보유 대수·동력원(전동/디젤) 기재(04에도 추가)</t>
        </is>
      </c>
      <c r="E14" s="38" t="inlineStr">
        <is>
          <t>현장 확인</t>
        </is>
      </c>
      <c r="F14" s="38" t="inlineStr">
        <is>
          <t>2.1.4 ⑥ 근거 가능</t>
        </is>
      </c>
      <c r="G14" s="41" t="inlineStr">
        <is>
          <t>중간</t>
        </is>
      </c>
      <c r="H14" s="37" t="inlineStr">
        <is>
          <t>미작성</t>
        </is>
      </c>
      <c r="I14" s="38" t="inlineStr"/>
    </row>
    <row r="15">
      <c r="A15" s="37" t="n">
        <v>11</v>
      </c>
      <c r="B15" s="38" t="inlineStr">
        <is>
          <t>01 자체평가서</t>
        </is>
      </c>
      <c r="C15" s="38" t="inlineStr">
        <is>
          <t>1.3.1 재고조사</t>
        </is>
      </c>
      <c r="D15" s="38" t="inlineStr">
        <is>
          <t>최근 1년 실사 결과로 재고 정확도(%) 산출해 연동과정·판단근거에 기재</t>
        </is>
      </c>
      <c r="E15" s="38" t="inlineStr">
        <is>
          <t>실사 결과 자료</t>
        </is>
      </c>
      <c r="F15" s="38" t="inlineStr">
        <is>
          <t>없으면 하향 위험</t>
        </is>
      </c>
      <c r="G15" s="41" t="inlineStr">
        <is>
          <t>중간</t>
        </is>
      </c>
      <c r="H15" s="37" t="inlineStr">
        <is>
          <t>미작성</t>
        </is>
      </c>
      <c r="I15" s="38" t="inlineStr"/>
    </row>
    <row r="16">
      <c r="A16" s="37" t="n">
        <v>12</v>
      </c>
      <c r="B16" s="38" t="inlineStr">
        <is>
          <t>01 자체평가서</t>
        </is>
      </c>
      <c r="C16" s="38" t="inlineStr">
        <is>
          <t>2.1.1 도크·바닥</t>
        </is>
      </c>
      <c r="D16" s="38" t="inlineStr">
        <is>
          <t>바닥 ⑧ AGV·로봇, ⑨ 자동창고 평탄도 적용 여부 확정</t>
        </is>
      </c>
      <c r="E16" s="38" t="inlineStr">
        <is>
          <t>임대인(아레나스) 평탄도 제원</t>
        </is>
      </c>
      <c r="F16" s="38" t="inlineStr">
        <is>
          <t>둘 다 적용 시 +2.0점</t>
        </is>
      </c>
      <c r="G16" s="41" t="inlineStr">
        <is>
          <t>중간</t>
        </is>
      </c>
      <c r="H16" s="37" t="inlineStr">
        <is>
          <t>미작성</t>
        </is>
      </c>
      <c r="I16" s="38" t="inlineStr"/>
    </row>
    <row r="17">
      <c r="A17" s="37" t="n">
        <v>13</v>
      </c>
      <c r="B17" s="38" t="inlineStr">
        <is>
          <t>01 자체평가서</t>
        </is>
      </c>
      <c r="C17" s="38" t="inlineStr">
        <is>
          <t>2.1.3 배치·동선</t>
        </is>
      </c>
      <c r="D17" s="38" t="inlineStr">
        <is>
          <t>확인 3개(화물차·승용차 동선 분리, 야드 지게차 동선, 보행자 통로 분리) 적용 여부</t>
        </is>
      </c>
      <c r="E17" s="38" t="inlineStr">
        <is>
          <t>현장 확인</t>
        </is>
      </c>
      <c r="F17" s="38" t="inlineStr">
        <is>
          <t>최대 +2.0점</t>
        </is>
      </c>
      <c r="G17" s="41" t="inlineStr">
        <is>
          <t>중간</t>
        </is>
      </c>
      <c r="H17" s="37" t="inlineStr">
        <is>
          <t>미작성</t>
        </is>
      </c>
      <c r="I17" s="38" t="inlineStr"/>
    </row>
    <row r="18">
      <c r="A18" s="37" t="n">
        <v>14</v>
      </c>
      <c r="B18" s="38" t="inlineStr">
        <is>
          <t>01 자체평가서</t>
        </is>
      </c>
      <c r="C18" s="38" t="inlineStr">
        <is>
          <t>2.1.4 작업환경</t>
        </is>
      </c>
      <c r="D18" s="38" t="inlineStr">
        <is>
          <t>확인 6개(조도·공기질·온습도 관리기준·측정 기록, 보관공간 온습도·방충, 전동 지게차)</t>
        </is>
      </c>
      <c r="E18" s="38" t="inlineStr">
        <is>
          <t>측정 기록·방역 점검표</t>
        </is>
      </c>
      <c r="F18" s="38" t="inlineStr">
        <is>
          <t>미적용 시 −2.0점 이상</t>
        </is>
      </c>
      <c r="G18" s="39" t="inlineStr">
        <is>
          <t>높음</t>
        </is>
      </c>
      <c r="H18" s="37" t="inlineStr">
        <is>
          <t>미작성</t>
        </is>
      </c>
      <c r="I18" s="38" t="inlineStr"/>
    </row>
    <row r="19">
      <c r="A19" s="37" t="n">
        <v>15</v>
      </c>
      <c r="B19" s="38" t="inlineStr">
        <is>
          <t>01 자체평가서</t>
        </is>
      </c>
      <c r="C19" s="38" t="inlineStr">
        <is>
          <t>2.1.5 재해·안전</t>
        </is>
      </c>
      <c r="D19" s="38" t="inlineStr">
        <is>
          <t>랙 내진 설계·시공 확인서 확보, 소방시설 자체점검 결과보고서 첨부</t>
        </is>
      </c>
      <c r="E19" s="38" t="inlineStr">
        <is>
          <t>임대인·랙 시공사·소방안전관리자</t>
        </is>
      </c>
      <c r="F19" s="38" t="inlineStr">
        <is>
          <t>미확보 시 −3.0점</t>
        </is>
      </c>
      <c r="G19" s="39" t="inlineStr">
        <is>
          <t>높음</t>
        </is>
      </c>
      <c r="H19" s="37" t="inlineStr">
        <is>
          <t>미작성</t>
        </is>
      </c>
      <c r="I19" s="38" t="inlineStr"/>
    </row>
    <row r="20">
      <c r="A20" s="37" t="n">
        <v>16</v>
      </c>
      <c r="B20" s="38" t="inlineStr">
        <is>
          <t>01 자체평가서</t>
        </is>
      </c>
      <c r="C20" s="38" t="inlineStr">
        <is>
          <t>2.2.1 비용 절감</t>
        </is>
      </c>
      <c r="D20" s="38" t="inlineStr">
        <is>
          <t>실적 근거 작성: 박스당 센터 운영비 월별 추이(운송비 제외) 또는 2026.07.15 임차면적 조정 사례, 사진 1·2 자료 첨부. "예시" 언급 메모 삭제</t>
        </is>
      </c>
      <c r="E20" s="38" t="inlineStr">
        <is>
          <t>재무팀 영종센터 월별 비용(2025.6~2026.9)</t>
        </is>
      </c>
      <c r="F20" s="38" t="inlineStr">
        <is>
          <t>없으면 4등급(−3.0점)</t>
        </is>
      </c>
      <c r="G20" s="39" t="inlineStr">
        <is>
          <t>높음</t>
        </is>
      </c>
      <c r="H20" s="37" t="inlineStr">
        <is>
          <t>미작성</t>
        </is>
      </c>
      <c r="I20" s="38" t="inlineStr"/>
    </row>
    <row r="21">
      <c r="A21" s="37" t="n">
        <v>17</v>
      </c>
      <c r="B21" s="38" t="inlineStr">
        <is>
          <t>01 자체평가서</t>
        </is>
      </c>
      <c r="C21" s="38" t="inlineStr">
        <is>
          <t>2.2.2 생산성 향상</t>
        </is>
      </c>
      <c r="D21" s="38" t="inlineStr">
        <is>
          <t>UPH 실적 산출·기재(근태 기반 투입 인시 ÷ 월별 물동량), 사진 2 UPH 실적표</t>
        </is>
      </c>
      <c r="E21" s="38" t="inlineStr">
        <is>
          <t>근태 자료 + 2026년 월별 물동량(OPS·풀필)</t>
        </is>
      </c>
      <c r="F21" s="38" t="inlineStr">
        <is>
          <t>없으면 하향 위험</t>
        </is>
      </c>
      <c r="G21" s="39" t="inlineStr">
        <is>
          <t>높음</t>
        </is>
      </c>
      <c r="H21" s="37" t="inlineStr">
        <is>
          <t>완료</t>
        </is>
      </c>
      <c r="I21" s="38" t="inlineStr">
        <is>
          <t>10.15: 운영실적 엑셀 기반 월별 UPH 실적표(2025.11~2026.10) 삽입, 본문·판단근거 기재</t>
        </is>
      </c>
    </row>
    <row r="22">
      <c r="A22" s="37" t="n">
        <v>18</v>
      </c>
      <c r="B22" s="38" t="inlineStr">
        <is>
          <t>01 자체평가서</t>
        </is>
      </c>
      <c r="C22" s="38" t="inlineStr">
        <is>
          <t>2.2.3 품질·안전</t>
        </is>
      </c>
      <c r="D22" s="38" t="inlineStr">
        <is>
          <t>오출고율 산식·실적 확정(회사소개서 0.0001%와 통일), 클레임 처리 이력(사진 2)</t>
        </is>
      </c>
      <c r="E22" s="38" t="inlineStr">
        <is>
          <t>품질·CS 자료</t>
        </is>
      </c>
      <c r="F22" s="38" t="inlineStr">
        <is>
          <t>정합성·등급 근거</t>
        </is>
      </c>
      <c r="G22" s="39" t="inlineStr">
        <is>
          <t>높음</t>
        </is>
      </c>
      <c r="H22" s="37" t="inlineStr">
        <is>
          <t>미작성</t>
        </is>
      </c>
      <c r="I22" s="38" t="inlineStr"/>
    </row>
    <row r="23">
      <c r="A23" s="37" t="n">
        <v>19</v>
      </c>
      <c r="B23" s="38" t="inlineStr">
        <is>
          <t>01 자체평가서</t>
        </is>
      </c>
      <c r="C23" s="38" t="inlineStr">
        <is>
          <t>2.2.4 친환경</t>
        </is>
      </c>
      <c r="D23" s="38" t="inlineStr">
        <is>
          <t>③ "전력·조명 사용량을 관리한다(확인 필요)" 확정, LED·전력·포장재·폐기물 실적 기재</t>
        </is>
      </c>
      <c r="E23" s="38" t="inlineStr">
        <is>
          <t>시설·총무 자료</t>
        </is>
      </c>
      <c r="F23" s="38" t="inlineStr">
        <is>
          <t>있으면 +2.0점</t>
        </is>
      </c>
      <c r="G23" s="41" t="inlineStr">
        <is>
          <t>중간</t>
        </is>
      </c>
      <c r="H23" s="37" t="inlineStr">
        <is>
          <t>미작성</t>
        </is>
      </c>
      <c r="I23" s="38" t="inlineStr"/>
    </row>
    <row r="24">
      <c r="A24" s="37" t="n">
        <v>20</v>
      </c>
      <c r="B24" s="38" t="inlineStr">
        <is>
          <t>01 자체평가서</t>
        </is>
      </c>
      <c r="C24" s="38" t="inlineStr">
        <is>
          <t>2.3.1-1 수발주</t>
        </is>
      </c>
      <c r="D24" s="38" t="inlineStr">
        <is>
          <t>작성 메모 정리 — 채널 목록은 1_기술서 3.3에 반영됨(필요 시 01 본문에도 기재)</t>
        </is>
      </c>
      <c r="E24" s="38" t="inlineStr">
        <is>
          <t>즉시 가능</t>
        </is>
      </c>
      <c r="F24" s="38" t="inlineStr">
        <is>
          <t>-</t>
        </is>
      </c>
      <c r="G24" s="40" t="inlineStr">
        <is>
          <t>낮음</t>
        </is>
      </c>
      <c r="H24" s="37" t="inlineStr">
        <is>
          <t>미작성</t>
        </is>
      </c>
      <c r="I24" s="38" t="inlineStr"/>
    </row>
    <row r="25">
      <c r="A25" s="37" t="n">
        <v>21</v>
      </c>
      <c r="B25" s="38" t="inlineStr">
        <is>
          <t>01 자체평가서</t>
        </is>
      </c>
      <c r="C25" s="38" t="inlineStr">
        <is>
          <t>증빙 사진</t>
        </is>
      </c>
      <c r="D25" s="38" t="inlineStr">
        <is>
          <t>남은 46칸(현장사진 29·자료 17) 촬영·확보 후 삽입 — "현장사진·증빙 목록" 시트에서 L열 미완료 항목 참조</t>
        </is>
      </c>
      <c r="E25" s="38" t="inlineStr">
        <is>
          <t>현장 촬영·관련 부서</t>
        </is>
      </c>
      <c r="F25" s="38" t="inlineStr">
        <is>
          <t>증명자료 필수</t>
        </is>
      </c>
      <c r="G25" s="39" t="inlineStr">
        <is>
          <t>높음</t>
        </is>
      </c>
      <c r="H25" s="37" t="inlineStr">
        <is>
          <t>미작성</t>
        </is>
      </c>
      <c r="I25" s="38" t="inlineStr"/>
    </row>
    <row r="26">
      <c r="A26" s="37" t="n">
        <v>22</v>
      </c>
      <c r="B26" s="38" t="inlineStr">
        <is>
          <t>01 자체평가서</t>
        </is>
      </c>
      <c r="C26" s="38" t="inlineStr">
        <is>
          <t>1.1.5 [사진 2]</t>
        </is>
      </c>
      <c r="D26" s="38" t="inlineStr">
        <is>
          <t>삽입 이미지가 [사진 1]과 동일 → Smartship 입고신청 목록(입고완료·실제입고수량) 화면으로 교체</t>
        </is>
      </c>
      <c r="E26" s="38" t="inlineStr">
        <is>
          <t>Smartship 화면 캡처</t>
        </is>
      </c>
      <c r="F26" s="38" t="inlineStr">
        <is>
          <t>-</t>
        </is>
      </c>
      <c r="G26" s="41" t="inlineStr">
        <is>
          <t>중간</t>
        </is>
      </c>
      <c r="H26" s="37" t="inlineStr">
        <is>
          <t>미작성</t>
        </is>
      </c>
      <c r="I26" s="38" t="inlineStr"/>
    </row>
    <row r="27">
      <c r="A27" s="37" t="n">
        <v>23</v>
      </c>
      <c r="B27" s="38" t="inlineStr">
        <is>
          <t>01 자체평가서</t>
        </is>
      </c>
      <c r="C27" s="38" t="inlineStr">
        <is>
          <t>2.3.2 [사진 2]</t>
        </is>
      </c>
      <c r="D27" s="38" t="inlineStr">
        <is>
          <t>설비 구성도 삽입(2.3.2_휠소터_설비구성도 확정본)</t>
        </is>
      </c>
      <c r="E27" s="38" t="inlineStr">
        <is>
          <t>확정본 PNG</t>
        </is>
      </c>
      <c r="F27" s="38" t="inlineStr">
        <is>
          <t>-</t>
        </is>
      </c>
      <c r="G27" s="41" t="inlineStr">
        <is>
          <t>중간</t>
        </is>
      </c>
      <c r="H27" s="37" t="inlineStr">
        <is>
          <t>미작성</t>
        </is>
      </c>
      <c r="I27" s="38" t="inlineStr"/>
    </row>
    <row r="28">
      <c r="A28" s="37" t="n">
        <v>24</v>
      </c>
      <c r="B28" s="38" t="inlineStr">
        <is>
          <t>01 자체평가서</t>
        </is>
      </c>
      <c r="C28" s="38" t="inlineStr">
        <is>
          <t>전체</t>
        </is>
      </c>
      <c r="D28" s="38" t="inlineStr">
        <is>
          <t>작성 메모 14곳 삭제(제출 직전)</t>
        </is>
      </c>
      <c r="E28" s="38" t="inlineStr">
        <is>
          <t>-</t>
        </is>
      </c>
      <c r="F28" s="38" t="inlineStr">
        <is>
          <t>-</t>
        </is>
      </c>
      <c r="G28" s="40" t="inlineStr">
        <is>
          <t>낮음</t>
        </is>
      </c>
      <c r="H28" s="37" t="inlineStr">
        <is>
          <t>미작성</t>
        </is>
      </c>
      <c r="I28" s="38" t="inlineStr"/>
    </row>
    <row r="29">
      <c r="A29" s="37" t="n">
        <v>25</v>
      </c>
      <c r="B29" s="38" t="inlineStr">
        <is>
          <t>02 설계설명서</t>
        </is>
      </c>
      <c r="C29" s="38" t="inlineStr">
        <is>
          <t>1. 도면 목록 No.6</t>
        </is>
      </c>
      <c r="D29" s="38" t="inlineStr">
        <is>
          <t>단면도(3층 도크·램프 진입구조) 확보 — 현재 "확보 필요"</t>
        </is>
      </c>
      <c r="E29" s="38" t="inlineStr">
        <is>
          <t>임대인 건축 설계도서</t>
        </is>
      </c>
      <c r="F29" s="38" t="inlineStr">
        <is>
          <t>-</t>
        </is>
      </c>
      <c r="G29" s="41" t="inlineStr">
        <is>
          <t>중간</t>
        </is>
      </c>
      <c r="H29" s="37" t="inlineStr">
        <is>
          <t>미작성</t>
        </is>
      </c>
      <c r="I29" s="38" t="inlineStr"/>
    </row>
    <row r="30">
      <c r="A30" s="37" t="n">
        <v>26</v>
      </c>
      <c r="B30" s="38" t="inlineStr">
        <is>
          <t>02 설계설명서</t>
        </is>
      </c>
      <c r="C30" s="38" t="inlineStr">
        <is>
          <t>2. 센터 개요</t>
        </is>
      </c>
      <c r="D30" s="38" t="inlineStr">
        <is>
          <t>"검수+맵핑" 877.5㎡를 어느 분야(검품·포장/상차·출고)로 볼지 결정</t>
        </is>
      </c>
      <c r="E30" s="38" t="inlineStr">
        <is>
          <t>결정 필요</t>
        </is>
      </c>
      <c r="F30" s="38" t="inlineStr">
        <is>
          <t>정합성</t>
        </is>
      </c>
      <c r="G30" s="40" t="inlineStr">
        <is>
          <t>낮음</t>
        </is>
      </c>
      <c r="H30" s="37" t="inlineStr">
        <is>
          <t>미작성</t>
        </is>
      </c>
      <c r="I30" s="38" t="inlineStr"/>
    </row>
    <row r="31">
      <c r="A31" s="37" t="n">
        <v>27</v>
      </c>
      <c r="B31" s="38" t="inlineStr">
        <is>
          <t>02 설계설명서</t>
        </is>
      </c>
      <c r="C31" s="38" t="inlineStr">
        <is>
          <t>3.6 상차·출고</t>
        </is>
      </c>
      <c r="D31" s="38" t="inlineStr">
        <is>
          <t>처리능력 확정(일 최대 30,000박스 vs ⑧ 35,000박스) — 1_기술서는 30,000으로 기재</t>
        </is>
      </c>
      <c r="E31" s="38" t="inlineStr">
        <is>
          <t>운영팀</t>
        </is>
      </c>
      <c r="F31" s="38" t="inlineStr">
        <is>
          <t>정합성</t>
        </is>
      </c>
      <c r="G31" s="41" t="inlineStr">
        <is>
          <t>중간</t>
        </is>
      </c>
      <c r="H31" s="37" t="inlineStr">
        <is>
          <t>미작성</t>
        </is>
      </c>
      <c r="I31" s="38" t="inlineStr"/>
    </row>
    <row r="32">
      <c r="A32" s="37" t="n">
        <v>28</v>
      </c>
      <c r="B32" s="38" t="inlineStr">
        <is>
          <t>02 설계설명서</t>
        </is>
      </c>
      <c r="C32" s="38" t="inlineStr">
        <is>
          <t>2·3장</t>
        </is>
      </c>
      <c r="D32" s="38" t="inlineStr">
        <is>
          <t>면적 기준(일부 해지 반영)·DWS 수량(3.4·3.5) 확정 시 함께 수정, 작성 메모 삭제</t>
        </is>
      </c>
      <c r="E32" s="38" t="inlineStr">
        <is>
          <t>면적·DWS 결정 후</t>
        </is>
      </c>
      <c r="F32" s="38" t="inlineStr">
        <is>
          <t>정합성</t>
        </is>
      </c>
      <c r="G32" s="41" t="inlineStr">
        <is>
          <t>중간</t>
        </is>
      </c>
      <c r="H32" s="37" t="inlineStr">
        <is>
          <t>미작성</t>
        </is>
      </c>
      <c r="I32" s="38" t="inlineStr"/>
    </row>
    <row r="33">
      <c r="A33" s="37" t="n">
        <v>29</v>
      </c>
      <c r="B33" s="38" t="inlineStr">
        <is>
          <t>03 설계변경 확인서</t>
        </is>
      </c>
      <c r="C33" s="38" t="inlineStr">
        <is>
          <t>설계변경 여부</t>
        </is>
      </c>
      <c r="D33" s="38" t="inlineStr">
        <is>
          <t>"해당 없음" 유지 여부 결정 — 건축물대장 변동(2022.08.18 3층 방화구획 대수선, 2024.03.12 증축). 변경 있으면 변경 내역 표 작성</t>
        </is>
      </c>
      <c r="E33" s="38" t="inlineStr">
        <is>
          <t>임대인 확인</t>
        </is>
      </c>
      <c r="F33" s="38" t="inlineStr">
        <is>
          <t>미제출 가능 여부</t>
        </is>
      </c>
      <c r="G33" s="41" t="inlineStr">
        <is>
          <t>중간</t>
        </is>
      </c>
      <c r="H33" s="37" t="inlineStr">
        <is>
          <t>미작성</t>
        </is>
      </c>
      <c r="I33" s="38" t="inlineStr"/>
    </row>
    <row r="34">
      <c r="A34" s="37" t="n">
        <v>30</v>
      </c>
      <c r="B34" s="38" t="inlineStr">
        <is>
          <t>03 설계변경 확인서</t>
        </is>
      </c>
      <c r="C34" s="38" t="inlineStr">
        <is>
          <t>서명란</t>
        </is>
      </c>
      <c r="D34" s="38" t="inlineStr">
        <is>
          <t>대표이사 표기(각자대표 2인 병기 여부)·직인, 작성 메모 삭제</t>
        </is>
      </c>
      <c r="E34" s="38" t="inlineStr">
        <is>
          <t>-</t>
        </is>
      </c>
      <c r="F34" s="38" t="inlineStr">
        <is>
          <t>-</t>
        </is>
      </c>
      <c r="G34" s="40" t="inlineStr">
        <is>
          <t>낮음</t>
        </is>
      </c>
      <c r="H34" s="37" t="inlineStr">
        <is>
          <t>미작성</t>
        </is>
      </c>
      <c r="I34" s="38" t="inlineStr"/>
    </row>
    <row r="35">
      <c r="A35" s="37" t="n">
        <v>31</v>
      </c>
      <c r="B35" s="38" t="inlineStr">
        <is>
          <t>06 품질·안전·환경 매뉴얼</t>
        </is>
      </c>
      <c r="C35" s="38" t="inlineStr">
        <is>
          <t>2.2 품질 지표</t>
        </is>
      </c>
      <c r="D35" s="38" t="inlineStr">
        <is>
          <t>오출고율·클레임율 목표 [확정값] 입력(01 2.2.3·3_운영매뉴얼 13장과 동일)</t>
        </is>
      </c>
      <c r="E35" s="38" t="inlineStr">
        <is>
          <t>품질 기준 확정</t>
        </is>
      </c>
      <c r="F35" s="38" t="inlineStr">
        <is>
          <t>-</t>
        </is>
      </c>
      <c r="G35" s="41" t="inlineStr">
        <is>
          <t>중간</t>
        </is>
      </c>
      <c r="H35" s="37" t="inlineStr">
        <is>
          <t>미작성</t>
        </is>
      </c>
      <c r="I35" s="38" t="inlineStr"/>
    </row>
    <row r="36">
      <c r="A36" s="37" t="n">
        <v>32</v>
      </c>
      <c r="B36" s="38" t="inlineStr">
        <is>
          <t>06 품질·안전·환경 매뉴얼</t>
        </is>
      </c>
      <c r="C36" s="38" t="inlineStr">
        <is>
          <t>3.1 소방·방화</t>
        </is>
      </c>
      <c r="D36" s="38" t="inlineStr">
        <is>
          <t>내화구조·방화구획 [확인], 소화기·옥내소화전 수, 스프링클러 여부, 비상구 수, 랙 내진 [확인]</t>
        </is>
      </c>
      <c r="E36" s="38" t="inlineStr">
        <is>
          <t>소방시설 자체점검 결과보고서·건축물대장</t>
        </is>
      </c>
      <c r="F36" s="38" t="inlineStr">
        <is>
          <t>2.1.5 근거</t>
        </is>
      </c>
      <c r="G36" s="41" t="inlineStr">
        <is>
          <t>중간</t>
        </is>
      </c>
      <c r="H36" s="37" t="inlineStr">
        <is>
          <t>미작성</t>
        </is>
      </c>
      <c r="I36" s="38" t="inlineStr"/>
    </row>
    <row r="37">
      <c r="A37" s="37" t="n">
        <v>33</v>
      </c>
      <c r="B37" s="38" t="inlineStr">
        <is>
          <t>06 품질·안전·환경 매뉴얼</t>
        </is>
      </c>
      <c r="C37" s="38" t="inlineStr">
        <is>
          <t>3.4 교육·점검</t>
        </is>
      </c>
      <c r="D37" s="38" t="inlineStr">
        <is>
          <t>신규 채용 교육 실시일, 지게차 운전 교육 주기·교육일, 소방 대피 훈련 주기·실시일</t>
        </is>
      </c>
      <c r="E37" s="38" t="inlineStr">
        <is>
          <t>안전 담당 기록</t>
        </is>
      </c>
      <c r="F37" s="38" t="inlineStr">
        <is>
          <t>-</t>
        </is>
      </c>
      <c r="G37" s="41" t="inlineStr">
        <is>
          <t>중간</t>
        </is>
      </c>
      <c r="H37" s="37" t="inlineStr">
        <is>
          <t>미작성</t>
        </is>
      </c>
      <c r="I37" s="38" t="inlineStr"/>
    </row>
    <row r="38">
      <c r="A38" s="37" t="n">
        <v>34</v>
      </c>
      <c r="B38" s="38" t="inlineStr">
        <is>
          <t>06 품질·안전·환경 매뉴얼</t>
        </is>
      </c>
      <c r="C38" s="38" t="inlineStr">
        <is>
          <t>4.1 에너지</t>
        </is>
      </c>
      <c r="D38" s="38" t="inlineStr">
        <is>
          <t>LED 조명 적용 여부·비율</t>
        </is>
      </c>
      <c r="E38" s="38" t="inlineStr">
        <is>
          <t>시설 확인</t>
        </is>
      </c>
      <c r="F38" s="38" t="inlineStr">
        <is>
          <t>2.2.4 근거</t>
        </is>
      </c>
      <c r="G38" s="41" t="inlineStr">
        <is>
          <t>중간</t>
        </is>
      </c>
      <c r="H38" s="37" t="inlineStr">
        <is>
          <t>미작성</t>
        </is>
      </c>
      <c r="I38" s="38" t="inlineStr"/>
    </row>
    <row r="39">
      <c r="A39" s="37" t="n">
        <v>35</v>
      </c>
      <c r="B39" s="38" t="inlineStr">
        <is>
          <t>06 품질·안전·환경 매뉴얼</t>
        </is>
      </c>
      <c r="C39" s="38" t="inlineStr">
        <is>
          <t>4.3 친환경 실적</t>
        </is>
      </c>
      <c r="D39" s="38" t="inlineStr">
        <is>
          <t>실적 표 12칸(포장재 적용률·재활용률·전력 원단위·전동장비 비율 × 2023~2025) — 자료 없는 연도는 "집계 전" 표기</t>
        </is>
      </c>
      <c r="E39" s="38" t="inlineStr">
        <is>
          <t>총무·시설 자료</t>
        </is>
      </c>
      <c r="F39" s="38" t="inlineStr">
        <is>
          <t>2.2.4 근거</t>
        </is>
      </c>
      <c r="G39" s="41" t="inlineStr">
        <is>
          <t>중간</t>
        </is>
      </c>
      <c r="H39" s="37" t="inlineStr">
        <is>
          <t>미작성</t>
        </is>
      </c>
      <c r="I39" s="38" t="inlineStr"/>
    </row>
    <row r="40">
      <c r="A40" s="37" t="n">
        <v>36</v>
      </c>
      <c r="B40" s="38" t="inlineStr">
        <is>
          <t>06 품질·안전·환경 매뉴얼</t>
        </is>
      </c>
      <c r="C40" s="38" t="inlineStr">
        <is>
          <t>4.4 보유 인증</t>
        </is>
      </c>
      <c r="D40" s="38" t="inlineStr">
        <is>
          <t>ISO 9001·14001·45001 보유 여부(미보유 시 "해당 없음")</t>
        </is>
      </c>
      <c r="E40" s="38" t="inlineStr">
        <is>
          <t>총무 확인</t>
        </is>
      </c>
      <c r="F40" s="38" t="inlineStr">
        <is>
          <t>-</t>
        </is>
      </c>
      <c r="G40" s="40" t="inlineStr">
        <is>
          <t>낮음</t>
        </is>
      </c>
      <c r="H40" s="37" t="inlineStr">
        <is>
          <t>미작성</t>
        </is>
      </c>
      <c r="I40" s="38" t="inlineStr"/>
    </row>
    <row r="41">
      <c r="A41" s="37" t="n">
        <v>37</v>
      </c>
      <c r="B41" s="38" t="inlineStr">
        <is>
          <t>06 품질·안전·환경 매뉴얼</t>
        </is>
      </c>
      <c r="C41" s="38" t="inlineStr">
        <is>
          <t>전체</t>
        </is>
      </c>
      <c r="D41" s="38" t="inlineStr">
        <is>
          <t>사내 제정·센터장 승인(결재) 후 제출, 작성 메모 삭제</t>
        </is>
      </c>
      <c r="E41" s="38" t="inlineStr">
        <is>
          <t>결재</t>
        </is>
      </c>
      <c r="F41" s="38" t="inlineStr">
        <is>
          <t>"보유한 경우만" 제출 서류</t>
        </is>
      </c>
      <c r="G41" s="41" t="inlineStr">
        <is>
          <t>중간</t>
        </is>
      </c>
      <c r="H41" s="37" t="inlineStr">
        <is>
          <t>미작성</t>
        </is>
      </c>
      <c r="I41" s="38" t="inlineStr"/>
    </row>
    <row r="42">
      <c r="A42" s="37" t="n">
        <v>38</v>
      </c>
      <c r="B42" s="38" t="inlineStr">
        <is>
          <t>1_물류정보시스템 기술서(②-7)</t>
        </is>
      </c>
      <c r="C42" s="38" t="inlineStr">
        <is>
          <t>2.2 물동량</t>
        </is>
      </c>
      <c r="D42" s="38" t="inlineStr">
        <is>
          <t>일평균 주문 건수, 국내:해외 비중 [확인 필요]</t>
        </is>
      </c>
      <c r="E42" s="38" t="inlineStr">
        <is>
          <t>Smartship 주문 통계</t>
        </is>
      </c>
      <c r="F42" s="38" t="inlineStr">
        <is>
          <t>-</t>
        </is>
      </c>
      <c r="G42" s="41" t="inlineStr">
        <is>
          <t>중간</t>
        </is>
      </c>
      <c r="H42" s="37" t="inlineStr">
        <is>
          <t>미작성</t>
        </is>
      </c>
      <c r="I42" s="38" t="inlineStr"/>
    </row>
    <row r="43">
      <c r="A43" s="37" t="n">
        <v>39</v>
      </c>
      <c r="B43" s="38" t="inlineStr">
        <is>
          <t>1_물류정보시스템 기술서(②-7)</t>
        </is>
      </c>
      <c r="C43" s="38" t="inlineStr">
        <is>
          <t>2.2 물동량</t>
        </is>
      </c>
      <c r="D43" s="38" t="inlineStr">
        <is>
          <t>재고형:셀러 발송분 36:64(풀필먼트=재고형, OPS=셀러 발송분으로 산정) 대응이 맞는지 확인</t>
        </is>
      </c>
      <c r="E43" s="38" t="inlineStr">
        <is>
          <t>운영팀</t>
        </is>
      </c>
      <c r="F43" s="38" t="inlineStr">
        <is>
          <t>-</t>
        </is>
      </c>
      <c r="G43" s="40" t="inlineStr">
        <is>
          <t>낮음</t>
        </is>
      </c>
      <c r="H43" s="37" t="inlineStr">
        <is>
          <t>미작성</t>
        </is>
      </c>
      <c r="I43" s="38" t="inlineStr"/>
    </row>
    <row r="44">
      <c r="A44" s="37" t="n">
        <v>40</v>
      </c>
      <c r="B44" s="38" t="inlineStr">
        <is>
          <t>1_물류정보시스템 기술서(②-7)</t>
        </is>
      </c>
      <c r="C44" s="38" t="inlineStr">
        <is>
          <t>3.5 기술 스택</t>
        </is>
      </c>
      <c r="D44" s="38" t="inlineStr">
        <is>
          <t>서버 프레임워크, DB 종류 [확인 필요]</t>
        </is>
      </c>
      <c r="E44" s="38" t="inlineStr">
        <is>
          <t>IT팀</t>
        </is>
      </c>
      <c r="F44" s="38" t="inlineStr">
        <is>
          <t>-</t>
        </is>
      </c>
      <c r="G44" s="41" t="inlineStr">
        <is>
          <t>중간</t>
        </is>
      </c>
      <c r="H44" s="37" t="inlineStr">
        <is>
          <t>미작성</t>
        </is>
      </c>
      <c r="I44" s="38" t="inlineStr"/>
    </row>
    <row r="45">
      <c r="A45" s="37" t="n">
        <v>41</v>
      </c>
      <c r="B45" s="38" t="inlineStr">
        <is>
          <t>1_물류정보시스템 기술서(②-7)</t>
        </is>
      </c>
      <c r="C45" s="38" t="inlineStr">
        <is>
          <t>6.1 설비 구성</t>
        </is>
      </c>
      <c r="D45" s="38" t="inlineStr">
        <is>
          <t>DAS 스테이션 수, 3D 소터 처리량(분당), PTL 구역 수, 소터 슈트 수(도면 13 vs 화면 1~25) [확인 필요]</t>
        </is>
      </c>
      <c r="E45" s="38" t="inlineStr">
        <is>
          <t>설비 사양서·현장</t>
        </is>
      </c>
      <c r="F45" s="38" t="inlineStr">
        <is>
          <t>-</t>
        </is>
      </c>
      <c r="G45" s="41" t="inlineStr">
        <is>
          <t>중간</t>
        </is>
      </c>
      <c r="H45" s="37" t="inlineStr">
        <is>
          <t>미작성</t>
        </is>
      </c>
      <c r="I45" s="38" t="inlineStr"/>
    </row>
    <row r="46">
      <c r="A46" s="37" t="n">
        <v>42</v>
      </c>
      <c r="B46" s="38" t="inlineStr">
        <is>
          <t>1_물류정보시스템 기술서(②-7)</t>
        </is>
      </c>
      <c r="C46" s="38" t="inlineStr">
        <is>
          <t>제출</t>
        </is>
      </c>
      <c r="D46" s="38" t="inlineStr">
        <is>
          <t>제출 시 파일명을 "07_물류정보시스템 기술서"로 정리(제출서류_10종 07은 표지 양식)</t>
        </is>
      </c>
      <c r="E46" s="38" t="inlineStr">
        <is>
          <t>-</t>
        </is>
      </c>
      <c r="F46" s="38" t="inlineStr">
        <is>
          <t>-</t>
        </is>
      </c>
      <c r="G46" s="40" t="inlineStr">
        <is>
          <t>낮음</t>
        </is>
      </c>
      <c r="H46" s="37" t="inlineStr">
        <is>
          <t>미작성</t>
        </is>
      </c>
      <c r="I46" s="38" t="inlineStr"/>
    </row>
    <row r="47">
      <c r="A47" s="37" t="n">
        <v>43</v>
      </c>
      <c r="B47" s="38" t="inlineStr">
        <is>
          <t>2_업무-시스템 연계기술서(②-8)</t>
        </is>
      </c>
      <c r="C47" s="38" t="inlineStr">
        <is>
          <t>6·7장</t>
        </is>
      </c>
      <c r="D47" s="38" t="inlineStr">
        <is>
          <t>인터페이스 필드·공통 코드는 "대표 예시" — 인터페이스 정의서가 있으면 실제 값으로 교체(선택)</t>
        </is>
      </c>
      <c r="E47" s="38" t="inlineStr">
        <is>
          <t>IT팀</t>
        </is>
      </c>
      <c r="F47" s="38" t="inlineStr">
        <is>
          <t>-</t>
        </is>
      </c>
      <c r="G47" s="40" t="inlineStr">
        <is>
          <t>낮음</t>
        </is>
      </c>
      <c r="H47" s="37" t="inlineStr">
        <is>
          <t>미작성</t>
        </is>
      </c>
      <c r="I47" s="38" t="inlineStr"/>
    </row>
    <row r="48">
      <c r="A48" s="37" t="n">
        <v>44</v>
      </c>
      <c r="B48" s="38" t="inlineStr">
        <is>
          <t>2_업무-시스템 연계기술서(②-8)</t>
        </is>
      </c>
      <c r="C48" s="38" t="inlineStr">
        <is>
          <t>제출</t>
        </is>
      </c>
      <c r="D48" s="38" t="inlineStr">
        <is>
          <t>제출 시 파일명을 "08_업무-시스템 연계기술서"로 정리</t>
        </is>
      </c>
      <c r="E48" s="38" t="inlineStr">
        <is>
          <t>-</t>
        </is>
      </c>
      <c r="F48" s="38" t="inlineStr">
        <is>
          <t>-</t>
        </is>
      </c>
      <c r="G48" s="40" t="inlineStr">
        <is>
          <t>낮음</t>
        </is>
      </c>
      <c r="H48" s="37" t="inlineStr">
        <is>
          <t>미작성</t>
        </is>
      </c>
      <c r="I48" s="38" t="inlineStr"/>
    </row>
    <row r="49">
      <c r="A49" s="37" t="n">
        <v>45</v>
      </c>
      <c r="B49" s="38" t="inlineStr">
        <is>
          <t>3_운영매뉴얼(②-5)</t>
        </is>
      </c>
      <c r="C49" s="38" t="inlineStr">
        <is>
          <t>13. 운영 지표</t>
        </is>
      </c>
      <c r="D49" s="38" t="inlineStr">
        <is>
          <t>오출고율 목표 [○% 이하] 입력(06 2.2와 동일 값)</t>
        </is>
      </c>
      <c r="E49" s="38" t="inlineStr">
        <is>
          <t>품질 기준 확정</t>
        </is>
      </c>
      <c r="F49" s="38" t="inlineStr">
        <is>
          <t>-</t>
        </is>
      </c>
      <c r="G49" s="41" t="inlineStr">
        <is>
          <t>중간</t>
        </is>
      </c>
      <c r="H49" s="37" t="inlineStr">
        <is>
          <t>미작성</t>
        </is>
      </c>
      <c r="I49" s="38" t="inlineStr"/>
    </row>
    <row r="50">
      <c r="A50" s="37" t="n">
        <v>46</v>
      </c>
      <c r="B50" s="38" t="inlineStr">
        <is>
          <t>3_운영매뉴얼(②-5)</t>
        </is>
      </c>
      <c r="C50" s="38" t="inlineStr">
        <is>
          <t>제출</t>
        </is>
      </c>
      <c r="D50" s="38" t="inlineStr">
        <is>
          <t>제출 시 파일명을 "05_물류센터 운영 매뉴얼"로 정리(제출서류_10종 05는 표지 양식)</t>
        </is>
      </c>
      <c r="E50" s="38" t="inlineStr">
        <is>
          <t>-</t>
        </is>
      </c>
      <c r="F50" s="38" t="inlineStr">
        <is>
          <t>-</t>
        </is>
      </c>
      <c r="G50" s="40" t="inlineStr">
        <is>
          <t>낮음</t>
        </is>
      </c>
      <c r="H50" s="37" t="inlineStr">
        <is>
          <t>미작성</t>
        </is>
      </c>
      <c r="I50" s="38" t="inlineStr"/>
    </row>
    <row r="51">
      <c r="A51" s="37" t="n">
        <v>47</v>
      </c>
      <c r="B51" s="38" t="inlineStr">
        <is>
          <t>⑥ 조견표</t>
        </is>
      </c>
      <c r="C51" s="38" t="inlineStr">
        <is>
          <t>수록 쪽</t>
        </is>
      </c>
      <c r="D51" s="38" t="inlineStr">
        <is>
          <t>남은 사진 삽입 후 쪽번호 재산정, Word로 열어 1회 대조(현재 PDF 변환 기준 75쪽)</t>
        </is>
      </c>
      <c r="E51" s="38" t="inlineStr">
        <is>
          <t>01 최종본</t>
        </is>
      </c>
      <c r="F51" s="38" t="inlineStr">
        <is>
          <t>-</t>
        </is>
      </c>
      <c r="G51" s="40" t="inlineStr">
        <is>
          <t>낮음</t>
        </is>
      </c>
      <c r="H51" s="37" t="inlineStr">
        <is>
          <t>미작성</t>
        </is>
      </c>
      <c r="I51" s="38" t="inlineStr"/>
    </row>
    <row r="52">
      <c r="A52" s="37" t="n">
        <v>48</v>
      </c>
      <c r="B52" s="38" t="inlineStr">
        <is>
          <t>②-4 도입설비 및 장비 명세서(04)</t>
        </is>
      </c>
      <c r="C52" s="38" t="inlineStr">
        <is>
          <t>파일 없음</t>
        </is>
      </c>
      <c r="D52" s="38" t="inlineStr">
        <is>
          <t>작성본 필요(제출서류_10종 04는 표지 양식): PDA 35대, DWS 종류별 수량, 지게차·봉함기·휠소터·싱귤레이터·오토라벨러, 설비 사진, "오분류율 0%" 근거 정리, 작성일 2026.10.31</t>
        </is>
      </c>
      <c r="E52" s="38" t="inlineStr">
        <is>
          <t>설비 대장·현장</t>
        </is>
      </c>
      <c r="F52" s="38" t="inlineStr">
        <is>
          <t>필수 제출</t>
        </is>
      </c>
      <c r="G52" s="39" t="inlineStr">
        <is>
          <t>높음</t>
        </is>
      </c>
      <c r="H52" s="37" t="inlineStr">
        <is>
          <t>미작성</t>
        </is>
      </c>
      <c r="I52" s="38" t="inlineStr"/>
    </row>
    <row r="53">
      <c r="A53" s="37" t="n">
        <v>49</v>
      </c>
      <c r="B53" s="38" t="inlineStr">
        <is>
          <t>④ 사본=원본 확인서</t>
        </is>
      </c>
      <c r="C53" s="38" t="inlineStr">
        <is>
          <t>파일 없음</t>
        </is>
      </c>
      <c r="D53" s="38" t="inlineStr">
        <is>
          <t>작성: 작성일 2026.10.31, 대표이사 김양훈·노현석(각자대표) 표기, 대표이사 직인</t>
        </is>
      </c>
      <c r="E53" s="38" t="inlineStr">
        <is>
          <t>-</t>
        </is>
      </c>
      <c r="F53" s="38" t="inlineStr">
        <is>
          <t>필수 제출</t>
        </is>
      </c>
      <c r="G53" s="39" t="inlineStr">
        <is>
          <t>높음</t>
        </is>
      </c>
      <c r="H53" s="37" t="inlineStr">
        <is>
          <t>미작성</t>
        </is>
      </c>
      <c r="I53" s="38" t="inlineStr"/>
    </row>
    <row r="54">
      <c r="A54" s="37" t="n">
        <v>50</v>
      </c>
      <c r="B54" s="38" t="inlineStr">
        <is>
          <t>⑦ 신청기업 소개자료</t>
        </is>
      </c>
      <c r="C54" s="38" t="inlineStr">
        <is>
          <t>파일 없음</t>
        </is>
      </c>
      <c r="D54" s="38" t="inlineStr">
        <is>
          <t>작성: 회사소개서 v2 기반, 상호 "트랙스로지스코리아(주)", 본점 마곡 아이파크 디어반, 설립 2009.09.04(등기)·개업 2009.10.01, 오출고율 수치 기준 통일, 작성일 2026.10.31</t>
        </is>
      </c>
      <c r="E54" s="38" t="inlineStr">
        <is>
          <t>회사소개서 v2·마케팅</t>
        </is>
      </c>
      <c r="F54" s="38" t="inlineStr">
        <is>
          <t>필수 제출</t>
        </is>
      </c>
      <c r="G54" s="39" t="inlineStr">
        <is>
          <t>높음</t>
        </is>
      </c>
      <c r="H54" s="37" t="inlineStr">
        <is>
          <t>미작성</t>
        </is>
      </c>
      <c r="I54" s="38" t="inlineStr"/>
    </row>
    <row r="55">
      <c r="A55" s="37" t="n">
        <v>51</v>
      </c>
      <c r="B55" s="38" t="inlineStr">
        <is>
          <t>⑧ 신청대상 물류센터 소개자료</t>
        </is>
      </c>
      <c r="C55" s="38" t="inlineStr">
        <is>
          <t>파일 없음</t>
        </is>
      </c>
      <c r="D55" s="38" t="inlineStr">
        <is>
          <t>작성: 사용승인 2021.01.22, 면적(임차·운영 구분), 인력 규모, 출고 처리능력 확정값, 도크·설비 현황, 작성일 2026.10.31</t>
        </is>
      </c>
      <c r="E55" s="38" t="inlineStr">
        <is>
          <t>건축물대장·Lay-out·네트워크 소개서</t>
        </is>
      </c>
      <c r="F55" s="38" t="inlineStr">
        <is>
          <t>필수 제출</t>
        </is>
      </c>
      <c r="G55" s="39" t="inlineStr">
        <is>
          <t>높음</t>
        </is>
      </c>
      <c r="H55" s="37" t="inlineStr">
        <is>
          <t>미작성</t>
        </is>
      </c>
      <c r="I55" s="38" t="inlineStr"/>
    </row>
    <row r="56">
      <c r="A56" s="37" t="n">
        <v>52</v>
      </c>
      <c r="B56" s="38" t="inlineStr">
        <is>
          <t>⑨ 건축물대장·임대차계약서</t>
        </is>
      </c>
      <c r="C56" s="38" t="inlineStr">
        <is>
          <t>첨부</t>
        </is>
      </c>
      <c r="D56" s="38" t="inlineStr">
        <is>
          <t>임대차계약서 본문(2021.06.04 최초 계약·변경계약) 사본, 승계동의서 날짜 기재 서명본 확보. 건축물대장 신청일 기준 재발급 검토</t>
        </is>
      </c>
      <c r="E56" s="38" t="inlineStr">
        <is>
          <t>임대인·총무</t>
        </is>
      </c>
      <c r="F56" s="38" t="inlineStr">
        <is>
          <t>필수 제출</t>
        </is>
      </c>
      <c r="G56" s="39" t="inlineStr">
        <is>
          <t>높음</t>
        </is>
      </c>
      <c r="H56" s="37" t="inlineStr">
        <is>
          <t>미작성</t>
        </is>
      </c>
      <c r="I56" s="38" t="inlineStr"/>
    </row>
    <row r="57">
      <c r="A57" s="37" t="n">
        <v>53</v>
      </c>
      <c r="B57" s="38" t="inlineStr">
        <is>
          <t>③ 물류사업 등록증</t>
        </is>
      </c>
      <c r="C57" s="38" t="inlineStr">
        <is>
          <t>5-1 창고업</t>
        </is>
      </c>
      <c r="D57" s="38" t="inlineStr">
        <is>
          <t>2026.07.15 일부 해지로 보관면적(19,412.63㎡) 변동 → 물류창고업 변경등록 필요 여부 확인</t>
        </is>
      </c>
      <c r="E57" s="38" t="inlineStr">
        <is>
          <t>중구청 문의</t>
        </is>
      </c>
      <c r="F57" s="38" t="inlineStr">
        <is>
          <t>필수 확인</t>
        </is>
      </c>
      <c r="G57" s="39" t="inlineStr">
        <is>
          <t>높음</t>
        </is>
      </c>
      <c r="H57" s="37" t="inlineStr">
        <is>
          <t>미작성</t>
        </is>
      </c>
      <c r="I57" s="38" t="inlineStr"/>
    </row>
    <row r="58">
      <c r="A58" s="37" t="n">
        <v>54</v>
      </c>
      <c r="B58" s="38" t="inlineStr">
        <is>
          <t>②-10 법인등기</t>
        </is>
      </c>
      <c r="C58" s="38" t="inlineStr">
        <is>
          <t>재발급</t>
        </is>
      </c>
      <c r="D58" s="38" t="inlineStr">
        <is>
          <t>신청일 기준 최근본 재발급 여부 확인(현재 2026.06.10 발행), 36MB → 제출용 압축본</t>
        </is>
      </c>
      <c r="E58" s="38" t="inlineStr">
        <is>
          <t>인증센터 문의</t>
        </is>
      </c>
      <c r="F58" s="38" t="inlineStr">
        <is>
          <t>-</t>
        </is>
      </c>
      <c r="G58" s="41" t="inlineStr">
        <is>
          <t>중간</t>
        </is>
      </c>
      <c r="H58" s="37" t="inlineStr">
        <is>
          <t>미작성</t>
        </is>
      </c>
      <c r="I58" s="38" t="inlineStr"/>
    </row>
    <row r="59">
      <c r="A59" s="37" t="n">
        <v>55</v>
      </c>
      <c r="B59" s="38" t="inlineStr">
        <is>
          <t>⑪ 심사수수료</t>
        </is>
      </c>
      <c r="C59" s="38" t="inlineStr">
        <is>
          <t>면제 증빙</t>
        </is>
      </c>
      <c r="D59" s="38" t="inlineStr">
        <is>
          <t>중소기업 면제 시 납부영수증 대신 제출할 서류 확인</t>
        </is>
      </c>
      <c r="E59" s="38" t="inlineStr">
        <is>
          <t>인증센터(044-211-3256)</t>
        </is>
      </c>
      <c r="F59" s="38" t="inlineStr">
        <is>
          <t>-</t>
        </is>
      </c>
      <c r="G59" s="41" t="inlineStr">
        <is>
          <t>중간</t>
        </is>
      </c>
      <c r="H59" s="37" t="inlineStr">
        <is>
          <t>미작성</t>
        </is>
      </c>
      <c r="I59" s="38" t="inlineStr"/>
    </row>
    <row r="61">
      <c r="B61" s="42" t="inlineStr">
        <is>
          <t>집계</t>
        </is>
      </c>
    </row>
    <row r="62">
      <c r="B62" t="inlineStr">
        <is>
          <t>전체</t>
        </is>
      </c>
      <c r="C62">
        <f>COUNTA(D5:D59)</f>
        <v/>
      </c>
    </row>
    <row r="63">
      <c r="B63" t="inlineStr">
        <is>
          <t>높음</t>
        </is>
      </c>
      <c r="C63">
        <f>COUNTIF(G5:G59,"높음")</f>
        <v/>
      </c>
    </row>
    <row r="64">
      <c r="B64" t="inlineStr">
        <is>
          <t>완료</t>
        </is>
      </c>
      <c r="C64">
        <f>COUNTIF(H5:H59,"완료")</f>
        <v/>
      </c>
    </row>
  </sheetData>
  <autoFilter ref="A4:I59"/>
  <dataValidations count="1">
    <dataValidation sqref="H5:H59" showDropDown="0" showInputMessage="0" showErrorMessage="0" allowBlank="1" type="list">
      <formula1>"미작성,진행 중,완료,해당 없음"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M115"/>
  <sheetViews>
    <sheetView tabSelected="1" topLeftCell="C1" workbookViewId="0">
      <pane ySplit="4" topLeftCell="A7" activePane="bottomLeft" state="frozen"/>
      <selection pane="bottomLeft" activeCell="G37" sqref="G37"/>
    </sheetView>
  </sheetViews>
  <sheetFormatPr baseColWidth="8" defaultRowHeight="16.5"/>
  <cols>
    <col width="5" customWidth="1" min="1" max="1"/>
    <col width="8" customWidth="1" min="2" max="2"/>
    <col width="24" customWidth="1" min="3" max="3"/>
    <col width="8" customWidth="1" min="4" max="5"/>
    <col width="40" customWidth="1" min="6" max="6"/>
    <col width="11" customWidth="1" min="7" max="7"/>
    <col width="30" customWidth="1" min="8" max="8"/>
    <col width="34" customWidth="1" min="9" max="9"/>
    <col width="10" customWidth="1" min="10" max="10"/>
    <col width="14" customWidth="1" min="11" max="11"/>
    <col width="9" customWidth="1" min="12" max="12"/>
    <col width="70" customWidth="1" min="13" max="13"/>
  </cols>
  <sheetData>
    <row r="1" ht="20.25" customHeight="1">
      <c r="A1" s="7" t="inlineStr">
        <is>
          <t>자체평가서 현장사진·증빙 수집 목록</t>
        </is>
      </c>
    </row>
    <row r="2">
      <c r="A2" s="8" t="inlineStr">
        <is>
          <t>01 자체평가서 각 항목의 "현장 및 근거사진" 칸에 적힌 [사진 n] 전체 목록입니다. "구분"으로 필터하면 현장 촬영분만 볼 수 있습니다. 쪽수는 PDF 변환 기준(Word는 ±1쪽).</t>
        </is>
      </c>
    </row>
    <row r="3">
      <c r="A3" s="26" t="inlineStr">
        <is>
          <t>시스템 캡처는 [강조]에 빨간 박스를 치고, [의미]를 캡션으로 달면 됩니다. 고객명·연락처는 가려 주세요. 가능하면 같은 주문·신청번호로 연속 캡처하세요.</t>
        </is>
      </c>
    </row>
    <row r="4" ht="33" customHeight="1">
      <c r="A4" s="9" t="inlineStr">
        <is>
          <t>No</t>
        </is>
      </c>
      <c r="B4" s="9" t="inlineStr">
        <is>
          <t>항목</t>
        </is>
      </c>
      <c r="C4" s="9" t="inlineStr">
        <is>
          <t>항목명</t>
        </is>
      </c>
      <c r="D4" s="9" t="inlineStr">
        <is>
          <t>01 쪽(약)</t>
        </is>
      </c>
      <c r="E4" s="9" t="inlineStr">
        <is>
          <t>사진번호</t>
        </is>
      </c>
      <c r="F4" s="9" t="inlineStr">
        <is>
          <t>필요한 사진·증빙</t>
        </is>
      </c>
      <c r="G4" s="9" t="inlineStr">
        <is>
          <t>구분</t>
        </is>
      </c>
      <c r="H4" s="9" t="inlineStr">
        <is>
          <t>촬영 장소 / 출처</t>
        </is>
      </c>
      <c r="I4" s="9" t="inlineStr">
        <is>
          <t>비고</t>
        </is>
      </c>
      <c r="J4" s="9" t="inlineStr">
        <is>
          <t>담당</t>
        </is>
      </c>
      <c r="K4" s="9" t="inlineStr">
        <is>
          <t>파일명(제안)</t>
        </is>
      </c>
      <c r="L4" s="9" t="inlineStr">
        <is>
          <t>수집 완료</t>
        </is>
      </c>
      <c r="M4" s="9" t="inlineStr">
        <is>
          <t>강조 포인트 (빨간 박스·캡션)</t>
        </is>
      </c>
    </row>
    <row r="5" hidden="1" ht="27" customHeight="1">
      <c r="A5" s="10" t="n">
        <v>1</v>
      </c>
      <c r="B5" s="10" t="inlineStr">
        <is>
          <t>Ⅳ</t>
        </is>
      </c>
      <c r="C5" s="11" t="inlineStr">
        <is>
          <t>전체 물류센터 운영 프로세스</t>
        </is>
      </c>
      <c r="D5" s="10" t="n">
        <v>6</v>
      </c>
      <c r="E5" s="10" t="inlineStr">
        <is>
          <t>[사진 1]</t>
        </is>
      </c>
      <c r="F5" s="11" t="inlineStr">
        <is>
          <t>전체 프로세스맵(입고~출고 흐름도)</t>
        </is>
      </c>
      <c r="G5" s="12" t="inlineStr">
        <is>
          <t>자료·문서</t>
        </is>
      </c>
      <c r="H5" s="11" t="inlineStr">
        <is>
          <t>관련 부서 보관 자료</t>
        </is>
      </c>
      <c r="I5" s="11" t="n"/>
      <c r="J5" s="11" t="n"/>
      <c r="K5" s="11" t="inlineStr">
        <is>
          <t>Ⅳ_사진1</t>
        </is>
      </c>
      <c r="L5" s="13" t="n"/>
      <c r="M5" s="25" t="inlineStr">
        <is>
          <t>입고→보관→피킹→분류→검품·포장→상차 6단계 흐름과 단계별 연계 시스템(Smartship·SW·TLPS)·설비를 한 장에 표시</t>
        </is>
      </c>
    </row>
    <row r="6" hidden="1" ht="27" customHeight="1">
      <c r="A6" s="10" t="n">
        <v>2</v>
      </c>
      <c r="B6" s="10" t="inlineStr">
        <is>
          <t>Ⅳ</t>
        </is>
      </c>
      <c r="C6" s="11" t="inlineStr">
        <is>
          <t>전체 물류센터 운영 프로세스</t>
        </is>
      </c>
      <c r="D6" s="10" t="n">
        <v>6</v>
      </c>
      <c r="E6" s="10" t="inlineStr">
        <is>
          <t>[사진 2]</t>
        </is>
      </c>
      <c r="F6" s="11" t="inlineStr">
        <is>
          <t>센터 전경·조감도 사진</t>
        </is>
      </c>
      <c r="G6" s="14" t="inlineStr">
        <is>
          <t>현장사진</t>
        </is>
      </c>
      <c r="H6" s="11" t="inlineStr">
        <is>
          <t>센터 외관·전경</t>
        </is>
      </c>
      <c r="I6" s="11" t="n"/>
      <c r="J6" s="11" t="n"/>
      <c r="K6" s="11" t="inlineStr">
        <is>
          <t>Ⅳ_사진2</t>
        </is>
      </c>
      <c r="L6" s="13" t="n"/>
      <c r="M6" s="25" t="inlineStr">
        <is>
          <t>건물 외관 + '3층 임차구역' 위치 표시. 램프웨이가 함께 보이면 3층 직접 접안 구조 설명에 유리</t>
        </is>
      </c>
    </row>
    <row r="7" hidden="1" ht="27" customHeight="1">
      <c r="A7" s="10" t="n">
        <v>3</v>
      </c>
      <c r="B7" s="10" t="inlineStr">
        <is>
          <t>1.1.1</t>
        </is>
      </c>
      <c r="C7" s="11" t="inlineStr">
        <is>
          <t>입고예정정보의 확인</t>
        </is>
      </c>
      <c r="D7" s="10" t="n">
        <v>7</v>
      </c>
      <c r="E7" s="10" t="inlineStr">
        <is>
          <t>[사진 1]</t>
        </is>
      </c>
      <c r="F7" s="11" t="inlineStr">
        <is>
          <t>Smartship(OMS) 재고 입고 신청 화면</t>
        </is>
      </c>
      <c r="G7" s="15" t="inlineStr">
        <is>
          <t>시스템 캡처</t>
        </is>
      </c>
      <c r="H7" s="11" t="inlineStr">
        <is>
          <t>SW / Smartship 화면 (피그마 편집본)</t>
        </is>
      </c>
      <c r="I7" s="11" t="n"/>
      <c r="J7" s="11" t="n"/>
      <c r="K7" s="11" t="inlineStr">
        <is>
          <t>1.1.1_사진1</t>
        </is>
      </c>
      <c r="L7" s="13" t="inlineStr">
        <is>
          <t>O</t>
        </is>
      </c>
      <c r="M7" s="25" t="inlineStr">
        <is>
          <t>[강조] 신청번호, 품목·수량·입고 예정일 입력란 / [의미] 셀러가 입고예정정보를 사전에 시스템 등록 / 같은 신청번호로 사진 2·3 연결</t>
        </is>
      </c>
    </row>
    <row r="8" hidden="1" ht="27" customHeight="1">
      <c r="A8" s="10" t="n">
        <v>4</v>
      </c>
      <c r="B8" s="10" t="inlineStr">
        <is>
          <t>1.1.1</t>
        </is>
      </c>
      <c r="C8" s="11" t="inlineStr">
        <is>
          <t>입고예정정보의 확인</t>
        </is>
      </c>
      <c r="D8" s="10" t="n">
        <v>7</v>
      </c>
      <c r="E8" s="10" t="inlineStr">
        <is>
          <t>[사진 2]</t>
        </is>
      </c>
      <c r="F8" s="11" t="inlineStr">
        <is>
          <t>SW(WMS) 입고신청 화면 – 고객 신청 후 상태별 조회</t>
        </is>
      </c>
      <c r="G8" s="15" t="inlineStr">
        <is>
          <t>시스템 캡처</t>
        </is>
      </c>
      <c r="H8" s="11" t="inlineStr">
        <is>
          <t>SW / Smartship 화면 (피그마 편집본)</t>
        </is>
      </c>
      <c r="I8" s="11" t="n"/>
      <c r="J8" s="11" t="n"/>
      <c r="K8" s="11" t="inlineStr">
        <is>
          <t>1.1.1_사진2</t>
        </is>
      </c>
      <c r="L8" s="13" t="inlineStr">
        <is>
          <t>O</t>
        </is>
      </c>
      <c r="M8" s="25" t="inlineStr">
        <is>
          <t>[강조] 사진 1과 같은 신청번호 행, 상단 상태 카드(입고요청~입고완료), 행의 '진행' 버튼 / [의미] OMS→WMS 자동 연동 + 단계별 실시간 관리</t>
        </is>
      </c>
    </row>
    <row r="9" hidden="1" ht="27" customHeight="1">
      <c r="A9" s="10" t="n">
        <v>5</v>
      </c>
      <c r="B9" s="10" t="inlineStr">
        <is>
          <t>1.1.1</t>
        </is>
      </c>
      <c r="C9" s="11" t="inlineStr">
        <is>
          <t>입고예정정보의 확인</t>
        </is>
      </c>
      <c r="D9" s="10" t="n">
        <v>7</v>
      </c>
      <c r="E9" s="10" t="inlineStr">
        <is>
          <t>[사진 3]</t>
        </is>
      </c>
      <c r="F9" s="11" t="inlineStr">
        <is>
          <t>SW(WMS) 입고신청 화면 – 도착예정일 기준 조회</t>
        </is>
      </c>
      <c r="G9" s="15" t="inlineStr">
        <is>
          <t>시스템 캡처</t>
        </is>
      </c>
      <c r="H9" s="11" t="inlineStr">
        <is>
          <t>SW / Smartship 화면 (피그마 편집본)</t>
        </is>
      </c>
      <c r="I9" s="11" t="n"/>
      <c r="J9" s="11" t="n"/>
      <c r="K9" s="11" t="inlineStr">
        <is>
          <t>1.1.1_사진3</t>
        </is>
      </c>
      <c r="L9" s="13" t="inlineStr">
        <is>
          <t>O</t>
        </is>
      </c>
      <c r="M9" s="25" t="inlineStr">
        <is>
          <t>[강조] 날짜타입 '도착예정일' 선택값·조회 기간, 조회 결과 건수 / [의미] 예정일 기준 입고 예정 건을 미리 조회해 하역·검수 준비</t>
        </is>
      </c>
    </row>
    <row r="10" hidden="1">
      <c r="A10" s="10" t="n">
        <v>6</v>
      </c>
      <c r="B10" s="10" t="inlineStr">
        <is>
          <t>1.1.2</t>
        </is>
      </c>
      <c r="C10" s="11" t="inlineStr">
        <is>
          <t>하역 작업</t>
        </is>
      </c>
      <c r="D10" s="10" t="n">
        <v>9</v>
      </c>
      <c r="E10" s="10" t="inlineStr">
        <is>
          <t>[사진 1]</t>
        </is>
      </c>
      <c r="F10" s="11" t="inlineStr">
        <is>
          <t>3층 입고 도크·도크레벨러 현장 사진</t>
        </is>
      </c>
      <c r="G10" s="14" t="inlineStr">
        <is>
          <t>현장사진</t>
        </is>
      </c>
      <c r="H10" s="11" t="inlineStr">
        <is>
          <t>3층 입고 도크·입고검수 구역</t>
        </is>
      </c>
      <c r="I10" s="11" t="n"/>
      <c r="J10" s="11" t="n"/>
      <c r="K10" s="11" t="inlineStr">
        <is>
          <t>1.1.2_사진1</t>
        </is>
      </c>
      <c r="L10" s="13" t="n"/>
      <c r="M10" s="25" t="inlineStr">
        <is>
          <t>도크에 차량이 접안해 도크레벨러가 펼쳐진 상태로 촬영. 도크 번호·레벨러가 함께 보이게</t>
        </is>
      </c>
    </row>
    <row r="11" hidden="1" ht="27" customHeight="1">
      <c r="A11" s="10" t="n">
        <v>7</v>
      </c>
      <c r="B11" s="10" t="inlineStr">
        <is>
          <t>1.1.2</t>
        </is>
      </c>
      <c r="C11" s="11" t="inlineStr">
        <is>
          <t>하역 작업</t>
        </is>
      </c>
      <c r="D11" s="10" t="n">
        <v>9</v>
      </c>
      <c r="E11" s="10" t="inlineStr">
        <is>
          <t>[사진 2]</t>
        </is>
      </c>
      <c r="F11" s="11" t="inlineStr">
        <is>
          <t>램프웨이 차량 접안 사진</t>
        </is>
      </c>
      <c r="G11" s="14" t="inlineStr">
        <is>
          <t>현장사진</t>
        </is>
      </c>
      <c r="H11" s="11" t="inlineStr">
        <is>
          <t>3층 입고 도크·입고검수 구역</t>
        </is>
      </c>
      <c r="I11" s="11" t="n"/>
      <c r="J11" s="11" t="n"/>
      <c r="K11" s="11" t="inlineStr">
        <is>
          <t>1.1.2_사진2</t>
        </is>
      </c>
      <c r="L11" s="13" t="n"/>
      <c r="M11" s="25" t="inlineStr">
        <is>
          <t>램프웨이를 올라오는 화물차 또는 3층 도크 진입부. '층간 이동 없이 3층 직접 접안'이 드러나게</t>
        </is>
      </c>
    </row>
    <row r="12" hidden="1" ht="27" customHeight="1">
      <c r="A12" s="10" t="n">
        <v>8</v>
      </c>
      <c r="B12" s="10" t="inlineStr">
        <is>
          <t>1.1.2</t>
        </is>
      </c>
      <c r="C12" s="11" t="inlineStr">
        <is>
          <t>하역 작업</t>
        </is>
      </c>
      <c r="D12" s="10" t="n">
        <v>9</v>
      </c>
      <c r="E12" s="10" t="inlineStr">
        <is>
          <t>[사진 3]</t>
        </is>
      </c>
      <c r="F12" s="11" t="inlineStr">
        <is>
          <t>SW(WMS) 입고신청 화면 – 도착 처리 PC/PDA 화면</t>
        </is>
      </c>
      <c r="G12" s="15" t="inlineStr">
        <is>
          <t>시스템 캡처</t>
        </is>
      </c>
      <c r="H12" s="11" t="inlineStr">
        <is>
          <t>SW / Smartship 화면 (피그마 편집본)</t>
        </is>
      </c>
      <c r="I12" s="11" t="n"/>
      <c r="J12" s="11" t="n"/>
      <c r="K12" s="11" t="inlineStr">
        <is>
          <t>1.1.2_사진3</t>
        </is>
      </c>
      <c r="L12" s="13" t="inlineStr">
        <is>
          <t>O</t>
        </is>
      </c>
      <c r="M12" s="25" t="inlineStr">
        <is>
          <t>[강조] 입고 건 상태가 '도착완료(C4)'로 바뀐 화면(PDA 화면과 PC 화면 각 1컷 권장) / [의미] 하역 시 작업정보 온라인 확인 + 즉시 반영</t>
        </is>
      </c>
    </row>
    <row r="13" hidden="1" ht="27" customHeight="1">
      <c r="A13" s="10" t="n">
        <v>9</v>
      </c>
      <c r="B13" s="10" t="inlineStr">
        <is>
          <t>1.1.2</t>
        </is>
      </c>
      <c r="C13" s="11" t="inlineStr">
        <is>
          <t>하역 작업</t>
        </is>
      </c>
      <c r="D13" s="10" t="n">
        <v>9</v>
      </c>
      <c r="E13" s="10" t="inlineStr">
        <is>
          <t>[사진 4]</t>
        </is>
      </c>
      <c r="F13" s="11" t="inlineStr">
        <is>
          <t>SW(WMS) 공정별 인원관리(QR, 시범 운영 중) – 현재 투입 인원(WMS-입고 공정)</t>
        </is>
      </c>
      <c r="G13" s="15" t="inlineStr">
        <is>
          <t>시스템 캡처</t>
        </is>
      </c>
      <c r="H13" s="11" t="inlineStr">
        <is>
          <t>SW / Smartship 화면 (피그마 편집본)</t>
        </is>
      </c>
      <c r="I13" s="11" t="n"/>
      <c r="J13" s="11" t="n"/>
      <c r="K13" s="11" t="inlineStr">
        <is>
          <t>1.1.2_사진4</t>
        </is>
      </c>
      <c r="L13" s="13" t="inlineStr">
        <is>
          <t>O</t>
        </is>
      </c>
      <c r="M13" s="25" t="inlineStr">
        <is>
          <t>[강조] 'WMS-입고' 공정 선택, '1명 작업 중' / [의미] 하역 투입 인원 실시간 확인. 작업자 이름 가림</t>
        </is>
      </c>
    </row>
    <row r="14" hidden="1" ht="27" customHeight="1">
      <c r="A14" s="28" t="n">
        <v>10</v>
      </c>
      <c r="B14" s="28" t="inlineStr">
        <is>
          <t>1.1.2</t>
        </is>
      </c>
      <c r="C14" s="20" t="inlineStr">
        <is>
          <t>하역 작업</t>
        </is>
      </c>
      <c r="D14" s="28" t="n">
        <v>9</v>
      </c>
      <c r="E14" s="28" t="inlineStr">
        <is>
          <t>[사진 5]</t>
        </is>
      </c>
      <c r="F14" s="20" t="inlineStr">
        <is>
          <t>SW(WMS) 공정별 인원관리(QR, 시범 운영 중) – 기간별 작업 레포트</t>
        </is>
      </c>
      <c r="G14" s="29" t="inlineStr">
        <is>
          <t>시스템 캡처</t>
        </is>
      </c>
      <c r="H14" s="20" t="inlineStr">
        <is>
          <t>SW / Smartship 화면 (피그마 편집본)</t>
        </is>
      </c>
      <c r="I14" s="20" t="inlineStr">
        <is>
          <t>2026-10-13 분리</t>
        </is>
      </c>
      <c r="J14" s="20" t="n"/>
      <c r="K14" s="20" t="inlineStr">
        <is>
          <t>1.1.2_사진5</t>
        </is>
      </c>
      <c r="L14" s="30" t="inlineStr">
        <is>
          <t>O</t>
        </is>
      </c>
      <c r="M14" s="20" t="inlineStr">
        <is>
          <t>[강조] 조회 기간, 입고 툴팁(작업자 수·처리수·작업시간), 총작업자 합계 / [의미] 하역 인원·시간을 기간별로 분석(2등급 근거). 작업자 실명 가림</t>
        </is>
      </c>
    </row>
    <row r="15" hidden="1" ht="27" customHeight="1">
      <c r="A15" s="10" t="n">
        <v>11</v>
      </c>
      <c r="B15" s="10" t="inlineStr">
        <is>
          <t>1.1.3</t>
        </is>
      </c>
      <c r="C15" s="11" t="inlineStr">
        <is>
          <t>상품 검수/검품/분류</t>
        </is>
      </c>
      <c r="D15" s="10" t="n">
        <v>11</v>
      </c>
      <c r="E15" s="10" t="inlineStr">
        <is>
          <t>[사진 1]</t>
        </is>
      </c>
      <c r="F15" s="11" t="inlineStr">
        <is>
          <t>입고 검수대 PDA 스캔 작업 사진</t>
        </is>
      </c>
      <c r="G15" s="14" t="inlineStr">
        <is>
          <t>현장사진</t>
        </is>
      </c>
      <c r="H15" s="11" t="inlineStr">
        <is>
          <t>3층 입고 도크·입고검수 구역</t>
        </is>
      </c>
      <c r="I15" s="11" t="n"/>
      <c r="J15" s="11" t="n"/>
      <c r="K15" s="11" t="inlineStr">
        <is>
          <t>1.1.3_사진1</t>
        </is>
      </c>
      <c r="L15" s="13" t="n"/>
      <c r="M15" s="25" t="inlineStr">
        <is>
          <t>작업자가 검수대에서 PDA로 상품 바코드를 스캔하는 장면. PDA 화면이 보이면 더 좋음</t>
        </is>
      </c>
    </row>
    <row r="16" hidden="1" ht="27" customHeight="1">
      <c r="A16" s="10" t="n">
        <v>12</v>
      </c>
      <c r="B16" s="10" t="inlineStr">
        <is>
          <t>1.1.3</t>
        </is>
      </c>
      <c r="C16" s="11" t="inlineStr">
        <is>
          <t>상품 검수/검품/분류</t>
        </is>
      </c>
      <c r="D16" s="10" t="n">
        <v>11</v>
      </c>
      <c r="E16" s="10" t="inlineStr">
        <is>
          <t>[사진 2]</t>
        </is>
      </c>
      <c r="F16" s="11" t="inlineStr">
        <is>
          <t>SW 모바일(PDA) 입고 SKU 화면 – SKU 수량 검수(도착·손상수량 입력)</t>
        </is>
      </c>
      <c r="G16" s="15" t="inlineStr">
        <is>
          <t>시스템 캡처</t>
        </is>
      </c>
      <c r="H16" s="11" t="inlineStr">
        <is>
          <t>SW / Smartship 화면 (피그마 편집본)</t>
        </is>
      </c>
      <c r="I16" s="11" t="n"/>
      <c r="J16" s="11" t="n"/>
      <c r="K16" s="11" t="inlineStr">
        <is>
          <t>1.1.3_사진2</t>
        </is>
      </c>
      <c r="L16" s="13" t="inlineStr">
        <is>
          <t>O</t>
        </is>
      </c>
      <c r="M16" s="25" t="inlineStr">
        <is>
          <t>[강조] 도착수량·손상수량 입력란, 스캔 시 +1 되는 수량, 입고 예정 대비 차이 표시 / [의미] 바코드 스캔 기반 실시간 상품 식별·확인</t>
        </is>
      </c>
    </row>
    <row r="17" hidden="1" ht="27" customHeight="1">
      <c r="A17" s="10" t="n">
        <v>13</v>
      </c>
      <c r="B17" s="10" t="inlineStr">
        <is>
          <t>1.1.3</t>
        </is>
      </c>
      <c r="C17" s="11" t="inlineStr">
        <is>
          <t>상품 검수/검품/분류</t>
        </is>
      </c>
      <c r="D17" s="10" t="n">
        <v>11</v>
      </c>
      <c r="E17" s="10" t="inlineStr">
        <is>
          <t>[사진 3]</t>
        </is>
      </c>
      <c r="F17" s="11" t="inlineStr">
        <is>
          <t>SW(WMS) 입고신청 화면 – 입고 신청서 출력물(하차·검수 수량 기록)</t>
        </is>
      </c>
      <c r="G17" s="12" t="inlineStr">
        <is>
          <t>시스템 캡처</t>
        </is>
      </c>
      <c r="H17" s="11" t="inlineStr">
        <is>
          <t>관련 부서 보관 자료</t>
        </is>
      </c>
      <c r="I17" s="11" t="inlineStr">
        <is>
          <t>2026-10-13 변경(검수 기록서 → 출력물)</t>
        </is>
      </c>
      <c r="J17" s="11" t="n"/>
      <c r="K17" s="11" t="inlineStr">
        <is>
          <t>1.1.3_사진3</t>
        </is>
      </c>
      <c r="L17" s="13" t="inlineStr">
        <is>
          <t>O</t>
        </is>
      </c>
      <c r="M17" s="25" t="inlineStr">
        <is>
          <t>[강조] 하차 수량·검수 수량 기록 칸 / [의미] 입고 건별 하차·검수 수량을 시스템 양식으로 기록</t>
        </is>
      </c>
    </row>
    <row r="18" hidden="1" ht="27" customHeight="1">
      <c r="A18" s="10" t="n">
        <v>14</v>
      </c>
      <c r="B18" s="10" t="inlineStr">
        <is>
          <t>1.1.3</t>
        </is>
      </c>
      <c r="C18" s="11" t="inlineStr">
        <is>
          <t>상품 검수/검품/분류</t>
        </is>
      </c>
      <c r="D18" s="10" t="n">
        <v>11</v>
      </c>
      <c r="E18" s="10" t="inlineStr">
        <is>
          <t>[사진 4]</t>
        </is>
      </c>
      <c r="F18" s="11" t="inlineStr">
        <is>
          <t>SW 모바일(PDA) 화면 – 수량 불일치 경고</t>
        </is>
      </c>
      <c r="G18" s="12" t="inlineStr">
        <is>
          <t>시스템 캡처</t>
        </is>
      </c>
      <c r="H18" s="11" t="inlineStr">
        <is>
          <t>SW 모바일 입고 SKU 화면</t>
        </is>
      </c>
      <c r="I18" s="11" t="inlineStr">
        <is>
          <t>2026-10-12 추가</t>
        </is>
      </c>
      <c r="J18" s="11" t="n"/>
      <c r="K18" s="11" t="inlineStr">
        <is>
          <t>1.1.3_사진4</t>
        </is>
      </c>
      <c r="L18" s="13" t="inlineStr">
        <is>
          <t>O</t>
        </is>
      </c>
      <c r="M18" s="25" t="inlineStr">
        <is>
          <t>[강조] "수량 불일치 경고" 문구와 보낸수량·도착수량 / [의미] 검수 시 예정 대비 차이를 시스템이 자동으로 경고</t>
        </is>
      </c>
    </row>
    <row r="19" hidden="1" ht="27" customHeight="1">
      <c r="A19" s="10" t="n">
        <v>15</v>
      </c>
      <c r="B19" s="10" t="inlineStr">
        <is>
          <t>1.1.4</t>
        </is>
      </c>
      <c r="C19" s="11" t="inlineStr">
        <is>
          <t>제품정보의 인식 및 등록</t>
        </is>
      </c>
      <c r="D19" s="10" t="n">
        <v>13</v>
      </c>
      <c r="E19" s="10" t="inlineStr">
        <is>
          <t>[사진 1]</t>
        </is>
      </c>
      <c r="F19" s="11" t="inlineStr">
        <is>
          <t>SW 모바일(PDA) 화면 – SKU 개별 정의</t>
        </is>
      </c>
      <c r="G19" s="23" t="inlineStr">
        <is>
          <t>시스템 캡처</t>
        </is>
      </c>
      <c r="H19" s="11" t="inlineStr">
        <is>
          <t>SW / Smartship 화면 (피그마 편집본)</t>
        </is>
      </c>
      <c r="I19" s="11" t="n"/>
      <c r="J19" s="11" t="n"/>
      <c r="K19" s="11" t="inlineStr">
        <is>
          <t>1.1.4_사진1</t>
        </is>
      </c>
      <c r="L19" s="13" t="inlineStr">
        <is>
          <t>O</t>
        </is>
      </c>
      <c r="M19" s="25" t="inlineStr">
        <is>
          <t>[강조] 미정의 SKU 행과 "정의하기" 버튼, 정의 입력 항목 / [의미] 입고 시 신규 SKU를 시스템에서 개별 정의·등록</t>
        </is>
      </c>
    </row>
    <row r="20" hidden="1" ht="27" customHeight="1">
      <c r="A20" s="10" t="n">
        <v>16</v>
      </c>
      <c r="B20" s="10" t="inlineStr">
        <is>
          <t>1.1.4</t>
        </is>
      </c>
      <c r="C20" s="11" t="inlineStr">
        <is>
          <t>제품정보의 인식 및 등록</t>
        </is>
      </c>
      <c r="D20" s="10" t="n">
        <v>13</v>
      </c>
      <c r="E20" s="10" t="inlineStr">
        <is>
          <t>[사진 2]</t>
        </is>
      </c>
      <c r="F20" s="11" t="inlineStr">
        <is>
          <t>SW(WMS) SKU 관리 화면 – 정의·미정의 SKU 현황, EXCEL 일괄 정의</t>
        </is>
      </c>
      <c r="G20" s="15" t="inlineStr">
        <is>
          <t>시스템 캡처</t>
        </is>
      </c>
      <c r="H20" s="11" t="inlineStr">
        <is>
          <t>SW / Smartship 화면 (피그마 편집본)</t>
        </is>
      </c>
      <c r="I20" s="11" t="n"/>
      <c r="J20" s="11" t="n"/>
      <c r="K20" s="11" t="inlineStr">
        <is>
          <t>1.1.4_사진2</t>
        </is>
      </c>
      <c r="L20" s="13" t="inlineStr">
        <is>
          <t>O</t>
        </is>
      </c>
      <c r="M20" s="25" t="inlineStr">
        <is>
          <t>[강조] 상단 카드(정의됨·미정의), 목록의 정의여부 칸, "EXCEL 정의 &amp; 수정" 버튼 / [의미] SKU를 개별·엑셀 일괄로 정의해 WMS 마스터로 관리</t>
        </is>
      </c>
    </row>
    <row r="21" hidden="1" ht="27" customHeight="1">
      <c r="A21" s="10" t="n">
        <v>17</v>
      </c>
      <c r="B21" s="10" t="inlineStr">
        <is>
          <t>1.1.4</t>
        </is>
      </c>
      <c r="C21" s="11" t="inlineStr">
        <is>
          <t>제품정보의 인식 및 등록</t>
        </is>
      </c>
      <c r="D21" s="10" t="n">
        <v>13</v>
      </c>
      <c r="E21" s="10" t="inlineStr">
        <is>
          <t>[사진 3]</t>
        </is>
      </c>
      <c r="F21" s="11" t="inlineStr">
        <is>
          <t>SKU 라벨 출력·부착 사진</t>
        </is>
      </c>
      <c r="G21" s="24" t="inlineStr">
        <is>
          <t>현장사진</t>
        </is>
      </c>
      <c r="H21" s="11" t="inlineStr">
        <is>
          <t>3층 입고 도크·입고검수 구역</t>
        </is>
      </c>
      <c r="I21" s="11" t="n"/>
      <c r="J21" s="11" t="n"/>
      <c r="K21" s="11" t="inlineStr">
        <is>
          <t>1.1.4_사진3</t>
        </is>
      </c>
      <c r="L21" s="13" t="n"/>
      <c r="M21" s="25" t="inlineStr">
        <is>
          <t>라벨 프린터에서 SKU 라벨이 출력되는 모습 + 상품에 부착된 라벨 근접 컷(바코드 보이게)</t>
        </is>
      </c>
    </row>
    <row r="22" hidden="1" ht="27" customHeight="1">
      <c r="A22" s="10" t="n">
        <v>18</v>
      </c>
      <c r="B22" s="10" t="inlineStr">
        <is>
          <t>1.1.5</t>
        </is>
      </c>
      <c r="C22" s="11" t="inlineStr">
        <is>
          <t>입고 처리</t>
        </is>
      </c>
      <c r="D22" s="10" t="n">
        <v>15</v>
      </c>
      <c r="E22" s="10" t="inlineStr">
        <is>
          <t>[사진 1]</t>
        </is>
      </c>
      <c r="F22" s="11" t="inlineStr">
        <is>
          <t>SW(WMS) 입고 확정 – 도착완료 → 입고완료 처리</t>
        </is>
      </c>
      <c r="G22" s="15" t="inlineStr">
        <is>
          <t>시스템 캡처</t>
        </is>
      </c>
      <c r="H22" s="11" t="inlineStr">
        <is>
          <t>SW / Smartship 화면 (피그마 편집본)</t>
        </is>
      </c>
      <c r="I22" s="11" t="n"/>
      <c r="J22" s="11" t="n"/>
      <c r="K22" s="11" t="inlineStr">
        <is>
          <t>1.1.5_사진1</t>
        </is>
      </c>
      <c r="L22" s="13" t="inlineStr">
        <is>
          <t>O</t>
        </is>
      </c>
      <c r="M22" s="25" t="inlineStr">
        <is>
          <t>[강조] 보관 선반(로케이션) 지정란, '입고완료' 처리 후 CC 상태 / [의미] 입고 확정이 실시간 처리되고 재고가 즉시 증가</t>
        </is>
      </c>
    </row>
    <row r="23" hidden="1" ht="27" customHeight="1">
      <c r="A23" s="10" t="n">
        <v>19</v>
      </c>
      <c r="B23" s="10" t="inlineStr">
        <is>
          <t>1.1.5</t>
        </is>
      </c>
      <c r="C23" s="11" t="inlineStr">
        <is>
          <t>입고 처리</t>
        </is>
      </c>
      <c r="D23" s="10" t="n">
        <v>15</v>
      </c>
      <c r="E23" s="10" t="inlineStr">
        <is>
          <t>[사진 2]</t>
        </is>
      </c>
      <c r="F23" s="11" t="inlineStr">
        <is>
          <t>Smartship(OMS) 입고신청 목록 – 입고완료·실제입고수량 반영</t>
        </is>
      </c>
      <c r="G23" s="15" t="inlineStr">
        <is>
          <t>시스템 캡처</t>
        </is>
      </c>
      <c r="H23" s="11" t="inlineStr">
        <is>
          <t>SW / Smartship 화면 (피그마 편집본)</t>
        </is>
      </c>
      <c r="I23" s="11" t="n"/>
      <c r="J23" s="11" t="n"/>
      <c r="K23" s="11" t="inlineStr">
        <is>
          <t>1.1.5_사진2</t>
        </is>
      </c>
      <c r="L23" s="13" t="inlineStr">
        <is>
          <t>O</t>
        </is>
      </c>
      <c r="M23" s="25" t="inlineStr">
        <is>
          <t>[강조] 같은 SKU의 Smartship 재고 수량이 입고 확정 직후 증가한 화면(시각 표시) / [의미] WMS→OMS 재고 자동 반영</t>
        </is>
      </c>
    </row>
    <row r="24" hidden="1" ht="27" customHeight="1">
      <c r="A24" s="10" t="n">
        <v>20</v>
      </c>
      <c r="B24" s="10" t="inlineStr">
        <is>
          <t>1.1.5</t>
        </is>
      </c>
      <c r="C24" s="11" t="inlineStr">
        <is>
          <t>입고 처리</t>
        </is>
      </c>
      <c r="D24" s="10" t="n">
        <v>15</v>
      </c>
      <c r="E24" s="10" t="inlineStr">
        <is>
          <t>[사진 3]</t>
        </is>
      </c>
      <c r="F24" s="11" t="inlineStr">
        <is>
          <t>SW 모바일(PDA) 입고 SKU 화면 – SKU별 도착수량 입력·배치 선반 지정</t>
        </is>
      </c>
      <c r="G24" s="15" t="inlineStr">
        <is>
          <t>시스템 캡처</t>
        </is>
      </c>
      <c r="H24" s="11" t="inlineStr">
        <is>
          <t>SW / Smartship 화면 (피그마 편집본)</t>
        </is>
      </c>
      <c r="I24" s="11" t="inlineStr">
        <is>
          <t>10.14: 삽입 이미지가 [사진 1]과 동일 → 교체 필요</t>
        </is>
      </c>
      <c r="J24" s="11" t="n"/>
      <c r="K24" s="11" t="inlineStr">
        <is>
          <t>1.1.5_사진3</t>
        </is>
      </c>
      <c r="L24" s="13" t="inlineStr">
        <is>
          <t>△</t>
        </is>
      </c>
      <c r="M24" s="25" t="inlineStr">
        <is>
          <t>[강조] 도착수량 입력란·저장 버튼, 배치 선반 설정 / [의미] 현장에서 PDA로 SKU별 실수량을 입력해 재고·로케이션에 즉시 반영</t>
        </is>
      </c>
    </row>
    <row r="25" hidden="1" ht="27" customHeight="1">
      <c r="A25" s="10" t="n">
        <v>21</v>
      </c>
      <c r="B25" s="10" t="inlineStr">
        <is>
          <t>1.1.5</t>
        </is>
      </c>
      <c r="C25" s="11" t="inlineStr">
        <is>
          <t>입고 처리</t>
        </is>
      </c>
      <c r="D25" s="10" t="n">
        <v>15</v>
      </c>
      <c r="E25" s="10" t="inlineStr">
        <is>
          <t>[사진 4]</t>
        </is>
      </c>
      <c r="F25" s="11" t="inlineStr">
        <is>
          <t>SW(WMS) SKU 입출고 이력 – 입고 수량·로케이션·LOT 기록</t>
        </is>
      </c>
      <c r="G25" s="15" t="inlineStr">
        <is>
          <t>시스템 캡처</t>
        </is>
      </c>
      <c r="H25" s="11" t="inlineStr">
        <is>
          <t>SW SKU 관리 &gt; SKU 입출고 이력</t>
        </is>
      </c>
      <c r="I25" s="11" t="inlineStr">
        <is>
          <t>2026-10-12 추가</t>
        </is>
      </c>
      <c r="J25" s="11" t="n"/>
      <c r="K25" s="11" t="inlineStr">
        <is>
          <t>1.1.5_사진4</t>
        </is>
      </c>
      <c r="L25" s="13" t="inlineStr">
        <is>
          <t>O</t>
        </is>
      </c>
      <c r="M25" s="25" t="inlineStr">
        <is>
          <t>[강조] 구분 "입고"·수량·로케이션(ST-X-1-1)·LOT·입고자·일시 / [의미] 입고 확정 즉시 WMS 재고·로케이션에 이력으로 기록</t>
        </is>
      </c>
    </row>
    <row r="26" ht="27" customHeight="1">
      <c r="A26" s="10" t="n">
        <v>22</v>
      </c>
      <c r="B26" s="10" t="inlineStr">
        <is>
          <t>1.2.1</t>
        </is>
      </c>
      <c r="C26" s="11" t="inlineStr">
        <is>
          <t>작업정보의 정보제공</t>
        </is>
      </c>
      <c r="D26" s="10" t="n">
        <v>18</v>
      </c>
      <c r="E26" s="10" t="inlineStr">
        <is>
          <t>[사진 1]</t>
        </is>
      </c>
      <c r="F26" s="11" t="inlineStr">
        <is>
          <t>SW 모바일(PDA) 적치 로케이션 지정 – 동일 SKU 기존 보관 위치 확인 → 배치 선반 할당</t>
        </is>
      </c>
      <c r="G26" s="15" t="inlineStr">
        <is>
          <t>시스템 캡처</t>
        </is>
      </c>
      <c r="H26" s="11" t="inlineStr">
        <is>
          <t>SW / Smartship / TLPS 화면 (4_시스템사용자매뉴얼 화면명 참고)</t>
        </is>
      </c>
      <c r="I26" s="11" t="inlineStr">
        <is>
          <t>2026-10-13 확보(피그마)</t>
        </is>
      </c>
      <c r="J26" s="11" t="n"/>
      <c r="K26" s="11" t="inlineStr">
        <is>
          <t>1.2.1_사진1</t>
        </is>
      </c>
      <c r="L26" s="13" t="inlineStr">
        <is>
          <t>O</t>
        </is>
      </c>
      <c r="M26" s="25" t="inlineStr">
        <is>
          <t>[강조] 현재 배치 현황의 동일 SKU 사용중 셀(P28-2-1-B) → 배치 선반 설정 할당 / [의미] 기존 보관 위치 기준 적치 로케이션 지정</t>
        </is>
      </c>
    </row>
    <row r="27" hidden="1">
      <c r="A27" s="10" t="n">
        <v>23</v>
      </c>
      <c r="B27" s="10" t="inlineStr">
        <is>
          <t>1.2.1</t>
        </is>
      </c>
      <c r="C27" s="11" t="inlineStr">
        <is>
          <t>작업정보의 정보제공</t>
        </is>
      </c>
      <c r="D27" s="10" t="n">
        <v>18</v>
      </c>
      <c r="E27" s="10" t="inlineStr">
        <is>
          <t>[사진 2]</t>
        </is>
      </c>
      <c r="F27" s="11" t="inlineStr">
        <is>
          <t>적치 작업 사진</t>
        </is>
      </c>
      <c r="G27" s="14" t="inlineStr">
        <is>
          <t>현장사진</t>
        </is>
      </c>
      <c r="H27" s="11" t="inlineStr">
        <is>
          <t>보관 영역(셀렉티브 랙)</t>
        </is>
      </c>
      <c r="I27" s="11" t="n"/>
      <c r="J27" s="11" t="n"/>
      <c r="K27" s="11" t="inlineStr">
        <is>
          <t>1.2.1_사진2</t>
        </is>
      </c>
      <c r="L27" s="13" t="n"/>
      <c r="M27" s="25" t="inlineStr">
        <is>
          <t>지게차·작업자가 추천 로케이션 랙에 적치하는 장면. 랙 로케이션 라벨이 보이게</t>
        </is>
      </c>
    </row>
    <row r="28" hidden="1">
      <c r="A28" s="10" t="n">
        <v>24</v>
      </c>
      <c r="B28" s="10" t="inlineStr">
        <is>
          <t>1.2.2</t>
        </is>
      </c>
      <c r="C28" s="11" t="inlineStr">
        <is>
          <t>적치장소 이동</t>
        </is>
      </c>
      <c r="D28" s="10" t="n">
        <v>20</v>
      </c>
      <c r="E28" s="10" t="inlineStr">
        <is>
          <t>[사진 1]</t>
        </is>
      </c>
      <c r="F28" s="11" t="inlineStr">
        <is>
          <t>지게차 적치 작업 사진</t>
        </is>
      </c>
      <c r="G28" s="14" t="inlineStr">
        <is>
          <t>현장사진</t>
        </is>
      </c>
      <c r="H28" s="11" t="inlineStr">
        <is>
          <t>보관 영역(셀렉티브 랙)</t>
        </is>
      </c>
      <c r="I28" s="11" t="n"/>
      <c r="J28" s="11" t="n"/>
      <c r="K28" s="11" t="inlineStr">
        <is>
          <t>1.2.2_사진1</t>
        </is>
      </c>
      <c r="L28" s="13" t="n"/>
      <c r="M28" s="25" t="inlineStr">
        <is>
          <t>지게차가 통로(2.4m)를 이동해 랙에 적치하는 장면</t>
        </is>
      </c>
    </row>
    <row r="29" hidden="1" ht="27" customHeight="1">
      <c r="A29" s="10" t="n">
        <v>25</v>
      </c>
      <c r="B29" s="10" t="inlineStr">
        <is>
          <t>1.2.2</t>
        </is>
      </c>
      <c r="C29" s="11" t="inlineStr">
        <is>
          <t>적치장소 이동</t>
        </is>
      </c>
      <c r="D29" s="10" t="n">
        <v>20</v>
      </c>
      <c r="E29" s="10" t="inlineStr">
        <is>
          <t>[사진 2]</t>
        </is>
      </c>
      <c r="F29" s="11" t="inlineStr">
        <is>
          <t>셀렉티브 랙 전경 사진</t>
        </is>
      </c>
      <c r="G29" s="14" t="inlineStr">
        <is>
          <t>현장사진</t>
        </is>
      </c>
      <c r="H29" s="11" t="inlineStr">
        <is>
          <t>보관 영역(셀렉티브 랙)</t>
        </is>
      </c>
      <c r="I29" s="11" t="n"/>
      <c r="J29" s="11" t="n"/>
      <c r="K29" s="11" t="inlineStr">
        <is>
          <t>1.2.2_사진2</t>
        </is>
      </c>
      <c r="L29" s="13" t="n"/>
      <c r="M29" s="25" t="inlineStr">
        <is>
          <t>셀렉티브 랙 5단이 길게 보이는 통로 정면 컷. 랙 높이·통로 폭이 드러나게</t>
        </is>
      </c>
    </row>
    <row r="30" ht="27" customHeight="1">
      <c r="A30" s="28" t="n">
        <v>26</v>
      </c>
      <c r="B30" s="28" t="inlineStr">
        <is>
          <t>1.2.2</t>
        </is>
      </c>
      <c r="C30" s="20" t="inlineStr">
        <is>
          <t>적치장소 이동</t>
        </is>
      </c>
      <c r="D30" s="28" t="n">
        <v>20</v>
      </c>
      <c r="E30" s="28" t="inlineStr">
        <is>
          <t>[사진 3]</t>
        </is>
      </c>
      <c r="F30" s="20" t="inlineStr">
        <is>
          <t>지게차 안전작업 실천 서약서(2026.06.23, 영종센터 운전자 8명)</t>
        </is>
      </c>
      <c r="G30" s="34" t="inlineStr">
        <is>
          <t>자료·문서</t>
        </is>
      </c>
      <c r="H30" s="20" t="inlineStr">
        <is>
          <t>공유 받은 서류/(20260623) 지게차_안전작업_서약서.pdf</t>
        </is>
      </c>
      <c r="I30" s="20" t="inlineStr">
        <is>
          <t>2026-10-13 확보 / 10.15 01 삽입</t>
        </is>
      </c>
      <c r="J30" s="20" t="n"/>
      <c r="K30" s="20" t="inlineStr">
        <is>
          <t>1.2.2_사진3</t>
        </is>
      </c>
      <c r="L30" s="30" t="inlineStr">
        <is>
          <t>O</t>
        </is>
      </c>
      <c r="M30" s="20" t="inlineStr">
        <is>
          <t>서약서 1장 + "운전자 8명 서약" 표기. 서명은 그대로 두되 다른 장은 첨부 생략 가능</t>
        </is>
      </c>
    </row>
    <row r="31" hidden="1">
      <c r="A31" s="10" t="n">
        <v>27</v>
      </c>
      <c r="B31" s="10" t="inlineStr">
        <is>
          <t>1.2.3</t>
        </is>
      </c>
      <c r="C31" s="11" t="inlineStr">
        <is>
          <t>작업경로 관리</t>
        </is>
      </c>
      <c r="D31" s="10" t="n">
        <v>22</v>
      </c>
      <c r="E31" s="10" t="inlineStr">
        <is>
          <t>[사진 1]</t>
        </is>
      </c>
      <c r="F31" s="11" t="inlineStr">
        <is>
          <t>SW(WMS) 3D 뷰어 – 보관 구역·랙·셀 배치 및 셀별 재고 상태</t>
        </is>
      </c>
      <c r="G31" s="15" t="inlineStr">
        <is>
          <t>시스템 캡처</t>
        </is>
      </c>
      <c r="H31" s="11" t="inlineStr">
        <is>
          <t>SW / Smartship / TLPS 화면 (4_시스템사용자매뉴얼 화면명 참고)</t>
        </is>
      </c>
      <c r="I31" s="11" t="inlineStr">
        <is>
          <t>2026-10-13 확보(피그마)</t>
        </is>
      </c>
      <c r="J31" s="11" t="n"/>
      <c r="K31" s="11" t="inlineStr">
        <is>
          <t>1.2.3_사진1</t>
        </is>
      </c>
      <c r="L31" s="13" t="inlineStr">
        <is>
          <t>O</t>
        </is>
      </c>
      <c r="M31" s="25" t="inlineStr">
        <is>
          <t>[강조] 레이아웃관리·선반/블록관리·3D/2D 뷰어 메뉴, 재고 상태 범례 / [의미] 보관 공간이 셀 단위로 구조화·시각화</t>
        </is>
      </c>
    </row>
    <row r="32" hidden="1" ht="27" customHeight="1">
      <c r="A32" s="10" t="n">
        <v>28</v>
      </c>
      <c r="B32" s="10" t="inlineStr">
        <is>
          <t>1.2.3</t>
        </is>
      </c>
      <c r="C32" s="11" t="inlineStr">
        <is>
          <t>작업경로 관리</t>
        </is>
      </c>
      <c r="D32" s="10" t="n">
        <v>22</v>
      </c>
      <c r="E32" s="10" t="inlineStr">
        <is>
          <t>[사진 2]</t>
        </is>
      </c>
      <c r="F32" s="11" t="inlineStr">
        <is>
          <t>보관 영역 로케이션 배치도</t>
        </is>
      </c>
      <c r="G32" s="12" t="inlineStr">
        <is>
          <t>자료·문서</t>
        </is>
      </c>
      <c r="H32" s="11" t="inlineStr">
        <is>
          <t>관련 부서 보관 자료</t>
        </is>
      </c>
      <c r="I32" s="11" t="n"/>
      <c r="J32" s="11" t="n"/>
      <c r="K32" s="11" t="inlineStr">
        <is>
          <t>1.2.3_사진2</t>
        </is>
      </c>
      <c r="L32" s="13" t="n"/>
      <c r="M32" s="25" t="inlineStr">
        <is>
          <t>보관 영역의 열(Line)·로케이션 번호가 표시된 배치도(운영 Lay-out 활용 가능)</t>
        </is>
      </c>
    </row>
    <row r="33" ht="27" customHeight="1">
      <c r="A33" s="10" t="n">
        <v>29</v>
      </c>
      <c r="B33" s="10" t="inlineStr">
        <is>
          <t>1.2.4</t>
        </is>
      </c>
      <c r="C33" s="11" t="inlineStr">
        <is>
          <t>적치장소 식별 및 작업</t>
        </is>
      </c>
      <c r="D33" s="10" t="n">
        <v>23</v>
      </c>
      <c r="E33" s="10" t="inlineStr">
        <is>
          <t>[사진 1]</t>
        </is>
      </c>
      <c r="F33" s="11" t="inlineStr">
        <is>
          <t>로케이션 라벨 부착 사진</t>
        </is>
      </c>
      <c r="G33" s="14" t="inlineStr">
        <is>
          <t>현장사진</t>
        </is>
      </c>
      <c r="H33" s="11" t="inlineStr">
        <is>
          <t>보관 영역(셀렉티브 랙)</t>
        </is>
      </c>
      <c r="I33" s="11" t="n"/>
      <c r="J33" s="11" t="n"/>
      <c r="K33" s="11" t="inlineStr">
        <is>
          <t>1.2.4_사진1</t>
        </is>
      </c>
      <c r="L33" s="13" t="n"/>
      <c r="M33" s="25" t="inlineStr">
        <is>
          <t>랙 셀에 부착된 로케이션 바코드 라벨 근접 컷(번호 판독 가능하게)</t>
        </is>
      </c>
    </row>
    <row r="34" ht="27" customHeight="1">
      <c r="A34" s="10" t="n">
        <v>30</v>
      </c>
      <c r="B34" s="10" t="inlineStr">
        <is>
          <t>1.2.4</t>
        </is>
      </c>
      <c r="C34" s="11" t="inlineStr">
        <is>
          <t>적치장소 식별 및 작업</t>
        </is>
      </c>
      <c r="D34" s="10" t="n">
        <v>23</v>
      </c>
      <c r="E34" s="10" t="inlineStr">
        <is>
          <t>[사진 2]</t>
        </is>
      </c>
      <c r="F34" s="11" t="inlineStr">
        <is>
          <t>SW 모바일(PDA) 셀·SKU 스캔 – 로케이션별 SKU·수량 양방향 조회</t>
        </is>
      </c>
      <c r="G34" s="15" t="inlineStr">
        <is>
          <t>시스템 캡처</t>
        </is>
      </c>
      <c r="H34" s="11" t="inlineStr">
        <is>
          <t>SW / Smartship / TLPS 화면 (4_시스템사용자매뉴얼 화면명 참고)</t>
        </is>
      </c>
      <c r="I34" s="11" t="inlineStr">
        <is>
          <t>2026-10-13 확보(피그마)</t>
        </is>
      </c>
      <c r="J34" s="11" t="n"/>
      <c r="K34" s="11" t="inlineStr">
        <is>
          <t>1.2.4_사진2</t>
        </is>
      </c>
      <c r="L34" s="13" t="inlineStr">
        <is>
          <t>O</t>
        </is>
      </c>
      <c r="M34" s="25" t="inlineStr">
        <is>
          <t>[강조] 셀 스캔(A10-5-7)→SKU·구역·수량, SKU 스캔→로케이션·수량 / [의미] 스캔만으로 적치 위치·재고 즉시 식별. 판매자 이메일 가림</t>
        </is>
      </c>
    </row>
    <row r="35" hidden="1" ht="27" customHeight="1">
      <c r="A35" s="10" t="n">
        <v>31</v>
      </c>
      <c r="B35" s="10" t="inlineStr">
        <is>
          <t>1.3.1</t>
        </is>
      </c>
      <c r="C35" s="11" t="inlineStr">
        <is>
          <t>재고조사의 수행 및 방법</t>
        </is>
      </c>
      <c r="D35" s="10" t="n">
        <v>24</v>
      </c>
      <c r="E35" s="10" t="inlineStr">
        <is>
          <t>[사진 1]</t>
        </is>
      </c>
      <c r="F35" s="11" t="inlineStr">
        <is>
          <t>SW(WMS) 재고실사 관리 – 실사 생성(대상 유형·기간 지정) 및 실사 목록</t>
        </is>
      </c>
      <c r="G35" s="15" t="inlineStr">
        <is>
          <t>시스템 캡처</t>
        </is>
      </c>
      <c r="H35" s="11" t="inlineStr">
        <is>
          <t>SW / Smartship / TLPS 화면 (4_시스템사용자매뉴얼 화면명 참고)</t>
        </is>
      </c>
      <c r="I35" s="11" t="inlineStr">
        <is>
          <t>10.14 01 삽입 확인</t>
        </is>
      </c>
      <c r="J35" s="11" t="n"/>
      <c r="K35" s="11" t="inlineStr">
        <is>
          <t>1.3.1_사진1</t>
        </is>
      </c>
      <c r="L35" s="13" t="inlineStr">
        <is>
          <t>O</t>
        </is>
      </c>
      <c r="M35" s="25" t="inlineStr">
        <is>
          <t>[강조] 실사 세션 목록(정기·순환), 실사 수행 화면의 시스템 수량 vs 실물 수량 / [의미] 재고조사가 시스템으로 수행·자동 대조</t>
        </is>
      </c>
    </row>
    <row r="36" ht="27" customHeight="1">
      <c r="A36" s="10" t="n">
        <v>32</v>
      </c>
      <c r="B36" s="10" t="inlineStr">
        <is>
          <t>1.3.1</t>
        </is>
      </c>
      <c r="C36" s="11" t="inlineStr">
        <is>
          <t>재고조사의 수행 및 방법</t>
        </is>
      </c>
      <c r="D36" s="10" t="n">
        <v>24</v>
      </c>
      <c r="E36" s="10" t="inlineStr">
        <is>
          <t>[사진 2]</t>
        </is>
      </c>
      <c r="F36" s="11" t="inlineStr">
        <is>
          <t>SW(WMS) 재고실사 상세 – 창고·입고·선반·체크재고 비교 및 셀별 불일치 조정</t>
        </is>
      </c>
      <c r="G36" s="12" t="inlineStr">
        <is>
          <t>자료·문서</t>
        </is>
      </c>
      <c r="H36" s="11" t="inlineStr">
        <is>
          <t>관련 부서 보관 자료</t>
        </is>
      </c>
      <c r="I36" s="11" t="inlineStr">
        <is>
          <t>10.14 01 삽입 확인</t>
        </is>
      </c>
      <c r="J36" s="11" t="n"/>
      <c r="K36" s="11" t="inlineStr">
        <is>
          <t>1.3.1_사진2</t>
        </is>
      </c>
      <c r="L36" s="13" t="inlineStr">
        <is>
          <t>O</t>
        </is>
      </c>
      <c r="M36" s="25" t="inlineStr">
        <is>
          <t>[강조] 실사 결과 차이 건수·조정 사유·조정 이력, 재고 정확도(%) / [의미] 차이 분석·피드백 실적</t>
        </is>
      </c>
    </row>
    <row r="37" ht="27" customHeight="1">
      <c r="A37" s="10" t="n">
        <v>33</v>
      </c>
      <c r="B37" s="10" t="inlineStr">
        <is>
          <t>1.3.2</t>
        </is>
      </c>
      <c r="C37" s="11" t="inlineStr">
        <is>
          <t>재고보충정보의 생성 및 지시</t>
        </is>
      </c>
      <c r="D37" s="10" t="n">
        <v>26</v>
      </c>
      <c r="E37" s="10" t="inlineStr">
        <is>
          <t>[사진 1]</t>
        </is>
      </c>
      <c r="F37" s="11" t="inlineStr">
        <is>
          <t>SW(WMS) SKU 이동 처리 – 보충·이동 요청 등록 및 출발·도착 셀 지정</t>
        </is>
      </c>
      <c r="G37" s="15" t="inlineStr">
        <is>
          <t>시스템 캡처</t>
        </is>
      </c>
      <c r="H37" s="11" t="inlineStr">
        <is>
          <t>SW / Smartship / TLPS 화면 (4_시스템사용자매뉴얼 화면명 참고)</t>
        </is>
      </c>
      <c r="I37" s="11" t="inlineStr">
        <is>
          <t>10.14 01 삽입 확인</t>
        </is>
      </c>
      <c r="J37" s="11" t="n"/>
      <c r="K37" s="11" t="inlineStr">
        <is>
          <t>1.3.2_사진1</t>
        </is>
      </c>
      <c r="L37" s="13" t="inlineStr">
        <is>
          <t>O</t>
        </is>
      </c>
      <c r="M37" s="25" t="inlineStr">
        <is>
          <t>[강조] 이동유형 '보충(R)', 자동 생성된 보충 요청과 상태(요청됨→완료) / [의미] 기준재고 기반 보충 요청 자동 생성·추적</t>
        </is>
      </c>
    </row>
    <row r="38" ht="27" customHeight="1">
      <c r="A38" s="10" t="n">
        <v>34</v>
      </c>
      <c r="B38" s="10" t="inlineStr">
        <is>
          <t>1.3.3</t>
        </is>
      </c>
      <c r="C38" s="11" t="inlineStr">
        <is>
          <t>재고 보관위치의 조정</t>
        </is>
      </c>
      <c r="D38" s="10" t="n">
        <v>27</v>
      </c>
      <c r="E38" s="10" t="inlineStr">
        <is>
          <t>[사진 1]</t>
        </is>
      </c>
      <c r="F38" s="11" t="inlineStr">
        <is>
          <t>SW(WMS) SKU 이동 관리 – 유형별 이동 요청·처리 실적(2026.01~10, 26,348건)</t>
        </is>
      </c>
      <c r="G38" s="15" t="inlineStr">
        <is>
          <t>시스템 캡처</t>
        </is>
      </c>
      <c r="H38" s="11" t="inlineStr">
        <is>
          <t>SW / Smartship / TLPS 화면 (4_시스템사용자매뉴얼 화면명 참고)</t>
        </is>
      </c>
      <c r="I38" s="11" t="inlineStr">
        <is>
          <t>10.14 01 삽입 확인</t>
        </is>
      </c>
      <c r="J38" s="11" t="n"/>
      <c r="K38" s="11" t="inlineStr">
        <is>
          <t>1.3.3_사진1</t>
        </is>
      </c>
      <c r="L38" s="13" t="inlineStr">
        <is>
          <t>O</t>
        </is>
      </c>
      <c r="M38" s="25" t="inlineStr">
        <is>
          <t>[강조] 출발·도착 셀, 수량, 상태 버튼(이동진행·완료) / [의미] 보관위치 조정이 시스템에서 요청·확정·추적</t>
        </is>
      </c>
    </row>
    <row r="39" hidden="1" ht="27" customHeight="1">
      <c r="A39" s="10" t="n">
        <v>35</v>
      </c>
      <c r="B39" s="10" t="inlineStr">
        <is>
          <t>1.3.4</t>
        </is>
      </c>
      <c r="C39" s="11" t="inlineStr">
        <is>
          <t>보관장소의 모니터링 및 관리</t>
        </is>
      </c>
      <c r="D39" s="10" t="n">
        <v>28</v>
      </c>
      <c r="E39" s="10" t="inlineStr">
        <is>
          <t>[사진 1]</t>
        </is>
      </c>
      <c r="F39" s="11" t="inlineStr">
        <is>
          <t>SW(WMS) 전체 대시보드 – 공정별 실시간 처리 현황 및 피킹존 재고부족·미출고 모니터링</t>
        </is>
      </c>
      <c r="G39" s="15" t="inlineStr">
        <is>
          <t>시스템 캡처</t>
        </is>
      </c>
      <c r="H39" s="11" t="inlineStr">
        <is>
          <t>SW / Smartship / TLPS 화면 (4_시스템사용자매뉴얼 화면명 참고)</t>
        </is>
      </c>
      <c r="I39" s="11" t="inlineStr">
        <is>
          <t>10.14 01 삽입 확인</t>
        </is>
      </c>
      <c r="J39" s="11" t="n"/>
      <c r="K39" s="11" t="inlineStr">
        <is>
          <t>1.3.4_사진1</t>
        </is>
      </c>
      <c r="L39" s="13" t="inlineStr">
        <is>
          <t>O</t>
        </is>
      </c>
      <c r="M39" s="25" t="inlineStr">
        <is>
          <t>[강조] 작업 상태·재고 수준·피킹/팩킹 진행률 그래프, 1분 자동 갱신 표시 / [의미] 보관 현황 실시간 모니터링</t>
        </is>
      </c>
    </row>
    <row r="40" ht="27" customHeight="1">
      <c r="A40" s="10" t="n">
        <v>36</v>
      </c>
      <c r="B40" s="10" t="inlineStr">
        <is>
          <t>1.3.4</t>
        </is>
      </c>
      <c r="C40" s="11" t="inlineStr">
        <is>
          <t>보관장소의 모니터링 및 관리</t>
        </is>
      </c>
      <c r="D40" s="10" t="n">
        <v>28</v>
      </c>
      <c r="E40" s="10" t="inlineStr">
        <is>
          <t>[사진 2]</t>
        </is>
      </c>
      <c r="F40" s="11" t="inlineStr">
        <is>
          <t>현장 상황판 사진</t>
        </is>
      </c>
      <c r="G40" s="14" t="inlineStr">
        <is>
          <t>현장사진</t>
        </is>
      </c>
      <c r="H40" s="11" t="inlineStr">
        <is>
          <t>보관 영역 / 현장 상황판</t>
        </is>
      </c>
      <c r="I40" s="11" t="n"/>
      <c r="J40" s="11" t="n"/>
      <c r="K40" s="11" t="inlineStr">
        <is>
          <t>1.3.4_사진2</t>
        </is>
      </c>
      <c r="L40" s="13" t="n"/>
      <c r="M40" s="25" t="inlineStr">
        <is>
          <t>현장 대형 모니터에 대시보드가 띄워진 모습(작업 현장과 함께)</t>
        </is>
      </c>
    </row>
    <row r="41" ht="27" customHeight="1">
      <c r="A41" s="10" t="n">
        <v>37</v>
      </c>
      <c r="B41" s="10" t="inlineStr">
        <is>
          <t>1.3.4</t>
        </is>
      </c>
      <c r="C41" s="11" t="inlineStr">
        <is>
          <t>보관장소의 모니터링 및 관리</t>
        </is>
      </c>
      <c r="D41" s="10" t="n">
        <v>28</v>
      </c>
      <c r="E41" s="10" t="inlineStr">
        <is>
          <t>[사진 3]</t>
        </is>
      </c>
      <c r="F41" s="11" t="inlineStr">
        <is>
          <t>SW(WMS) 마감리포트 – 일·주·월 단위 재고·입출고 집계(2026년 9월)</t>
        </is>
      </c>
      <c r="G41" s="15" t="inlineStr">
        <is>
          <t>시스템 캡처</t>
        </is>
      </c>
      <c r="H41" s="11" t="inlineStr">
        <is>
          <t>SW / Smartship / TLPS 화면 (4_시스템사용자매뉴얼 화면명 참고)</t>
        </is>
      </c>
      <c r="I41" s="11" t="inlineStr">
        <is>
          <t>2026-10-13 확보(피그마)</t>
        </is>
      </c>
      <c r="J41" s="11" t="n"/>
      <c r="K41" s="11" t="inlineStr">
        <is>
          <t>1.3.4_사진3</t>
        </is>
      </c>
      <c r="L41" s="13" t="inlineStr">
        <is>
          <t>O</t>
        </is>
      </c>
      <c r="M41" s="25" t="inlineStr">
        <is>
          <t>[강조] 일·주·월 리포트 탭, 2026년 9월 집계 카드(총 SKU·입출고·재고 부족) / [의미] 기간별 재고·입출고 정기 분석(2등급 근거). 셀러 ID 가림</t>
        </is>
      </c>
    </row>
    <row r="42" ht="27" customHeight="1">
      <c r="A42" s="10" t="n">
        <v>38</v>
      </c>
      <c r="B42" s="10" t="inlineStr">
        <is>
          <t>1.3.5</t>
        </is>
      </c>
      <c r="C42" s="11" t="inlineStr">
        <is>
          <t>재고 이력(선입선출 등) 및 품질관리</t>
        </is>
      </c>
      <c r="D42" s="10" t="n">
        <v>30</v>
      </c>
      <c r="E42" s="10" t="inlineStr">
        <is>
          <t>[사진 1]</t>
        </is>
      </c>
      <c r="F42" s="11" t="inlineStr">
        <is>
          <t>SW(WMS) SKU 입출고 이력 – 동일 SKU 로트별 유통기한 순 출고(FEFO)</t>
        </is>
      </c>
      <c r="G42" s="15" t="inlineStr">
        <is>
          <t>시스템 캡처</t>
        </is>
      </c>
      <c r="H42" s="11" t="inlineStr">
        <is>
          <t>SW / Smartship / TLPS 화면 (4_시스템사용자매뉴얼 화면명 참고)</t>
        </is>
      </c>
      <c r="I42" s="11" t="inlineStr">
        <is>
          <t>10.14 01 삽입 확인</t>
        </is>
      </c>
      <c r="J42" s="11" t="n"/>
      <c r="K42" s="11" t="inlineStr">
        <is>
          <t>1.3.5_사진1</t>
        </is>
      </c>
      <c r="L42" s="13" t="inlineStr">
        <is>
          <t>O</t>
        </is>
      </c>
      <c r="M42" s="25" t="inlineStr">
        <is>
          <t>[강조] 유통기한·로트 그룹핑 탭, 출고 할당 시 유통기한 빠른 순 자동 배정 결과 / [의미] FEFO/FIFO 시스템 자동 할당</t>
        </is>
      </c>
    </row>
    <row r="43" ht="27" customHeight="1">
      <c r="A43" s="10" t="n">
        <v>39</v>
      </c>
      <c r="B43" s="10" t="inlineStr">
        <is>
          <t>1.4.1</t>
        </is>
      </c>
      <c r="C43" s="11" t="inlineStr">
        <is>
          <t>작업정보의 생성 및 지시</t>
        </is>
      </c>
      <c r="D43" s="10" t="n">
        <v>31</v>
      </c>
      <c r="E43" s="10" t="inlineStr">
        <is>
          <t>[사진 1]</t>
        </is>
      </c>
      <c r="F43" s="11" t="inlineStr">
        <is>
          <t>SW(WMS) 픽킹 리스트 생성 – 선택 주문 기준 생성(패킹장비 타입·정렬 기준·피킹 시작 지점 지정)</t>
        </is>
      </c>
      <c r="G43" s="15" t="inlineStr">
        <is>
          <t>시스템 캡처</t>
        </is>
      </c>
      <c r="H43" s="11" t="inlineStr">
        <is>
          <t>SW / Smartship / TLPS 화면 (4_시스템사용자매뉴얼 화면명 참고)</t>
        </is>
      </c>
      <c r="I43" s="11" t="inlineStr">
        <is>
          <t>10.14 01 삽입 확인</t>
        </is>
      </c>
      <c r="J43" s="11" t="n"/>
      <c r="K43" s="11" t="inlineStr">
        <is>
          <t>1.4.1_사진1</t>
        </is>
      </c>
      <c r="L43" s="13" t="inlineStr">
        <is>
          <t>O</t>
        </is>
      </c>
      <c r="M43" s="25" t="inlineStr">
        <is>
          <t>[강조] 주문 필터(국내/해외·컷오프)와 생성된 픽킹 리스트 목록 / [의미] 실시간 작업지시 자동 생성</t>
        </is>
      </c>
    </row>
    <row r="44" ht="27" customHeight="1">
      <c r="A44" s="10" t="n">
        <v>40</v>
      </c>
      <c r="B44" s="10" t="inlineStr">
        <is>
          <t>1.4.1</t>
        </is>
      </c>
      <c r="C44" s="11" t="inlineStr">
        <is>
          <t>작업정보의 생성 및 지시</t>
        </is>
      </c>
      <c r="D44" s="10" t="n">
        <v>31</v>
      </c>
      <c r="E44" s="10" t="inlineStr">
        <is>
          <t>[사진 2]</t>
        </is>
      </c>
      <c r="F44" s="11" t="inlineStr">
        <is>
          <t>SW 모바일(PDA) 피킹 리스트 관리 – 타입별 피킹 현황 및 작업자 피킹 지시 목록</t>
        </is>
      </c>
      <c r="G44" s="15" t="inlineStr">
        <is>
          <t>시스템 캡처</t>
        </is>
      </c>
      <c r="H44" s="11" t="inlineStr">
        <is>
          <t>SW / Smartship / TLPS 화면 (4_시스템사용자매뉴얼 화면명 참고)</t>
        </is>
      </c>
      <c r="I44" s="11" t="inlineStr">
        <is>
          <t>10.14 01 삽입 확인</t>
        </is>
      </c>
      <c r="J44" s="11" t="n"/>
      <c r="K44" s="11" t="inlineStr">
        <is>
          <t>1.4.1_사진2</t>
        </is>
      </c>
      <c r="L44" s="13" t="inlineStr">
        <is>
          <t>O</t>
        </is>
      </c>
      <c r="M44" s="25" t="inlineStr">
        <is>
          <t>[강조] PDA에 표시된 피킹 대상 로케이션·SKU·수량 / [의미] 작업지시가 현장 단말로 실시간 전달</t>
        </is>
      </c>
    </row>
    <row r="45" ht="27" customHeight="1">
      <c r="A45" s="10" t="n">
        <v>41</v>
      </c>
      <c r="B45" s="10" t="inlineStr">
        <is>
          <t>1.4.1</t>
        </is>
      </c>
      <c r="C45" s="11" t="inlineStr">
        <is>
          <t>작업정보의 생성 및 지시</t>
        </is>
      </c>
      <c r="D45" s="10" t="n">
        <v>31</v>
      </c>
      <c r="E45" s="10" t="inlineStr">
        <is>
          <t>[사진 3]</t>
        </is>
      </c>
      <c r="F45" s="11" t="inlineStr">
        <is>
          <t>SW(WMS) 픽킹 리스트 관리 – 주문 구성별 피킹 방식 구분</t>
        </is>
      </c>
      <c r="G45" s="23" t="inlineStr">
        <is>
          <t>시스템 캡처</t>
        </is>
      </c>
      <c r="H45" s="11" t="inlineStr">
        <is>
          <t>SW / Smartship / TLPS 화면 (4_시스템사용자매뉴얼 화면명 참고)</t>
        </is>
      </c>
      <c r="I45" s="11" t="inlineStr">
        <is>
          <t>2026-10-13 확보(피그마)</t>
        </is>
      </c>
      <c r="J45" s="11" t="n"/>
      <c r="K45" s="11" t="inlineStr">
        <is>
          <t>1.4.1_사진3</t>
        </is>
      </c>
      <c r="L45" s="13" t="inlineStr">
        <is>
          <t>O</t>
        </is>
      </c>
      <c r="M45" s="25" t="inlineStr">
        <is>
          <t>[강조] 리스트별 피킹타입(3D Sorter·Multi Pattern Item·Cart Picking) / [의미] 주문 구성에 따라 피킹 방식 자동 결정(2등급 근거). 이메일·생성자 가림</t>
        </is>
      </c>
    </row>
    <row r="46" hidden="1" ht="27" customHeight="1">
      <c r="A46" s="10" t="n">
        <v>42</v>
      </c>
      <c r="B46" s="10" t="inlineStr">
        <is>
          <t>1.4.2</t>
        </is>
      </c>
      <c r="C46" s="11" t="inlineStr">
        <is>
          <t>작업정보의 확인 방법</t>
        </is>
      </c>
      <c r="D46" s="10" t="n">
        <v>33</v>
      </c>
      <c r="E46" s="10" t="inlineStr">
        <is>
          <t>[사진 1]</t>
        </is>
      </c>
      <c r="F46" s="11" t="inlineStr">
        <is>
          <t>SW 모바일(PDA) 피킹 화면 – SKU별 로케이션·지시수량 확인 및 스캔 수량 입력</t>
        </is>
      </c>
      <c r="G46" s="15" t="inlineStr">
        <is>
          <t>시스템 캡처</t>
        </is>
      </c>
      <c r="H46" s="11" t="inlineStr">
        <is>
          <t>SW / Smartship / TLPS 화면 (4_시스템사용자매뉴얼 화면명 참고)</t>
        </is>
      </c>
      <c r="I46" s="11" t="inlineStr">
        <is>
          <t>10.14 01 삽입 확인</t>
        </is>
      </c>
      <c r="J46" s="11" t="n"/>
      <c r="K46" s="11" t="inlineStr">
        <is>
          <t>1.4.2_사진1</t>
        </is>
      </c>
      <c r="L46" s="13" t="inlineStr">
        <is>
          <t>O</t>
        </is>
      </c>
      <c r="M46" s="25" t="inlineStr">
        <is>
          <t>[강조] PDA 피킹 화면의 로케이션·SKU·수량·진행률 / [의미] 작업정보를 단말에서 실시간 확인</t>
        </is>
      </c>
    </row>
    <row r="47" ht="27" customHeight="1">
      <c r="A47" s="10" t="n">
        <v>43</v>
      </c>
      <c r="B47" s="10" t="inlineStr">
        <is>
          <t>1.4.2</t>
        </is>
      </c>
      <c r="C47" s="11" t="inlineStr">
        <is>
          <t>작업정보의 확인 방법</t>
        </is>
      </c>
      <c r="D47" s="10" t="n">
        <v>33</v>
      </c>
      <c r="E47" s="10" t="inlineStr">
        <is>
          <t>[사진 2]</t>
        </is>
      </c>
      <c r="F47" s="11" t="inlineStr">
        <is>
          <t>PTL 점등 사진</t>
        </is>
      </c>
      <c r="G47" s="14" t="inlineStr">
        <is>
          <t>현장사진</t>
        </is>
      </c>
      <c r="H47" s="11" t="inlineStr">
        <is>
          <t>피킹·분류 영역</t>
        </is>
      </c>
      <c r="I47" s="11" t="n"/>
      <c r="J47" s="11" t="n"/>
      <c r="K47" s="11" t="inlineStr">
        <is>
          <t>1.4.2_사진2</t>
        </is>
      </c>
      <c r="L47" s="13" t="n"/>
      <c r="M47" s="25" t="inlineStr">
        <is>
          <t>PTL 표시등이 점등된 칸과 작업자가 투입하는 장면(점등 숫자 보이게)</t>
        </is>
      </c>
    </row>
    <row r="48" hidden="1" ht="27" customHeight="1">
      <c r="A48" s="10" t="n">
        <v>44</v>
      </c>
      <c r="B48" s="10" t="inlineStr">
        <is>
          <t>1.4.3</t>
        </is>
      </c>
      <c r="C48" s="11" t="inlineStr">
        <is>
          <t>작업경로의 실시간 관리</t>
        </is>
      </c>
      <c r="D48" s="10" t="n">
        <v>35</v>
      </c>
      <c r="E48" s="10" t="inlineStr">
        <is>
          <t>[사진 1]</t>
        </is>
      </c>
      <c r="F48" s="11" t="inlineStr">
        <is>
          <t>SW(WMS) 픽킹 리스트 출력 – 로케이션 순 피킹 순서 자동 정렬</t>
        </is>
      </c>
      <c r="G48" s="15" t="inlineStr">
        <is>
          <t>시스템 캡처</t>
        </is>
      </c>
      <c r="H48" s="11" t="inlineStr">
        <is>
          <t>SW / Smartship / TLPS 화면 (4_시스템사용자매뉴얼 화면명 참고)</t>
        </is>
      </c>
      <c r="I48" s="11" t="inlineStr">
        <is>
          <t>2026-10-13 확보(피그마)</t>
        </is>
      </c>
      <c r="J48" s="11" t="n"/>
      <c r="K48" s="11" t="inlineStr">
        <is>
          <t>1.4.3_사진1</t>
        </is>
      </c>
      <c r="L48" s="13" t="inlineStr">
        <is>
          <t>O</t>
        </is>
      </c>
      <c r="M48" s="25" t="inlineStr">
        <is>
          <t>[강조] 위치 칸(A13-3-4→A13-3-5→A14-1-2…) / [의미] 피킹 순서가 로케이션 순으로 자동 정렬(3등급 근거)</t>
        </is>
      </c>
    </row>
    <row r="49" ht="27" customHeight="1">
      <c r="A49" s="10" t="n">
        <v>45</v>
      </c>
      <c r="B49" s="10" t="inlineStr">
        <is>
          <t>1.4.4</t>
        </is>
      </c>
      <c r="C49" s="11" t="inlineStr">
        <is>
          <t>피킹 장소의 확인 및 작업</t>
        </is>
      </c>
      <c r="D49" s="10" t="n">
        <v>36</v>
      </c>
      <c r="E49" s="10" t="inlineStr">
        <is>
          <t>[사진 1]</t>
        </is>
      </c>
      <c r="F49" s="11" t="inlineStr">
        <is>
          <t>카트피킹 작업 사진</t>
        </is>
      </c>
      <c r="G49" s="14" t="inlineStr">
        <is>
          <t>현장사진</t>
        </is>
      </c>
      <c r="H49" s="11" t="inlineStr">
        <is>
          <t>피킹·분류 영역</t>
        </is>
      </c>
      <c r="I49" s="11" t="n"/>
      <c r="J49" s="11" t="n"/>
      <c r="K49" s="11" t="inlineStr">
        <is>
          <t>1.4.4_사진1</t>
        </is>
      </c>
      <c r="L49" s="13" t="n"/>
      <c r="M49" s="25" t="inlineStr">
        <is>
          <t>카트피킹 장비로 피킹하며 PDA를 스캔하는 장면</t>
        </is>
      </c>
    </row>
    <row r="50" ht="27" customHeight="1">
      <c r="A50" s="10" t="n">
        <v>46</v>
      </c>
      <c r="B50" s="10" t="inlineStr">
        <is>
          <t>1.4.4</t>
        </is>
      </c>
      <c r="C50" s="11" t="inlineStr">
        <is>
          <t>피킹 장소의 확인 및 작업</t>
        </is>
      </c>
      <c r="D50" s="10" t="n">
        <v>36</v>
      </c>
      <c r="E50" s="10" t="inlineStr">
        <is>
          <t>[사진 2]</t>
        </is>
      </c>
      <c r="F50" s="11" t="inlineStr">
        <is>
          <t>SW 모바일(PDA) 피킹 스캔 검증 – 지시에 없는 SKU 스캔 시 경고·진행 차단</t>
        </is>
      </c>
      <c r="G50" s="15" t="inlineStr">
        <is>
          <t>시스템 캡처</t>
        </is>
      </c>
      <c r="H50" s="11" t="inlineStr">
        <is>
          <t>SW / Smartship / TLPS 화면 (4_시스템사용자매뉴얼 화면명 참고)</t>
        </is>
      </c>
      <c r="I50" s="11" t="inlineStr">
        <is>
          <t>10.14 01 삽입 확인</t>
        </is>
      </c>
      <c r="J50" s="11" t="n"/>
      <c r="K50" s="11" t="inlineStr">
        <is>
          <t>1.4.4_사진2</t>
        </is>
      </c>
      <c r="L50" s="13" t="inlineStr">
        <is>
          <t>O</t>
        </is>
      </c>
      <c r="M50" s="25" t="inlineStr">
        <is>
          <t>[강조] 스캔 성공(일치)·불일치 경고 화면 / [의미] 피킹 장소·상품 실시간 스캔 검증</t>
        </is>
      </c>
    </row>
    <row r="51" hidden="1">
      <c r="A51" s="10" t="n">
        <v>47</v>
      </c>
      <c r="B51" s="10" t="inlineStr">
        <is>
          <t>1.4.5</t>
        </is>
      </c>
      <c r="C51" s="11" t="inlineStr">
        <is>
          <t>분류정보의 생성 및 지시</t>
        </is>
      </c>
      <c r="D51" s="10" t="n">
        <v>38</v>
      </c>
      <c r="E51" s="10" t="inlineStr">
        <is>
          <t>[사진 1]</t>
        </is>
      </c>
      <c r="F51" s="11" t="inlineStr">
        <is>
          <t>SW(WMS) 슈트 설정 – 슈트번호별 라우트·소트코드 매핑</t>
        </is>
      </c>
      <c r="G51" s="15" t="inlineStr">
        <is>
          <t>시스템 캡처</t>
        </is>
      </c>
      <c r="H51" s="11" t="inlineStr">
        <is>
          <t>SW / Smartship / TLPS 화면 (4_시스템사용자매뉴얼 화면명 참고)</t>
        </is>
      </c>
      <c r="I51" s="11" t="inlineStr">
        <is>
          <t>10.14 01 삽입 확인</t>
        </is>
      </c>
      <c r="J51" s="11" t="n"/>
      <c r="K51" s="11" t="inlineStr">
        <is>
          <t>1.4.5_사진1</t>
        </is>
      </c>
      <c r="L51" s="13" t="inlineStr">
        <is>
          <t>O</t>
        </is>
      </c>
      <c r="M51" s="25" t="inlineStr">
        <is>
          <t>[강조] 슈트별 분류코드·Route 매핑, 변경 즉시 반영(웹소켓) / [의미] 분류정보 실시간 생성·지시</t>
        </is>
      </c>
    </row>
    <row r="52" hidden="1" ht="27" customHeight="1">
      <c r="A52" s="10" t="n">
        <v>48</v>
      </c>
      <c r="B52" s="10" t="inlineStr">
        <is>
          <t>1.4.5</t>
        </is>
      </c>
      <c r="C52" s="11" t="inlineStr">
        <is>
          <t>분류정보의 생성 및 지시</t>
        </is>
      </c>
      <c r="D52" s="10" t="n">
        <v>38</v>
      </c>
      <c r="E52" s="10" t="inlineStr">
        <is>
          <t>[사진 2]</t>
        </is>
      </c>
      <c r="F52" s="11" t="inlineStr">
        <is>
          <t>분류 영역 전경 사진</t>
        </is>
      </c>
      <c r="G52" s="14" t="inlineStr">
        <is>
          <t>현장사진</t>
        </is>
      </c>
      <c r="H52" s="11" t="inlineStr">
        <is>
          <t>피킹·분류 영역</t>
        </is>
      </c>
      <c r="I52" s="11" t="n"/>
      <c r="J52" s="11" t="n"/>
      <c r="K52" s="11" t="inlineStr">
        <is>
          <t>1.4.5_사진2</t>
        </is>
      </c>
      <c r="L52" s="13" t="n"/>
      <c r="M52" s="25" t="inlineStr">
        <is>
          <t>분류 영역 전경(컨베이어·소터·슈트가 한 화면에 들어오게)</t>
        </is>
      </c>
    </row>
    <row r="53" ht="27" customHeight="1">
      <c r="A53" s="10" t="n">
        <v>49</v>
      </c>
      <c r="B53" s="10" t="inlineStr">
        <is>
          <t>1.4.6</t>
        </is>
      </c>
      <c r="C53" s="11" t="inlineStr">
        <is>
          <t>분류 작업</t>
        </is>
      </c>
      <c r="D53" s="10" t="n">
        <v>39</v>
      </c>
      <c r="E53" s="10" t="inlineStr">
        <is>
          <t>[사진 1]</t>
        </is>
      </c>
      <c r="F53" s="11" t="inlineStr">
        <is>
          <t>휠소터·3D 소터·싱귤레이터 사진</t>
        </is>
      </c>
      <c r="G53" s="14" t="inlineStr">
        <is>
          <t>현장사진</t>
        </is>
      </c>
      <c r="H53" s="11" t="inlineStr">
        <is>
          <t>피킹·분류 영역</t>
        </is>
      </c>
      <c r="I53" s="11" t="inlineStr">
        <is>
          <t>설비별로 따로 찍어도 됨</t>
        </is>
      </c>
      <c r="J53" s="11" t="n"/>
      <c r="K53" s="11" t="inlineStr">
        <is>
          <t>1.4.6_사진1</t>
        </is>
      </c>
      <c r="L53" s="13" t="n"/>
      <c r="M53" s="25" t="inlineStr">
        <is>
          <t>휠소터·3D 소터·싱귤레이터 각각 + 작동 중인 컷(설비명 라벨 있으면 함께)</t>
        </is>
      </c>
    </row>
    <row r="54" ht="27" customHeight="1">
      <c r="A54" s="10" t="n">
        <v>50</v>
      </c>
      <c r="B54" s="10" t="inlineStr">
        <is>
          <t>1.4.6</t>
        </is>
      </c>
      <c r="C54" s="11" t="inlineStr">
        <is>
          <t>분류 작업</t>
        </is>
      </c>
      <c r="D54" s="10" t="n">
        <v>39</v>
      </c>
      <c r="E54" s="10" t="inlineStr">
        <is>
          <t>[사진 2]</t>
        </is>
      </c>
      <c r="F54" s="11" t="inlineStr">
        <is>
          <t>SW(WMS) 소터 모니터링 – 투입구(DWS)별·시간대별 분류 처리 건수</t>
        </is>
      </c>
      <c r="G54" s="15" t="inlineStr">
        <is>
          <t>시스템 캡처</t>
        </is>
      </c>
      <c r="H54" s="11" t="inlineStr">
        <is>
          <t>SW / Smartship / TLPS 화면 (4_시스템사용자매뉴얼 화면명 참고)</t>
        </is>
      </c>
      <c r="I54" s="11" t="inlineStr">
        <is>
          <t>10.14 01 삽입 확인</t>
        </is>
      </c>
      <c r="J54" s="11" t="n"/>
      <c r="K54" s="11" t="inlineStr">
        <is>
          <t>1.4.6_사진2</t>
        </is>
      </c>
      <c r="L54" s="13" t="inlineStr">
        <is>
          <t>O</t>
        </is>
      </c>
      <c r="M54" s="25" t="inlineStr">
        <is>
          <t>[강조] 투입구/슈트별 시간대 분류 건수 매트릭스, 엑셀 다운로드 / [의미] 분류 결과 실시간 회신·실적 분석</t>
        </is>
      </c>
    </row>
    <row r="55" hidden="1" ht="27" customHeight="1">
      <c r="A55" s="10" t="n">
        <v>51</v>
      </c>
      <c r="B55" s="10" t="inlineStr">
        <is>
          <t>1.5.1</t>
        </is>
      </c>
      <c r="C55" s="11" t="inlineStr">
        <is>
          <t>포장장소로의 정보 제공 및 이동</t>
        </is>
      </c>
      <c r="D55" s="10" t="n">
        <v>40</v>
      </c>
      <c r="E55" s="10" t="inlineStr">
        <is>
          <t>[사진 1]</t>
        </is>
      </c>
      <c r="F55" s="11" t="inlineStr">
        <is>
          <t>SW(WMS) 픽킹 리스트 관리 – 피킹·패킹 진행 현황 및 패킹 대기 작업 실시간 조회</t>
        </is>
      </c>
      <c r="G55" s="15" t="inlineStr">
        <is>
          <t>시스템 캡처</t>
        </is>
      </c>
      <c r="H55" s="11" t="inlineStr">
        <is>
          <t>SW / Smartship / TLPS 화면 (4_시스템사용자매뉴얼 화면명 참고)</t>
        </is>
      </c>
      <c r="I55" s="11" t="inlineStr">
        <is>
          <t>10.14 01 삽입 확인</t>
        </is>
      </c>
      <c r="J55" s="11" t="n"/>
      <c r="K55" s="11" t="inlineStr">
        <is>
          <t>1.5.1_사진1</t>
        </is>
      </c>
      <c r="L55" s="13" t="inlineStr">
        <is>
          <t>O</t>
        </is>
      </c>
      <c r="M55" s="25" t="inlineStr">
        <is>
          <t>[강조] 포장 대상 주문 목록·상태 / [의미] 포장장소로 작업정보 실시간 제공</t>
        </is>
      </c>
    </row>
    <row r="56" hidden="1" ht="27" customHeight="1">
      <c r="A56" s="10" t="n">
        <v>52</v>
      </c>
      <c r="B56" s="10" t="inlineStr">
        <is>
          <t>1.5.1</t>
        </is>
      </c>
      <c r="C56" s="11" t="inlineStr">
        <is>
          <t>포장장소로의 정보 제공 및 이동</t>
        </is>
      </c>
      <c r="D56" s="10" t="n">
        <v>40</v>
      </c>
      <c r="E56" s="10" t="inlineStr">
        <is>
          <t>[사진 2]</t>
        </is>
      </c>
      <c r="F56" s="11" t="inlineStr">
        <is>
          <t>포장대 전경 사진</t>
        </is>
      </c>
      <c r="G56" s="14" t="inlineStr">
        <is>
          <t>현장사진</t>
        </is>
      </c>
      <c r="H56" s="11" t="inlineStr">
        <is>
          <t>검품·포장 영역</t>
        </is>
      </c>
      <c r="I56" s="11" t="n"/>
      <c r="J56" s="11" t="n"/>
      <c r="K56" s="11" t="inlineStr">
        <is>
          <t>1.5.1_사진2</t>
        </is>
      </c>
      <c r="L56" s="13" t="n"/>
      <c r="M56" s="25" t="inlineStr">
        <is>
          <t>포장대 6식이 보이는 전경. 포장대 단말·프린터가 함께 보이게</t>
        </is>
      </c>
    </row>
    <row r="57" ht="27" customHeight="1">
      <c r="A57" s="10" t="n">
        <v>53</v>
      </c>
      <c r="B57" s="10" t="inlineStr">
        <is>
          <t>1.5.2</t>
        </is>
      </c>
      <c r="C57" s="11" t="inlineStr">
        <is>
          <t>포장재 및 포장물품 관리</t>
        </is>
      </c>
      <c r="D57" s="10" t="n">
        <v>41</v>
      </c>
      <c r="E57" s="10" t="inlineStr">
        <is>
          <t>[사진 1]</t>
        </is>
      </c>
      <c r="F57" s="11" t="inlineStr">
        <is>
          <t>포장재 보관 구역 사진</t>
        </is>
      </c>
      <c r="G57" s="14" t="inlineStr">
        <is>
          <t>현장사진</t>
        </is>
      </c>
      <c r="H57" s="11" t="inlineStr">
        <is>
          <t>검품·포장 영역</t>
        </is>
      </c>
      <c r="I57" s="11" t="n"/>
      <c r="J57" s="11" t="n"/>
      <c r="K57" s="11" t="inlineStr">
        <is>
          <t>1.5.2_사진1</t>
        </is>
      </c>
      <c r="L57" s="13" t="n"/>
      <c r="M57" s="25" t="inlineStr">
        <is>
          <t>박스·완충재가 규격별로 정리된 보관 구역(규격 표시가 보이게)</t>
        </is>
      </c>
    </row>
    <row r="58" ht="27" customHeight="1">
      <c r="A58" s="10" t="n">
        <v>54</v>
      </c>
      <c r="B58" s="10" t="inlineStr">
        <is>
          <t>1.5.2</t>
        </is>
      </c>
      <c r="C58" s="11" t="inlineStr">
        <is>
          <t>포장재 및 포장물품 관리</t>
        </is>
      </c>
      <c r="D58" s="10" t="n">
        <v>41</v>
      </c>
      <c r="E58" s="10" t="inlineStr">
        <is>
          <t>[사진 2]</t>
        </is>
      </c>
      <c r="F58" s="11" t="inlineStr">
        <is>
          <t>SW(WMS) SKU 관리 – 부자재(포장재) 품목별 재고 관리</t>
        </is>
      </c>
      <c r="G58" s="23" t="inlineStr">
        <is>
          <t>시스템 캡처</t>
        </is>
      </c>
      <c r="H58" s="11" t="inlineStr">
        <is>
          <t>SW / Smartship / TLPS 화면 (4_시스템사용자매뉴얼 화면명 참고)</t>
        </is>
      </c>
      <c r="I58" s="11" t="inlineStr">
        <is>
          <t>2026-10-13 확보(피그마)</t>
        </is>
      </c>
      <c r="J58" s="11" t="n"/>
      <c r="K58" s="11" t="inlineStr">
        <is>
          <t>1.5.2_사진2</t>
        </is>
      </c>
      <c r="L58" s="13" t="inlineStr">
        <is>
          <t>O</t>
        </is>
      </c>
      <c r="M58" s="25" t="inlineStr">
        <is>
          <t>[강조] 부자재여부 "부자재" 필터, 포장재 품목명(Polybag·Box size), 창고·입고·가용 재고 / [의미] 포장재를 부자재 SKU로 등록해 재고 관리(3등급 근거). Seller ID 가림</t>
        </is>
      </c>
    </row>
    <row r="59" ht="27" customHeight="1">
      <c r="A59" s="10" t="n">
        <v>55</v>
      </c>
      <c r="B59" s="10" t="inlineStr">
        <is>
          <t>1.5.3</t>
        </is>
      </c>
      <c r="C59" s="11" t="inlineStr">
        <is>
          <t>검품/검수 및 오류관리(인식 및 처리)</t>
        </is>
      </c>
      <c r="D59" s="10" t="n">
        <v>42</v>
      </c>
      <c r="E59" s="10" t="inlineStr">
        <is>
          <t>[사진 1]</t>
        </is>
      </c>
      <c r="F59" s="11" t="inlineStr">
        <is>
          <t>SW(WMS) 출고 검품 – SKU 스캔 검품·녹화 시작·박스/완충재 자동 선택·출고 처리</t>
        </is>
      </c>
      <c r="G59" s="15" t="inlineStr">
        <is>
          <t>시스템 캡처</t>
        </is>
      </c>
      <c r="H59" s="11" t="inlineStr">
        <is>
          <t>SW / Smartship / TLPS 화면 (4_시스템사용자매뉴얼 화면명 참고)</t>
        </is>
      </c>
      <c r="I59" s="11" t="inlineStr">
        <is>
          <t>10.14 01 삽입 확인</t>
        </is>
      </c>
      <c r="J59" s="11" t="n"/>
      <c r="K59" s="11" t="inlineStr">
        <is>
          <t>1.5.3_사진1</t>
        </is>
      </c>
      <c r="L59" s="13" t="inlineStr">
        <is>
          <t>O</t>
        </is>
      </c>
      <c r="M59" s="25" t="inlineStr">
        <is>
          <t>[강조] 검품 스캔 결과(SKU·수량 일치/불일치) / [의미] 검품 오류 실시간 인식</t>
        </is>
      </c>
    </row>
    <row r="60" hidden="1" ht="27" customHeight="1">
      <c r="A60" s="10" t="n">
        <v>56</v>
      </c>
      <c r="B60" s="10" t="inlineStr">
        <is>
          <t>1.5.3</t>
        </is>
      </c>
      <c r="C60" s="11" t="inlineStr">
        <is>
          <t>검품/검수 및 오류관리(인식 및 처리)</t>
        </is>
      </c>
      <c r="D60" s="10" t="n">
        <v>42</v>
      </c>
      <c r="E60" s="10" t="inlineStr">
        <is>
          <t>[사진 2]</t>
        </is>
      </c>
      <c r="F60" s="11" t="inlineStr">
        <is>
          <t>SW(WMS) 주문 상세 – 패킹 녹화 영상(카메라 2대) 주문별 매핑</t>
        </is>
      </c>
      <c r="G60" s="15" t="inlineStr">
        <is>
          <t>시스템 캡처</t>
        </is>
      </c>
      <c r="H60" s="11" t="inlineStr">
        <is>
          <t>SW / Smartship / TLPS 화면 (4_시스템사용자매뉴얼 화면명 참고)</t>
        </is>
      </c>
      <c r="I60" s="11" t="inlineStr">
        <is>
          <t>10.14 01 삽입 확인</t>
        </is>
      </c>
      <c r="J60" s="11" t="n"/>
      <c r="K60" s="11" t="inlineStr">
        <is>
          <t>1.5.3_사진2</t>
        </is>
      </c>
      <c r="L60" s="13" t="inlineStr">
        <is>
          <t>O</t>
        </is>
      </c>
      <c r="M60" s="25" t="inlineStr">
        <is>
          <t>[강조] 주문번호로 검색한 녹화 영상과 재생 화면 / [의미] 검품·포장 전 과정 영상이 주문 단위로 매핑되어 즉시 조회</t>
        </is>
      </c>
    </row>
    <row r="61" hidden="1" ht="27" customHeight="1">
      <c r="A61" s="10" t="n">
        <v>57</v>
      </c>
      <c r="B61" s="10" t="inlineStr">
        <is>
          <t>1.5.3</t>
        </is>
      </c>
      <c r="C61" s="11" t="inlineStr">
        <is>
          <t>검품/검수 및 오류관리(인식 및 처리)</t>
        </is>
      </c>
      <c r="D61" s="10" t="n">
        <v>42</v>
      </c>
      <c r="E61" s="10" t="inlineStr">
        <is>
          <t>[사진 3]</t>
        </is>
      </c>
      <c r="F61" s="11" t="inlineStr">
        <is>
          <t>DWS 계측 사진</t>
        </is>
      </c>
      <c r="G61" s="14" t="inlineStr">
        <is>
          <t>현장사진</t>
        </is>
      </c>
      <c r="H61" s="11" t="inlineStr">
        <is>
          <t>검품·포장 영역</t>
        </is>
      </c>
      <c r="I61" s="11" t="n"/>
      <c r="J61" s="11" t="n"/>
      <c r="K61" s="11" t="inlineStr">
        <is>
          <t>1.5.3_사진3</t>
        </is>
      </c>
      <c r="L61" s="13" t="n"/>
      <c r="M61" s="25" t="inlineStr">
        <is>
          <t>DWS로 박스를 계측하는 장면 + 측정값(가로·세로·높이·무게) 표시 화면</t>
        </is>
      </c>
    </row>
    <row r="62" hidden="1" ht="27" customHeight="1">
      <c r="A62" s="10" t="n">
        <v>58</v>
      </c>
      <c r="B62" s="10" t="inlineStr">
        <is>
          <t>1.5.3</t>
        </is>
      </c>
      <c r="C62" s="11" t="inlineStr">
        <is>
          <t>검품/검수 및 오류관리(인식 및 처리)</t>
        </is>
      </c>
      <c r="D62" s="10" t="n">
        <v>42</v>
      </c>
      <c r="E62" s="10" t="inlineStr">
        <is>
          <t>[사진 4]</t>
        </is>
      </c>
      <c r="F62" s="11" t="inlineStr">
        <is>
          <t>이상/클레임 보고서 양식</t>
        </is>
      </c>
      <c r="G62" s="12" t="inlineStr">
        <is>
          <t>자료·문서</t>
        </is>
      </c>
      <c r="H62" s="11" t="inlineStr">
        <is>
          <t>관련 부서 보관 자료</t>
        </is>
      </c>
      <c r="I62" s="11" t="n"/>
      <c r="J62" s="11" t="n"/>
      <c r="K62" s="11" t="inlineStr">
        <is>
          <t>1.5.3_사진4</t>
        </is>
      </c>
      <c r="L62" s="13" t="n"/>
      <c r="M62" s="25" t="inlineStr">
        <is>
          <t>원인분석(RCA)·재발방지 칸이 있는 실제 작성 사례(고객 정보 가림)</t>
        </is>
      </c>
    </row>
    <row r="63" hidden="1" ht="27" customHeight="1">
      <c r="A63" s="10" t="n">
        <v>59</v>
      </c>
      <c r="B63" s="10" t="inlineStr">
        <is>
          <t>1.5.4</t>
        </is>
      </c>
      <c r="C63" s="11" t="inlineStr">
        <is>
          <t>포장 작업</t>
        </is>
      </c>
      <c r="D63" s="10" t="n">
        <v>44</v>
      </c>
      <c r="E63" s="10" t="inlineStr">
        <is>
          <t>[사진 1]</t>
        </is>
      </c>
      <c r="F63" s="11" t="inlineStr">
        <is>
          <t>포장대·봉함기 사진</t>
        </is>
      </c>
      <c r="G63" s="14" t="inlineStr">
        <is>
          <t>현장사진</t>
        </is>
      </c>
      <c r="H63" s="11" t="inlineStr">
        <is>
          <t>검품·포장 영역</t>
        </is>
      </c>
      <c r="I63" s="11" t="n"/>
      <c r="J63" s="11" t="n"/>
      <c r="K63" s="11" t="inlineStr">
        <is>
          <t>1.5.4_사진1</t>
        </is>
      </c>
      <c r="L63" s="13" t="n"/>
      <c r="M63" s="25" t="inlineStr">
        <is>
          <t>포장대에서 포장 후 봉함기로 자동 봉함되는 장면</t>
        </is>
      </c>
    </row>
    <row r="64" ht="27" customHeight="1">
      <c r="A64" s="10" t="n">
        <v>60</v>
      </c>
      <c r="B64" s="10" t="inlineStr">
        <is>
          <t>1.5.5</t>
        </is>
      </c>
      <c r="C64" s="11" t="inlineStr">
        <is>
          <t>배송정보 표시(라벨) 및 부착</t>
        </is>
      </c>
      <c r="D64" s="10" t="n">
        <v>45</v>
      </c>
      <c r="E64" s="10" t="inlineStr">
        <is>
          <t>[사진 1]</t>
        </is>
      </c>
      <c r="F64" s="11" t="inlineStr">
        <is>
          <t>오토라벨러 사진</t>
        </is>
      </c>
      <c r="G64" s="14" t="inlineStr">
        <is>
          <t>현장사진</t>
        </is>
      </c>
      <c r="H64" s="11" t="inlineStr">
        <is>
          <t>검품·포장 영역</t>
        </is>
      </c>
      <c r="I64" s="11" t="n"/>
      <c r="J64" s="11" t="n"/>
      <c r="K64" s="11" t="inlineStr">
        <is>
          <t>1.5.5_사진1</t>
        </is>
      </c>
      <c r="L64" s="13" t="n"/>
      <c r="M64" s="25" t="inlineStr">
        <is>
          <t>오토라벨러가 박스에 송장을 자동 부착하는 장면(작동 중 컷)</t>
        </is>
      </c>
    </row>
    <row r="65" hidden="1" ht="27" customHeight="1">
      <c r="A65" s="10" t="n">
        <v>61</v>
      </c>
      <c r="B65" s="10" t="inlineStr">
        <is>
          <t>1.5.5</t>
        </is>
      </c>
      <c r="C65" s="11" t="inlineStr">
        <is>
          <t>배송정보 표시(라벨) 및 부착</t>
        </is>
      </c>
      <c r="D65" s="10" t="n">
        <v>45</v>
      </c>
      <c r="E65" s="10" t="inlineStr">
        <is>
          <t>[사진 2]</t>
        </is>
      </c>
      <c r="F65" s="11" t="inlineStr">
        <is>
          <t>SW(WMS) 주문 상세 – 택배사·송장번호 자동 매칭 및 박스·완충재·무게 기록</t>
        </is>
      </c>
      <c r="G65" s="15" t="inlineStr">
        <is>
          <t>시스템 캡처</t>
        </is>
      </c>
      <c r="H65" s="11" t="inlineStr">
        <is>
          <t>SW / Smartship / TLPS 화면 (4_시스템사용자매뉴얼 화면명 참고)</t>
        </is>
      </c>
      <c r="I65" s="11" t="inlineStr">
        <is>
          <t>10.14 01 삽입 확인</t>
        </is>
      </c>
      <c r="J65" s="11" t="n"/>
      <c r="K65" s="11" t="inlineStr">
        <is>
          <t>1.5.5_사진2</t>
        </is>
      </c>
      <c r="L65" s="13" t="inlineStr">
        <is>
          <t>O</t>
        </is>
      </c>
      <c r="M65" s="25" t="inlineStr">
        <is>
          <t>[강조] 패킹 완료 시 자동 출력된 송장 정보 / [의미] 배송정보가 주문·운송 정보와 자동 매칭되어 발행</t>
        </is>
      </c>
    </row>
    <row r="66" ht="27" customHeight="1">
      <c r="A66" s="10" t="n">
        <v>62</v>
      </c>
      <c r="B66" s="10" t="inlineStr">
        <is>
          <t>1.6.1</t>
        </is>
      </c>
      <c r="C66" s="11" t="inlineStr">
        <is>
          <t>발주처별 분류</t>
        </is>
      </c>
      <c r="D66" s="10" t="n">
        <v>46</v>
      </c>
      <c r="E66" s="10" t="inlineStr">
        <is>
          <t>[사진 1]</t>
        </is>
      </c>
      <c r="F66" s="11" t="inlineStr">
        <is>
          <t>슈트별 분류 사진</t>
        </is>
      </c>
      <c r="G66" s="14" t="inlineStr">
        <is>
          <t>현장사진</t>
        </is>
      </c>
      <c r="H66" s="11" t="inlineStr">
        <is>
          <t>상차·출고 도크</t>
        </is>
      </c>
      <c r="I66" s="11" t="n"/>
      <c r="J66" s="11" t="n"/>
      <c r="K66" s="11" t="inlineStr">
        <is>
          <t>1.6.1_사진1</t>
        </is>
      </c>
      <c r="L66" s="13" t="n"/>
      <c r="M66" s="25" t="inlineStr">
        <is>
          <t>목적지·Route별 슈트에 화물이 모인 모습(슈트 번호 표지 보이게)</t>
        </is>
      </c>
    </row>
    <row r="67" hidden="1" ht="27" customHeight="1">
      <c r="A67" s="10" t="n">
        <v>63</v>
      </c>
      <c r="B67" s="10" t="inlineStr">
        <is>
          <t>1.6.1</t>
        </is>
      </c>
      <c r="C67" s="11" t="inlineStr">
        <is>
          <t>발주처별 분류</t>
        </is>
      </c>
      <c r="D67" s="10" t="n">
        <v>46</v>
      </c>
      <c r="E67" s="10" t="inlineStr">
        <is>
          <t>[사진 2]</t>
        </is>
      </c>
      <c r="F67" s="11" t="inlineStr">
        <is>
          <t>SW 모바일(PDA) 번들 작업 – MAWB·Route 확인 및 Route 불일치 화물 스캔 차단</t>
        </is>
      </c>
      <c r="G67" s="15" t="inlineStr">
        <is>
          <t>시스템 캡처</t>
        </is>
      </c>
      <c r="H67" s="11" t="inlineStr">
        <is>
          <t>SW / Smartship / TLPS 화면 (4_시스템사용자매뉴얼 화면명 참고)</t>
        </is>
      </c>
      <c r="I67" s="11" t="inlineStr">
        <is>
          <t>10.14 01 삽입 확인</t>
        </is>
      </c>
      <c r="J67" s="11" t="n"/>
      <c r="K67" s="11" t="inlineStr">
        <is>
          <t>1.6.1_사진2</t>
        </is>
      </c>
      <c r="L67" s="13" t="inlineStr">
        <is>
          <t>O</t>
        </is>
      </c>
      <c r="M67" s="25" t="inlineStr">
        <is>
          <t>[강조] MAWB·번들팩·Route 스캔 검증 결과(일치/불일치) / [의미] 배송처별 분류 실시간 검증</t>
        </is>
      </c>
    </row>
    <row r="68" ht="27" customHeight="1">
      <c r="A68" s="10" t="n">
        <v>64</v>
      </c>
      <c r="B68" s="10" t="inlineStr">
        <is>
          <t>1.6.2</t>
        </is>
      </c>
      <c r="C68" s="11" t="inlineStr">
        <is>
          <t>차량입차정보의 인식</t>
        </is>
      </c>
      <c r="D68" s="10" t="n">
        <v>48</v>
      </c>
      <c r="E68" s="10" t="inlineStr">
        <is>
          <t>[사진 1]</t>
        </is>
      </c>
      <c r="F68" s="11" t="inlineStr">
        <is>
          <t>상차 도크 사진</t>
        </is>
      </c>
      <c r="G68" s="14" t="inlineStr">
        <is>
          <t>현장사진</t>
        </is>
      </c>
      <c r="H68" s="11" t="inlineStr">
        <is>
          <t>상차·출고 도크</t>
        </is>
      </c>
      <c r="I68" s="11" t="n"/>
      <c r="J68" s="11" t="n"/>
      <c r="K68" s="11" t="inlineStr">
        <is>
          <t>1.6.2_사진1</t>
        </is>
      </c>
      <c r="L68" s="13" t="n"/>
      <c r="M68" s="25" t="inlineStr">
        <is>
          <t>상차 도크 전경(OPS·택배·B2B 상차 도크 구분 표시 보이게)</t>
        </is>
      </c>
    </row>
    <row r="69" hidden="1" ht="27" customHeight="1">
      <c r="A69" s="10" t="n">
        <v>65</v>
      </c>
      <c r="B69" s="10" t="inlineStr">
        <is>
          <t>1.6.2</t>
        </is>
      </c>
      <c r="C69" s="11" t="inlineStr">
        <is>
          <t>차량입차정보의 인식</t>
        </is>
      </c>
      <c r="D69" s="10" t="n">
        <v>48</v>
      </c>
      <c r="E69" s="10" t="inlineStr">
        <is>
          <t>[사진 2]</t>
        </is>
      </c>
      <c r="F69" s="11" t="inlineStr">
        <is>
          <t>TMS MAWB 상세 – 항공편 출항·입항 일정 및 Flight Confirm 관리</t>
        </is>
      </c>
      <c r="G69" s="15" t="inlineStr">
        <is>
          <t>시스템 캡처</t>
        </is>
      </c>
      <c r="H69" s="11" t="inlineStr">
        <is>
          <t>SW / Smartship / TLPS 화면 (4_시스템사용자매뉴얼 화면명 참고)</t>
        </is>
      </c>
      <c r="I69" s="11" t="inlineStr">
        <is>
          <t>확인필요 No.18 결과에 따라 유지 / 10.14 01 삽입 확인</t>
        </is>
      </c>
      <c r="J69" s="11" t="n"/>
      <c r="K69" s="11" t="inlineStr">
        <is>
          <t>1.6.2_사진2</t>
        </is>
      </c>
      <c r="L69" s="13" t="inlineStr">
        <is>
          <t>O</t>
        </is>
      </c>
      <c r="M69" s="25" t="inlineStr">
        <is>
          <t>[강조] 택배사·조업사별 인계 마감 시각 목록 / [의미] 인계 일정은 시스템에서 관리(차량 인식은 현장 확인)</t>
        </is>
      </c>
    </row>
    <row r="70" ht="27" customHeight="1">
      <c r="A70" s="10" t="n">
        <v>66</v>
      </c>
      <c r="B70" s="10" t="inlineStr">
        <is>
          <t>1.6.3</t>
        </is>
      </c>
      <c r="C70" s="11" t="inlineStr">
        <is>
          <t>상차순서 관리 및 작업</t>
        </is>
      </c>
      <c r="D70" s="10" t="n">
        <v>49</v>
      </c>
      <c r="E70" s="10" t="inlineStr">
        <is>
          <t>[사진 1]</t>
        </is>
      </c>
      <c r="F70" s="11" t="inlineStr">
        <is>
          <t>상차 작업 사진</t>
        </is>
      </c>
      <c r="G70" s="14" t="inlineStr">
        <is>
          <t>현장사진</t>
        </is>
      </c>
      <c r="H70" s="11" t="inlineStr">
        <is>
          <t>상차·출고 도크</t>
        </is>
      </c>
      <c r="I70" s="11" t="n"/>
      <c r="J70" s="11" t="n"/>
      <c r="K70" s="11" t="inlineStr">
        <is>
          <t>1.6.3_사진1</t>
        </is>
      </c>
      <c r="L70" s="13" t="n"/>
      <c r="M70" s="25" t="inlineStr">
        <is>
          <t>번들팩을 스캔하며 차량에 상차하는 장면</t>
        </is>
      </c>
    </row>
    <row r="71" ht="27" customHeight="1">
      <c r="A71" s="10" t="n">
        <v>67</v>
      </c>
      <c r="B71" s="10" t="inlineStr">
        <is>
          <t>1.6.3</t>
        </is>
      </c>
      <c r="C71" s="11" t="inlineStr">
        <is>
          <t>상차순서 관리 및 작업</t>
        </is>
      </c>
      <c r="D71" s="10" t="n">
        <v>49</v>
      </c>
      <c r="E71" s="10" t="inlineStr">
        <is>
          <t>[사진 2]</t>
        </is>
      </c>
      <c r="F71" s="11" t="inlineStr">
        <is>
          <t>SW 모바일(PDA) MAWB·번들팩 조회 – 출발 일정별 MAWB 확정 및 번들팩별 수량·무게 확인</t>
        </is>
      </c>
      <c r="G71" s="15" t="inlineStr">
        <is>
          <t>시스템 캡처</t>
        </is>
      </c>
      <c r="H71" s="11" t="inlineStr">
        <is>
          <t>SW / Smartship / TLPS 화면 (4_시스템사용자매뉴얼 화면명 참고)</t>
        </is>
      </c>
      <c r="I71" s="11" t="inlineStr">
        <is>
          <t>10.14 01 삽입 확인</t>
        </is>
      </c>
      <c r="J71" s="11" t="n"/>
      <c r="K71" s="11" t="inlineStr">
        <is>
          <t>1.6.3_사진2</t>
        </is>
      </c>
      <c r="L71" s="13" t="inlineStr">
        <is>
          <t>O</t>
        </is>
      </c>
      <c r="M71" s="25" t="inlineStr">
        <is>
          <t>[강조] 인계 수량·번들팩 스캔 결과, 인계 확인 시각 / [의미] 상차·인계 정보 온라인 확인</t>
        </is>
      </c>
    </row>
    <row r="72" ht="27" customHeight="1">
      <c r="A72" s="10" t="n">
        <v>68</v>
      </c>
      <c r="B72" s="10" t="inlineStr">
        <is>
          <t>1.6.4</t>
        </is>
      </c>
      <c r="C72" s="11" t="inlineStr">
        <is>
          <t>출고정보의 전달</t>
        </is>
      </c>
      <c r="D72" s="10" t="n">
        <v>51</v>
      </c>
      <c r="E72" s="10" t="inlineStr">
        <is>
          <t>[사진 1]</t>
        </is>
      </c>
      <c r="F72" s="11" t="inlineStr">
        <is>
          <t>TX 어드민 배송 추적 – 포장번호별 출고·DPC 입고·간선 이동 이력 실시간 조회</t>
        </is>
      </c>
      <c r="G72" s="15" t="inlineStr">
        <is>
          <t>시스템 캡처</t>
        </is>
      </c>
      <c r="H72" s="11" t="inlineStr">
        <is>
          <t>SW / Smartship / TLPS 화면 (4_시스템사용자매뉴얼 화면명 참고)</t>
        </is>
      </c>
      <c r="I72" s="11" t="inlineStr">
        <is>
          <t>10.14 01 삽입 확인</t>
        </is>
      </c>
      <c r="J72" s="11" t="n"/>
      <c r="K72" s="11" t="inlineStr">
        <is>
          <t>1.6.4_사진1</t>
        </is>
      </c>
      <c r="L72" s="13" t="inlineStr">
        <is>
          <t>O</t>
        </is>
      </c>
      <c r="M72" s="25" t="inlineStr">
        <is>
          <t>[강조] 출고 확정 시각, 송장번호, Smartship·TLPS 반영 상태 / [의미] 출고정보가 시스템 간 실시간 자동 전달</t>
        </is>
      </c>
    </row>
    <row r="73" hidden="1" ht="27" customHeight="1">
      <c r="A73" s="10" t="n">
        <v>69</v>
      </c>
      <c r="B73" s="10" t="inlineStr">
        <is>
          <t>1.6.4</t>
        </is>
      </c>
      <c r="C73" s="11" t="inlineStr">
        <is>
          <t>출고정보의 전달</t>
        </is>
      </c>
      <c r="D73" s="10" t="n">
        <v>51</v>
      </c>
      <c r="E73" s="10" t="inlineStr">
        <is>
          <t>[사진 2]</t>
        </is>
      </c>
      <c r="F73" s="11" t="inlineStr">
        <is>
          <t>Smartship(OMS) 배송 현황 – 출고 후 배송 단계·배송사·송장번호 자동 연동</t>
        </is>
      </c>
      <c r="G73" s="15" t="inlineStr">
        <is>
          <t>시스템 캡처</t>
        </is>
      </c>
      <c r="H73" s="11" t="inlineStr">
        <is>
          <t>SW / Smartship / TLPS 화면 (4_시스템사용자매뉴얼 화면명 참고)</t>
        </is>
      </c>
      <c r="I73" s="11" t="inlineStr">
        <is>
          <t>10.14 01 삽입 확인</t>
        </is>
      </c>
      <c r="J73" s="11" t="n"/>
      <c r="K73" s="11" t="inlineStr">
        <is>
          <t>1.6.4_사진2</t>
        </is>
      </c>
      <c r="L73" s="13" t="inlineStr">
        <is>
          <t>O</t>
        </is>
      </c>
      <c r="M73" s="25" t="inlineStr">
        <is>
          <t>[강조] 주문번호와 연결된 출고 영상 목록 / [의미] 출고 증빙이 주문 단위로 자동 매핑</t>
        </is>
      </c>
    </row>
    <row r="74" hidden="1" ht="27" customHeight="1">
      <c r="A74" s="10" t="n">
        <v>70</v>
      </c>
      <c r="B74" s="10" t="inlineStr">
        <is>
          <t>2.1.1</t>
        </is>
      </c>
      <c r="C74" s="11" t="inlineStr">
        <is>
          <t>도크 및 바닥성능(재질, 평탄도 및 하중)</t>
        </is>
      </c>
      <c r="D74" s="10" t="n">
        <v>53</v>
      </c>
      <c r="E74" s="10" t="inlineStr">
        <is>
          <t>[사진 1]</t>
        </is>
      </c>
      <c r="F74" s="11" t="inlineStr">
        <is>
          <t>도크·레벨러·차양 사진</t>
        </is>
      </c>
      <c r="G74" s="14" t="inlineStr">
        <is>
          <t>현장사진</t>
        </is>
      </c>
      <c r="H74" s="11" t="inlineStr">
        <is>
          <t>센터 전반(도크·바닥·통로·비상구 등)</t>
        </is>
      </c>
      <c r="I74" s="11" t="inlineStr">
        <is>
          <t>차양·도크쉘터 유무도 함께 보이게 촬영</t>
        </is>
      </c>
      <c r="J74" s="11" t="n"/>
      <c r="K74" s="11" t="inlineStr">
        <is>
          <t>2.1.1_사진1</t>
        </is>
      </c>
      <c r="L74" s="13" t="n"/>
      <c r="M74" s="25" t="inlineStr">
        <is>
          <t>실내 도크 전경: 트럭이 건물 안(3층)에 접안한 모습과 천장이 함께 보이게 + 레벨러·도어 — 차양·쉘터 대신 실내 접안 구조임을 보여주는 컷</t>
        </is>
      </c>
    </row>
    <row r="75" hidden="1" ht="27" customHeight="1">
      <c r="A75" s="10" t="n">
        <v>71</v>
      </c>
      <c r="B75" s="10" t="inlineStr">
        <is>
          <t>2.1.1</t>
        </is>
      </c>
      <c r="C75" s="11" t="inlineStr">
        <is>
          <t>도크 및 바닥성능(재질, 평탄도 및 하중)</t>
        </is>
      </c>
      <c r="D75" s="10" t="n">
        <v>53</v>
      </c>
      <c r="E75" s="10" t="inlineStr">
        <is>
          <t>[사진 2]</t>
        </is>
      </c>
      <c r="F75" s="11" t="inlineStr">
        <is>
          <t>바닥 평탄도·하중 근거(건축 설계도서 또는 임대인 제원표)</t>
        </is>
      </c>
      <c r="G75" s="12" t="inlineStr">
        <is>
          <t>자료·문서</t>
        </is>
      </c>
      <c r="H75" s="11" t="inlineStr">
        <is>
          <t>관련 부서 보관 자료</t>
        </is>
      </c>
      <c r="I75" s="11" t="inlineStr">
        <is>
          <t>임대인(아레나스)에게 요청</t>
        </is>
      </c>
      <c r="J75" s="11" t="n"/>
      <c r="K75" s="11" t="inlineStr">
        <is>
          <t>2.1.1_사진2</t>
        </is>
      </c>
      <c r="L75" s="13" t="n"/>
      <c r="M75" s="25" t="inlineStr">
        <is>
          <t>바닥 하중(2.3ton/㎡)·평탄도가 적힌 설계도서 또는 임대인 제원표 해당 부분(빨간 박스)</t>
        </is>
      </c>
    </row>
    <row r="76" hidden="1" ht="27" customHeight="1">
      <c r="A76" s="10" t="n">
        <v>72</v>
      </c>
      <c r="B76" s="10" t="inlineStr">
        <is>
          <t>2.1.1</t>
        </is>
      </c>
      <c r="C76" s="11" t="inlineStr">
        <is>
          <t>도크 및 바닥성능(재질, 평탄도 및 하중)</t>
        </is>
      </c>
      <c r="D76" s="10" t="n">
        <v>53</v>
      </c>
      <c r="E76" s="10" t="inlineStr">
        <is>
          <t>[사진 3]</t>
        </is>
      </c>
      <c r="F76" s="11" t="inlineStr">
        <is>
          <t>바닥 라인 표시 사진</t>
        </is>
      </c>
      <c r="G76" s="14" t="inlineStr">
        <is>
          <t>현장사진</t>
        </is>
      </c>
      <c r="H76" s="11" t="inlineStr">
        <is>
          <t>센터 전반(도크·바닥·통로·비상구 등)</t>
        </is>
      </c>
      <c r="I76" s="11" t="n"/>
      <c r="J76" s="11" t="n"/>
      <c r="K76" s="11" t="inlineStr">
        <is>
          <t>2.1.1_사진3</t>
        </is>
      </c>
      <c r="L76" s="13" t="n"/>
      <c r="M76" s="25" t="inlineStr">
        <is>
          <t>통로·작업구역 바닥 라인 표시가 선명하게 보이는 컷</t>
        </is>
      </c>
    </row>
    <row r="77" hidden="1" ht="27" customHeight="1">
      <c r="A77" s="10" t="n">
        <v>73</v>
      </c>
      <c r="B77" s="10" t="inlineStr">
        <is>
          <t>2.1.2</t>
        </is>
      </c>
      <c r="C77" s="11" t="inlineStr">
        <is>
          <t>내부구조(층고 및 기둥의 배치구조)</t>
        </is>
      </c>
      <c r="D77" s="10" t="n">
        <v>55</v>
      </c>
      <c r="E77" s="10" t="inlineStr">
        <is>
          <t>[사진 1]</t>
        </is>
      </c>
      <c r="F77" s="11" t="inlineStr">
        <is>
          <t>평면도(기둥 격자 치수)</t>
        </is>
      </c>
      <c r="G77" s="12" t="inlineStr">
        <is>
          <t>자료·문서</t>
        </is>
      </c>
      <c r="H77" s="11" t="inlineStr">
        <is>
          <t>관련 부서 보관 자료</t>
        </is>
      </c>
      <c r="I77" s="11" t="n"/>
      <c r="J77" s="11" t="n"/>
      <c r="K77" s="11" t="inlineStr">
        <is>
          <t>2.1.2_사진1</t>
        </is>
      </c>
      <c r="L77" s="13" t="n"/>
      <c r="M77" s="25" t="inlineStr">
        <is>
          <t>[강조] 기둥 격자 치수(11,250mm), 임차구역 범위 / [의미] 등간격 격자로 랙·자동화 설비 배치에 유리</t>
        </is>
      </c>
    </row>
    <row r="78" hidden="1" ht="27" customHeight="1">
      <c r="A78" s="10" t="n">
        <v>74</v>
      </c>
      <c r="B78" s="10" t="inlineStr">
        <is>
          <t>2.1.2</t>
        </is>
      </c>
      <c r="C78" s="11" t="inlineStr">
        <is>
          <t>내부구조(층고 및 기둥의 배치구조)</t>
        </is>
      </c>
      <c r="D78" s="10" t="n">
        <v>55</v>
      </c>
      <c r="E78" s="10" t="inlineStr">
        <is>
          <t>[사진 2]</t>
        </is>
      </c>
      <c r="F78" s="11" t="inlineStr">
        <is>
          <t>보관 영역 전경(층고) 사진</t>
        </is>
      </c>
      <c r="G78" s="14" t="inlineStr">
        <is>
          <t>현장사진</t>
        </is>
      </c>
      <c r="H78" s="11" t="inlineStr">
        <is>
          <t>센터 전반(도크·바닥·통로·비상구 등)</t>
        </is>
      </c>
      <c r="I78" s="11" t="inlineStr">
        <is>
          <t>층고(10m)가 드러나도록 랙 전체 높이가 보이게</t>
        </is>
      </c>
      <c r="J78" s="11" t="n"/>
      <c r="K78" s="11" t="inlineStr">
        <is>
          <t>2.1.2_사진2</t>
        </is>
      </c>
      <c r="L78" s="13" t="n"/>
      <c r="M78" s="25" t="inlineStr">
        <is>
          <t>랙 최상단까지 보이도록 아래에서 위로 촬영(층고 10m 체감)</t>
        </is>
      </c>
    </row>
    <row r="79" hidden="1" ht="27" customHeight="1">
      <c r="A79" s="10" t="n">
        <v>75</v>
      </c>
      <c r="B79" s="10" t="inlineStr">
        <is>
          <t>2.1.3</t>
        </is>
      </c>
      <c r="C79" s="11" t="inlineStr">
        <is>
          <t>배치 및 동선 관리</t>
        </is>
      </c>
      <c r="D79" s="10" t="n">
        <v>56</v>
      </c>
      <c r="E79" s="10" t="inlineStr">
        <is>
          <t>[사진 1]</t>
        </is>
      </c>
      <c r="F79" s="11" t="inlineStr">
        <is>
          <t>운영 Lay-out 도면</t>
        </is>
      </c>
      <c r="G79" s="12" t="inlineStr">
        <is>
          <t>자료·문서</t>
        </is>
      </c>
      <c r="H79" s="11" t="inlineStr">
        <is>
          <t>관련 부서 보관 자료</t>
        </is>
      </c>
      <c r="I79" s="11" t="n"/>
      <c r="J79" s="11" t="n"/>
      <c r="K79" s="11" t="inlineStr">
        <is>
          <t>2.1.3_사진1</t>
        </is>
      </c>
      <c r="L79" s="13" t="n"/>
      <c r="M79" s="25" t="inlineStr">
        <is>
          <t>[강조] 동측 입고→서측 출고 일방향 흐름 화살표, 구역별 면적 / [의미] 물류 흐름에 맞춘 배치</t>
        </is>
      </c>
    </row>
    <row r="80" hidden="1" ht="27" customHeight="1">
      <c r="A80" s="10" t="n">
        <v>76</v>
      </c>
      <c r="B80" s="10" t="inlineStr">
        <is>
          <t>2.1.3</t>
        </is>
      </c>
      <c r="C80" s="11" t="inlineStr">
        <is>
          <t>배치 및 동선 관리</t>
        </is>
      </c>
      <c r="D80" s="10" t="n">
        <v>56</v>
      </c>
      <c r="E80" s="10" t="inlineStr">
        <is>
          <t>[사진 2]</t>
        </is>
      </c>
      <c r="F80" s="11" t="inlineStr">
        <is>
          <t>램프웨이·동선 표시 사진</t>
        </is>
      </c>
      <c r="G80" s="14" t="inlineStr">
        <is>
          <t>현장사진</t>
        </is>
      </c>
      <c r="H80" s="11" t="inlineStr">
        <is>
          <t>센터 전반(도크·바닥·통로·비상구 등)</t>
        </is>
      </c>
      <c r="I80" s="11" t="inlineStr">
        <is>
          <t>램프웨이·보행통로 구분 표시가 보이게</t>
        </is>
      </c>
      <c r="J80" s="11" t="n"/>
      <c r="K80" s="11" t="inlineStr">
        <is>
          <t>2.1.3_사진2</t>
        </is>
      </c>
      <c r="L80" s="13" t="n"/>
      <c r="M80" s="25" t="inlineStr">
        <is>
          <t>램프웨이와 보행 통로의 구분 표시(펜스·라인·표지판)가 보이게</t>
        </is>
      </c>
    </row>
    <row r="81" hidden="1" ht="27" customHeight="1">
      <c r="A81" s="10" t="n">
        <v>77</v>
      </c>
      <c r="B81" s="10" t="inlineStr">
        <is>
          <t>2.1.4</t>
        </is>
      </c>
      <c r="C81" s="11" t="inlineStr">
        <is>
          <t>작업환경 관리(공조, 온도, 습도 등)</t>
        </is>
      </c>
      <c r="D81" s="10" t="n">
        <v>57</v>
      </c>
      <c r="E81" s="10" t="inlineStr">
        <is>
          <t>[사진 1]</t>
        </is>
      </c>
      <c r="F81" s="11" t="inlineStr">
        <is>
          <t>조도·온습도 측정 기록</t>
        </is>
      </c>
      <c r="G81" s="12" t="inlineStr">
        <is>
          <t>자료·문서</t>
        </is>
      </c>
      <c r="H81" s="11" t="inlineStr">
        <is>
          <t>관련 부서 보관 자료</t>
        </is>
      </c>
      <c r="I81" s="11" t="inlineStr">
        <is>
          <t>없으면 2.1.4 등급 하락 위험</t>
        </is>
      </c>
      <c r="J81" s="11" t="n"/>
      <c r="K81" s="11" t="inlineStr">
        <is>
          <t>2.1.4_사진1</t>
        </is>
      </c>
      <c r="L81" s="13" t="n"/>
      <c r="M81" s="25" t="inlineStr">
        <is>
          <t>측정일·측정 위치·조도(lux)·온습도 수치가 있는 기록지(최근 3개월분 권장)</t>
        </is>
      </c>
    </row>
    <row r="82" hidden="1" ht="27" customHeight="1">
      <c r="A82" s="10" t="n">
        <v>78</v>
      </c>
      <c r="B82" s="10" t="inlineStr">
        <is>
          <t>2.1.4</t>
        </is>
      </c>
      <c r="C82" s="11" t="inlineStr">
        <is>
          <t>작업환경 관리(공조, 온도, 습도 등)</t>
        </is>
      </c>
      <c r="D82" s="10" t="n">
        <v>57</v>
      </c>
      <c r="E82" s="10" t="inlineStr">
        <is>
          <t>[사진 2]</t>
        </is>
      </c>
      <c r="F82" s="11" t="inlineStr">
        <is>
          <t>방충·방서 관리 기록</t>
        </is>
      </c>
      <c r="G82" s="12" t="inlineStr">
        <is>
          <t>자료·문서</t>
        </is>
      </c>
      <c r="H82" s="11" t="inlineStr">
        <is>
          <t>관련 부서 보관 자료</t>
        </is>
      </c>
      <c r="I82" s="11" t="n"/>
      <c r="J82" s="11" t="n"/>
      <c r="K82" s="11" t="inlineStr">
        <is>
          <t>2.1.4_사진2</t>
        </is>
      </c>
      <c r="L82" s="13" t="n"/>
      <c r="M82" s="25" t="inlineStr">
        <is>
          <t>방역 업체 점검 확인서 또는 자체 방충 점검표(점검일·결과 보이게)</t>
        </is>
      </c>
    </row>
    <row r="83" hidden="1" ht="27" customHeight="1">
      <c r="A83" s="10" t="n">
        <v>79</v>
      </c>
      <c r="B83" s="10" t="inlineStr">
        <is>
          <t>2.1.4</t>
        </is>
      </c>
      <c r="C83" s="11" t="inlineStr">
        <is>
          <t>작업환경 관리(공조, 온도, 습도 등)</t>
        </is>
      </c>
      <c r="D83" s="10" t="n">
        <v>57</v>
      </c>
      <c r="E83" s="10" t="inlineStr">
        <is>
          <t>[사진 3]</t>
        </is>
      </c>
      <c r="F83" s="11" t="inlineStr">
        <is>
          <t>휴게실 사진</t>
        </is>
      </c>
      <c r="G83" s="14" t="inlineStr">
        <is>
          <t>현장사진</t>
        </is>
      </c>
      <c r="H83" s="11" t="inlineStr">
        <is>
          <t>센터 전반(도크·바닥·통로·비상구 등)</t>
        </is>
      </c>
      <c r="I83" s="11" t="n"/>
      <c r="J83" s="11" t="n"/>
      <c r="K83" s="11" t="inlineStr">
        <is>
          <t>2.1.4_사진3</t>
        </is>
      </c>
      <c r="L83" s="13" t="n"/>
      <c r="M83" s="25" t="inlineStr">
        <is>
          <t>휴게실 내부 전경(테이블·냉난방기 등 편의시설 보이게)</t>
        </is>
      </c>
    </row>
    <row r="84" hidden="1" ht="27" customHeight="1">
      <c r="A84" s="10" t="n">
        <v>80</v>
      </c>
      <c r="B84" s="10" t="inlineStr">
        <is>
          <t>2.1.5</t>
        </is>
      </c>
      <c r="C84" s="11" t="inlineStr">
        <is>
          <t>재해 및 안전관리(방화, 내진, 소방·대피시설, 안전사고관리 등)</t>
        </is>
      </c>
      <c r="D84" s="10" t="n">
        <v>58</v>
      </c>
      <c r="E84" s="10" t="inlineStr">
        <is>
          <t>[사진 1]</t>
        </is>
      </c>
      <c r="F84" s="11" t="inlineStr">
        <is>
          <t>소방시설 자체점검 결과보고서</t>
        </is>
      </c>
      <c r="G84" s="12" t="inlineStr">
        <is>
          <t>자료·문서</t>
        </is>
      </c>
      <c r="H84" s="11" t="inlineStr">
        <is>
          <t>관련 부서 보관 자료</t>
        </is>
      </c>
      <c r="I84" s="11" t="inlineStr">
        <is>
          <t>소방안전관리자 보관</t>
        </is>
      </c>
      <c r="J84" s="11" t="n"/>
      <c r="K84" s="11" t="inlineStr">
        <is>
          <t>2.1.5_사진1</t>
        </is>
      </c>
      <c r="L84" s="13" t="n"/>
      <c r="M84" s="25" t="inlineStr">
        <is>
          <t>소방시설 자체점검 결과보고서 표지 + 결과 요약 페이지(점검일·적합 판정)</t>
        </is>
      </c>
    </row>
    <row r="85" hidden="1" ht="27" customHeight="1">
      <c r="A85" s="10" t="n">
        <v>81</v>
      </c>
      <c r="B85" s="10" t="inlineStr">
        <is>
          <t>2.1.5</t>
        </is>
      </c>
      <c r="C85" s="11" t="inlineStr">
        <is>
          <t>재해 및 안전관리(방화, 내진, 소방·대피시설, 안전사고관리 등)</t>
        </is>
      </c>
      <c r="D85" s="10" t="n">
        <v>58</v>
      </c>
      <c r="E85" s="10" t="inlineStr">
        <is>
          <t>[사진 2]</t>
        </is>
      </c>
      <c r="F85" s="11" t="inlineStr">
        <is>
          <t>비상구·소화설비 사진</t>
        </is>
      </c>
      <c r="G85" s="14" t="inlineStr">
        <is>
          <t>현장사진</t>
        </is>
      </c>
      <c r="H85" s="11" t="inlineStr">
        <is>
          <t>센터 전반(도크·바닥·통로·비상구 등)</t>
        </is>
      </c>
      <c r="I85" s="11" t="n"/>
      <c r="J85" s="11" t="n"/>
      <c r="K85" s="11" t="inlineStr">
        <is>
          <t>2.1.5_사진2</t>
        </is>
      </c>
      <c r="L85" s="13" t="n"/>
      <c r="M85" s="25" t="inlineStr">
        <is>
          <t>비상구 유도등·소화기·소화전이 함께 보이는 컷 + 대피 경로도</t>
        </is>
      </c>
    </row>
    <row r="86" ht="27" customHeight="1">
      <c r="A86" s="10" t="n">
        <v>82</v>
      </c>
      <c r="B86" s="10" t="inlineStr">
        <is>
          <t>2.1.5</t>
        </is>
      </c>
      <c r="C86" s="11" t="inlineStr">
        <is>
          <t>재해 및 안전관리(방화, 내진, 소방·대피시설, 안전사고관리 등)</t>
        </is>
      </c>
      <c r="D86" s="10" t="n">
        <v>58</v>
      </c>
      <c r="E86" s="10" t="inlineStr">
        <is>
          <t>[사진 3]</t>
        </is>
      </c>
      <c r="F86" s="11" t="inlineStr">
        <is>
          <t>2025 근로자 안전보건교육 수료증(분기별 정기교육 1~4차, 올윈에듀)</t>
        </is>
      </c>
      <c r="G86" s="12" t="inlineStr">
        <is>
          <t>자료·문서</t>
        </is>
      </c>
      <c r="H86" s="11" t="inlineStr">
        <is>
          <t>공유 받은 서류/교육 결과 보고서_2025.pdf</t>
        </is>
      </c>
      <c r="I86" s="11" t="inlineStr">
        <is>
          <t>2026-10-13 확보 / 10.15 01 삽입</t>
        </is>
      </c>
      <c r="J86" s="11" t="n"/>
      <c r="K86" s="11" t="inlineStr">
        <is>
          <t>2.1.5_사진3</t>
        </is>
      </c>
      <c r="L86" s="13" t="inlineStr">
        <is>
          <t>O</t>
        </is>
      </c>
      <c r="M86" s="25" t="inlineStr">
        <is>
          <t>기관수료증 1~2쪽(과정·수료 인원)만 첨부. 수료대장(이름·생년월일)은 제외하거나 생년월일 가림</t>
        </is>
      </c>
    </row>
    <row r="87" hidden="1" ht="27" customHeight="1">
      <c r="A87" s="10" t="n">
        <v>83</v>
      </c>
      <c r="B87" s="10" t="inlineStr">
        <is>
          <t>2.1.5</t>
        </is>
      </c>
      <c r="C87" s="11" t="inlineStr">
        <is>
          <t>재해 및 안전관리(방화, 내진, 소방·대피시설, 안전사고관리 등)</t>
        </is>
      </c>
      <c r="D87" s="10" t="n">
        <v>58</v>
      </c>
      <c r="E87" s="10" t="inlineStr">
        <is>
          <t>[사진 4]</t>
        </is>
      </c>
      <c r="F87" s="11" t="inlineStr">
        <is>
          <t>SW(WMS) 공정별 인원관리(QR, 시범 운영 중) – 공정별 현재 투입 인원 파악(비상 시 인원 확인)</t>
        </is>
      </c>
      <c r="G87" s="15" t="inlineStr">
        <is>
          <t>시스템 캡처</t>
        </is>
      </c>
      <c r="H87" s="11" t="inlineStr">
        <is>
          <t>SW / Smartship / TLPS 화면 (4_시스템사용자매뉴얼 화면명 참고)</t>
        </is>
      </c>
      <c r="I87" s="11" t="inlineStr">
        <is>
          <t>10.14 01 삽입 확인</t>
        </is>
      </c>
      <c r="J87" s="11" t="n"/>
      <c r="K87" s="11" t="inlineStr">
        <is>
          <t>2.1.5_사진4</t>
        </is>
      </c>
      <c r="L87" s="13" t="inlineStr">
        <is>
          <t>O</t>
        </is>
      </c>
      <c r="M87" s="25" t="inlineStr">
        <is>
          <t>[강조] 공정별 현재 투입 인원 목록 / [의미] 비상 시 센터 내 인원 즉시 확인(입퇴실 관리)</t>
        </is>
      </c>
    </row>
    <row r="88" hidden="1" ht="27" customHeight="1">
      <c r="A88" s="28" t="n">
        <v>84</v>
      </c>
      <c r="B88" s="28" t="inlineStr">
        <is>
          <t>2.1.5</t>
        </is>
      </c>
      <c r="C88" s="20" t="inlineStr">
        <is>
          <t>재해 및 안전관리(방화, 내진, 소방·대피시설, 안전사고관리 등)</t>
        </is>
      </c>
      <c r="D88" s="28" t="n">
        <v>58</v>
      </c>
      <c r="E88" s="28" t="inlineStr">
        <is>
          <t>[사진 5]</t>
        </is>
      </c>
      <c r="F88" s="20" t="inlineStr">
        <is>
          <t>지게차 안전작업 실천 서약서(2026.06.23, 영종센터 운전자 8명)</t>
        </is>
      </c>
      <c r="G88" s="29" t="inlineStr">
        <is>
          <t>자료·문서</t>
        </is>
      </c>
      <c r="H88" s="20" t="inlineStr">
        <is>
          <t>공유 받은 서류/(20260623) 지게차_안전작업_서약서.pdf</t>
        </is>
      </c>
      <c r="I88" s="20" t="inlineStr">
        <is>
          <t>2026-10-13 확보 / 10.15 01 삽입</t>
        </is>
      </c>
      <c r="J88" s="20" t="n"/>
      <c r="K88" s="20" t="inlineStr">
        <is>
          <t>2.1.5_사진5</t>
        </is>
      </c>
      <c r="L88" s="30" t="inlineStr">
        <is>
          <t>O</t>
        </is>
      </c>
      <c r="M88" s="20" t="inlineStr">
        <is>
          <t>서약 수칙 4개(안전모·벨트, 과적 금지, 10km/h, Key 제거) 부분 강조</t>
        </is>
      </c>
    </row>
    <row r="89" ht="27" customHeight="1">
      <c r="A89" s="10" t="n">
        <v>85</v>
      </c>
      <c r="B89" s="10" t="inlineStr">
        <is>
          <t>2.2.1</t>
        </is>
      </c>
      <c r="C89" s="11" t="inlineStr">
        <is>
          <t>비용 절감</t>
        </is>
      </c>
      <c r="D89" s="10" t="n">
        <v>61</v>
      </c>
      <c r="E89" s="10" t="inlineStr">
        <is>
          <t>[사진 1]</t>
        </is>
      </c>
      <c r="F89" s="11" t="inlineStr">
        <is>
          <t>최근 3년 물류비·절감률 실적표</t>
        </is>
      </c>
      <c r="G89" s="12" t="inlineStr">
        <is>
          <t>자료·문서</t>
        </is>
      </c>
      <c r="H89" s="11" t="inlineStr">
        <is>
          <t>관련 부서 보관 자료</t>
        </is>
      </c>
      <c r="I89" s="11" t="inlineStr">
        <is>
          <t>05 매뉴얼의 "예시" 수치 대신 실제 결산 자료 필요</t>
        </is>
      </c>
      <c r="J89" s="11" t="n"/>
      <c r="K89" s="11" t="inlineStr">
        <is>
          <t>2.2.1_사진1</t>
        </is>
      </c>
      <c r="L89" s="13" t="n"/>
      <c r="M89" s="25" t="inlineStr">
        <is>
          <t>[강조] 연도별 물류비 합계·항목별 비용·전년 대비 절감률 / ※ 05 매뉴얼의 '예시' 수치가 아닌 실제 결산값</t>
        </is>
      </c>
    </row>
    <row r="90" hidden="1" ht="27" customHeight="1">
      <c r="A90" s="10" t="n">
        <v>86</v>
      </c>
      <c r="B90" s="10" t="inlineStr">
        <is>
          <t>2.2.1</t>
        </is>
      </c>
      <c r="C90" s="11" t="inlineStr">
        <is>
          <t>비용 절감</t>
        </is>
      </c>
      <c r="D90" s="10" t="n">
        <v>61</v>
      </c>
      <c r="E90" s="10" t="inlineStr">
        <is>
          <t>[사진 2]</t>
        </is>
      </c>
      <c r="F90" s="11" t="inlineStr">
        <is>
          <t>월간 성과보고 자료</t>
        </is>
      </c>
      <c r="G90" s="12" t="inlineStr">
        <is>
          <t>자료·문서</t>
        </is>
      </c>
      <c r="H90" s="11" t="inlineStr">
        <is>
          <t>관련 부서 보관 자료</t>
        </is>
      </c>
      <c r="I90" s="11" t="n"/>
      <c r="J90" s="11" t="n"/>
      <c r="K90" s="11" t="inlineStr">
        <is>
          <t>2.2.1_사진2</t>
        </is>
      </c>
      <c r="L90" s="13" t="n"/>
      <c r="M90" s="25" t="inlineStr">
        <is>
          <t>[강조] 월별 비용 실적 vs 목표, 차이 원인, 개선과제와 다음 달 조치 결과(최근 3개월 연속) / [의미] 수집·분석·피드백</t>
        </is>
      </c>
    </row>
    <row r="91" hidden="1" ht="27" customHeight="1">
      <c r="A91" s="10" t="n">
        <v>87</v>
      </c>
      <c r="B91" s="10" t="inlineStr">
        <is>
          <t>2.2.2</t>
        </is>
      </c>
      <c r="C91" s="11" t="inlineStr">
        <is>
          <t>생산성 향상</t>
        </is>
      </c>
      <c r="D91" s="10" t="n">
        <v>62</v>
      </c>
      <c r="E91" s="10" t="inlineStr">
        <is>
          <t>[사진 1]</t>
        </is>
      </c>
      <c r="F91" s="11" t="inlineStr">
        <is>
          <t>SW(WMS) 작업자 추적(QR, 시범 운영 중) – 공정별·인원별 작업자 수·처리량·작업시간 집계 화면</t>
        </is>
      </c>
      <c r="G91" s="15" t="inlineStr">
        <is>
          <t>시스템 캡처</t>
        </is>
      </c>
      <c r="H91" s="11" t="inlineStr">
        <is>
          <t>SW / Smartship / TLPS 화면 (4_시스템사용자매뉴얼 화면명 참고)</t>
        </is>
      </c>
      <c r="I91" s="11" t="inlineStr">
        <is>
          <t>10.14 01 삽입 확인</t>
        </is>
      </c>
      <c r="J91" s="11" t="n"/>
      <c r="K91" s="11" t="inlineStr">
        <is>
          <t>2.2.2_사진1</t>
        </is>
      </c>
      <c r="L91" s="13" t="inlineStr">
        <is>
          <t>O</t>
        </is>
      </c>
      <c r="M91" s="25" t="inlineStr">
        <is>
          <t>[강조] 공정별 투입 인원·작업시간, 기간별 레포트 / [의미] 생산성 데이터 시스템 자동 수집</t>
        </is>
      </c>
    </row>
    <row r="92" hidden="1" ht="27" customHeight="1">
      <c r="A92" s="10" t="n">
        <v>88</v>
      </c>
      <c r="B92" s="10" t="inlineStr">
        <is>
          <t>2.2.2</t>
        </is>
      </c>
      <c r="C92" s="11" t="inlineStr">
        <is>
          <t>생산성 향상</t>
        </is>
      </c>
      <c r="D92" s="10" t="n">
        <v>63</v>
      </c>
      <c r="E92" s="10" t="inlineStr">
        <is>
          <t>[사진 2]</t>
        </is>
      </c>
      <c r="F92" s="11" t="inlineStr">
        <is>
          <t>월별 UPH 실적표(2025.11~2026.10) – 공정별 출고 박스÷투입 인시, 풀필먼트 UPH 19.3→27.6(약 43% 향상)</t>
        </is>
      </c>
      <c r="G92" s="12" t="inlineStr">
        <is>
          <t>자료·문서</t>
        </is>
      </c>
      <c r="H92" s="11" t="inlineStr">
        <is>
          <t>영종센터 운영실적 엑셀(공정별 근무시간·출고 물량) 집계</t>
        </is>
      </c>
      <c r="I92" s="11" t="inlineStr">
        <is>
          <t>10.15 작성·01 삽입</t>
        </is>
      </c>
      <c r="J92" s="11" t="n"/>
      <c r="K92" s="11" t="inlineStr">
        <is>
          <t>2.2.2_사진2</t>
        </is>
      </c>
      <c r="L92" s="13" t="inlineStr">
        <is>
          <t>O</t>
        </is>
      </c>
      <c r="M92" s="25" t="inlineStr">
        <is>
          <t>[강조] 공정별 UPH = 출고 박스 ÷ 투입 인시, 풀필먼트 19.3→27.6 / [의미] 생산성 지속 향상, 일 목표(OPS 815·풀필 205) 관리</t>
        </is>
      </c>
    </row>
    <row r="93" hidden="1" ht="27" customHeight="1">
      <c r="A93" s="10" t="n">
        <v>89</v>
      </c>
      <c r="B93" s="10" t="inlineStr">
        <is>
          <t>2.2.3</t>
        </is>
      </c>
      <c r="C93" s="11" t="inlineStr">
        <is>
          <t>품질 및 안전관리</t>
        </is>
      </c>
      <c r="D93" s="10" t="n">
        <v>64</v>
      </c>
      <c r="E93" s="10" t="inlineStr">
        <is>
          <t>[사진 1]</t>
        </is>
      </c>
      <c r="F93" s="11" t="inlineStr">
        <is>
          <t>최근 3년 오출고율·정확도 실적</t>
        </is>
      </c>
      <c r="G93" s="12" t="inlineStr">
        <is>
          <t>자료·문서</t>
        </is>
      </c>
      <c r="H93" s="11" t="inlineStr">
        <is>
          <t>관련 부서 보관 자료</t>
        </is>
      </c>
      <c r="I93" s="11" t="inlineStr">
        <is>
          <t>오출고율 기준 통일 후 작성</t>
        </is>
      </c>
      <c r="J93" s="11" t="n"/>
      <c r="K93" s="11" t="inlineStr">
        <is>
          <t>2.2.3_사진1</t>
        </is>
      </c>
      <c r="L93" s="13" t="n"/>
      <c r="M93" s="25" t="inlineStr">
        <is>
          <t>[강조] 연도별 오출고율·피킹 정확도·분류 정확도와 산식 / ※ 회사소개서 수치와 기준 통일</t>
        </is>
      </c>
    </row>
    <row r="94" hidden="1" ht="27" customHeight="1">
      <c r="A94" s="10" t="n">
        <v>90</v>
      </c>
      <c r="B94" s="10" t="inlineStr">
        <is>
          <t>2.2.3</t>
        </is>
      </c>
      <c r="C94" s="11" t="inlineStr">
        <is>
          <t>품질 및 안전관리</t>
        </is>
      </c>
      <c r="D94" s="10" t="n">
        <v>64</v>
      </c>
      <c r="E94" s="10" t="inlineStr">
        <is>
          <t>[사진 2]</t>
        </is>
      </c>
      <c r="F94" s="11" t="inlineStr">
        <is>
          <t>클레임 처리 이력</t>
        </is>
      </c>
      <c r="G94" s="12" t="inlineStr">
        <is>
          <t>자료·문서</t>
        </is>
      </c>
      <c r="H94" s="11" t="inlineStr">
        <is>
          <t>관련 부서 보관 자료</t>
        </is>
      </c>
      <c r="I94" s="11" t="n"/>
      <c r="J94" s="11" t="n"/>
      <c r="K94" s="11" t="inlineStr">
        <is>
          <t>2.2.3_사진2</t>
        </is>
      </c>
      <c r="L94" s="13" t="n"/>
      <c r="M94" s="25" t="inlineStr">
        <is>
          <t>[강조] 클레임 접수→원인 확인(영상·스캔 이력)→조치→재발방지 흐름이 보이는 이력 목록</t>
        </is>
      </c>
    </row>
    <row r="95" hidden="1" ht="27" customHeight="1">
      <c r="A95" s="10" t="n">
        <v>91</v>
      </c>
      <c r="B95" s="10" t="inlineStr">
        <is>
          <t>2.2.3</t>
        </is>
      </c>
      <c r="C95" s="11" t="inlineStr">
        <is>
          <t>품질 및 안전관리</t>
        </is>
      </c>
      <c r="D95" s="10" t="n">
        <v>64</v>
      </c>
      <c r="E95" s="10" t="inlineStr">
        <is>
          <t>[사진 3]</t>
        </is>
      </c>
      <c r="F95" s="11" t="inlineStr">
        <is>
          <t>2025 근로자 안전보건교육 수료증(분기별 정기교육 1~4차)</t>
        </is>
      </c>
      <c r="G95" s="12" t="inlineStr">
        <is>
          <t>자료·문서</t>
        </is>
      </c>
      <c r="H95" s="11" t="inlineStr">
        <is>
          <t>공유 받은 서류/교육 결과 보고서_2025.pdf</t>
        </is>
      </c>
      <c r="I95" s="11" t="inlineStr">
        <is>
          <t>2026-10-13 확보 / 10.15 01 삽입</t>
        </is>
      </c>
      <c r="J95" s="11" t="n"/>
      <c r="K95" s="11" t="inlineStr">
        <is>
          <t>2.2.3_사진3</t>
        </is>
      </c>
      <c r="L95" s="13" t="inlineStr">
        <is>
          <t>O</t>
        </is>
      </c>
      <c r="M95" s="25" t="inlineStr">
        <is>
          <t>2.1.5 [사진 3]과 같은 수료증. 분기별(3·6·9·12월) 교육 과정 목록 강조</t>
        </is>
      </c>
    </row>
    <row r="96" hidden="1" ht="27" customHeight="1">
      <c r="A96" s="10" t="n">
        <v>92</v>
      </c>
      <c r="B96" s="10" t="inlineStr">
        <is>
          <t>2.2.4</t>
        </is>
      </c>
      <c r="C96" s="11" t="inlineStr">
        <is>
          <t>친환경관리(절수, 절전, 폐기물, 재활용, 조명 등)</t>
        </is>
      </c>
      <c r="D96" s="10" t="n">
        <v>66</v>
      </c>
      <c r="E96" s="10" t="inlineStr">
        <is>
          <t>[사진 1]</t>
        </is>
      </c>
      <c r="F96" s="11" t="inlineStr">
        <is>
          <t>친환경 포장재 적용률 실적</t>
        </is>
      </c>
      <c r="G96" s="12" t="inlineStr">
        <is>
          <t>자료·문서</t>
        </is>
      </c>
      <c r="H96" s="11" t="inlineStr">
        <is>
          <t>관련 부서 보관 자료</t>
        </is>
      </c>
      <c r="I96" s="11" t="n"/>
      <c r="J96" s="11" t="n"/>
      <c r="K96" s="11" t="inlineStr">
        <is>
          <t>2.2.4_사진1</t>
        </is>
      </c>
      <c r="L96" s="13" t="n"/>
      <c r="M96" s="25" t="inlineStr">
        <is>
          <t>[강조] 월별·연도별 친환경 포장재(재사용 박스 등) 적용률 / ※ 실제 집계값</t>
        </is>
      </c>
    </row>
    <row r="97" ht="27" customHeight="1">
      <c r="A97" s="10" t="n">
        <v>93</v>
      </c>
      <c r="B97" s="10" t="inlineStr">
        <is>
          <t>2.2.4</t>
        </is>
      </c>
      <c r="C97" s="11" t="inlineStr">
        <is>
          <t>친환경관리(절수, 절전, 폐기물, 재활용, 조명 등)</t>
        </is>
      </c>
      <c r="D97" s="10" t="n">
        <v>66</v>
      </c>
      <c r="E97" s="10" t="inlineStr">
        <is>
          <t>[사진 2]</t>
        </is>
      </c>
      <c r="F97" s="11" t="inlineStr">
        <is>
          <t>폐기물 재활용 실적</t>
        </is>
      </c>
      <c r="G97" s="12" t="inlineStr">
        <is>
          <t>자료·문서</t>
        </is>
      </c>
      <c r="H97" s="11" t="inlineStr">
        <is>
          <t>관련 부서 보관 자료</t>
        </is>
      </c>
      <c r="I97" s="11" t="n"/>
      <c r="J97" s="11" t="n"/>
      <c r="K97" s="11" t="inlineStr">
        <is>
          <t>2.2.4_사진2</t>
        </is>
      </c>
      <c r="L97" s="13" t="n"/>
      <c r="M97" s="25" t="inlineStr">
        <is>
          <t>[강조] 폐지·비닐 등 재활용 처리량(업체 처리 확인서 등)</t>
        </is>
      </c>
    </row>
    <row r="98" ht="27" customHeight="1">
      <c r="A98" s="10" t="n">
        <v>94</v>
      </c>
      <c r="B98" s="10" t="inlineStr">
        <is>
          <t>2.2.4</t>
        </is>
      </c>
      <c r="C98" s="11" t="inlineStr">
        <is>
          <t>친환경관리(절수, 절전, 폐기물, 재활용, 조명 등)</t>
        </is>
      </c>
      <c r="D98" s="10" t="n">
        <v>66</v>
      </c>
      <c r="E98" s="10" t="inlineStr">
        <is>
          <t>[사진 3]</t>
        </is>
      </c>
      <c r="F98" s="11" t="inlineStr">
        <is>
          <t>LED 조명 등 설비 사진</t>
        </is>
      </c>
      <c r="G98" s="14" t="inlineStr">
        <is>
          <t>현장사진</t>
        </is>
      </c>
      <c r="H98" s="11" t="inlineStr">
        <is>
          <t>-</t>
        </is>
      </c>
      <c r="I98" s="11" t="n"/>
      <c r="J98" s="11" t="n"/>
      <c r="K98" s="11" t="inlineStr">
        <is>
          <t>2.2.4_사진3</t>
        </is>
      </c>
      <c r="L98" s="13" t="n"/>
      <c r="M98" s="25" t="inlineStr">
        <is>
          <t>실제 있는 설비만: LED 천장 조명(라벨 근접 컷), 분리배출장, 재사용 박스 구역, 전동 지게차 충전소 중 2~3장</t>
        </is>
      </c>
    </row>
    <row r="99" ht="27" customHeight="1">
      <c r="A99" s="10" t="n">
        <v>95</v>
      </c>
      <c r="B99" s="10" t="inlineStr">
        <is>
          <t>2.3.1-1</t>
        </is>
      </c>
      <c r="C99" s="11" t="inlineStr">
        <is>
          <t>수발주시스템/상품분류시스템</t>
        </is>
      </c>
      <c r="D99" s="10" t="n">
        <v>67</v>
      </c>
      <c r="E99" s="10" t="inlineStr">
        <is>
          <t>[사진 1]</t>
        </is>
      </c>
      <c r="F99" s="11" t="inlineStr">
        <is>
          <t>Smartship(OMS) 주문 관리 – 판매채널 API 주문 자동 수집 및 풀필먼트 출고 상태 관리</t>
        </is>
      </c>
      <c r="G99" s="15" t="inlineStr">
        <is>
          <t>시스템 캡처</t>
        </is>
      </c>
      <c r="H99" s="11" t="inlineStr">
        <is>
          <t>SW / Smartship / TLPS 화면 (4_시스템사용자매뉴얼 화면명 참고)</t>
        </is>
      </c>
      <c r="I99" s="11" t="inlineStr">
        <is>
          <t>10.14 01 삽입 확인</t>
        </is>
      </c>
      <c r="J99" s="11" t="n"/>
      <c r="K99" s="11" t="inlineStr">
        <is>
          <t>2.3.1-1_사진1</t>
        </is>
      </c>
      <c r="L99" s="13" t="inlineStr">
        <is>
          <t>O</t>
        </is>
      </c>
      <c r="M99" s="25" t="inlineStr">
        <is>
          <t>[강조] 수집 채널(엑셀·단건·API·플랫폼), 검증 결과(주소·수량·중복) / [의미] 주문 수집~출하지시 자동 처리</t>
        </is>
      </c>
    </row>
    <row r="100" ht="27" customHeight="1">
      <c r="A100" s="10" t="n">
        <v>96</v>
      </c>
      <c r="B100" s="10" t="inlineStr">
        <is>
          <t>2.3.1-1</t>
        </is>
      </c>
      <c r="C100" s="11" t="inlineStr">
        <is>
          <t>수발주시스템/상품분류시스템</t>
        </is>
      </c>
      <c r="D100" s="10" t="n">
        <v>67</v>
      </c>
      <c r="E100" s="10" t="inlineStr">
        <is>
          <t>[사진 2]</t>
        </is>
      </c>
      <c r="F100" s="11" t="inlineStr">
        <is>
          <t>Smartship(OMS) 쇼핑몰 주문 연동 – 판매채널별 API 자동 수집 결과</t>
        </is>
      </c>
      <c r="G100" s="15" t="inlineStr">
        <is>
          <t>시스템 캡처</t>
        </is>
      </c>
      <c r="H100" s="11" t="inlineStr">
        <is>
          <t>SW / Smartship / TLPS 화면 (4_시스템사용자매뉴얼 화면명 참고)</t>
        </is>
      </c>
      <c r="I100" s="11" t="inlineStr">
        <is>
          <t>10.14 01 삽입 확인</t>
        </is>
      </c>
      <c r="J100" s="11" t="n"/>
      <c r="K100" s="11" t="inlineStr">
        <is>
          <t>2.3.1-1_사진2</t>
        </is>
      </c>
      <c r="L100" s="13" t="inlineStr">
        <is>
          <t>O</t>
        </is>
      </c>
      <c r="M100" s="25" t="inlineStr">
        <is>
          <t>[강조] 연동 중인 쇼핑몰·오픈마켓 목록과 연동 상태 / [의미] 외부 채널과 API 연동</t>
        </is>
      </c>
    </row>
    <row r="101" ht="27" customHeight="1">
      <c r="A101" s="10" t="n">
        <v>97</v>
      </c>
      <c r="B101" s="10" t="inlineStr">
        <is>
          <t>2.3.1-2</t>
        </is>
      </c>
      <c r="C101" s="11" t="inlineStr">
        <is>
          <t>입출고 및 배차배송시스템</t>
        </is>
      </c>
      <c r="D101" s="10" t="n">
        <v>69</v>
      </c>
      <c r="E101" s="10" t="inlineStr">
        <is>
          <t>[사진 1]</t>
        </is>
      </c>
      <c r="F101" s="11" t="inlineStr">
        <is>
          <t>SW(WMS) 입고 확정 – 도착완료·입고완료 처리 및 재고 반영</t>
        </is>
      </c>
      <c r="G101" s="15" t="inlineStr">
        <is>
          <t>시스템 캡처</t>
        </is>
      </c>
      <c r="H101" s="11" t="inlineStr">
        <is>
          <t>SW / Smartship / TLPS 화면 (4_시스템사용자매뉴얼 화면명 참고)</t>
        </is>
      </c>
      <c r="I101" s="11" t="inlineStr">
        <is>
          <t>10.14 01 삽입 확인</t>
        </is>
      </c>
      <c r="J101" s="11" t="n"/>
      <c r="K101" s="11" t="inlineStr">
        <is>
          <t>2.3.1-2_사진1</t>
        </is>
      </c>
      <c r="L101" s="13" t="inlineStr">
        <is>
          <t>O</t>
        </is>
      </c>
      <c r="M101" s="25" t="inlineStr">
        <is>
          <t>[강조] 입고 C1~CC 상태, 출고 단계(피킹→검품→DWS→송장) / [의미] 입출고가 시스템에서 단계별 관리</t>
        </is>
      </c>
    </row>
    <row r="102" ht="27" customHeight="1">
      <c r="A102" s="10" t="n">
        <v>98</v>
      </c>
      <c r="B102" s="10" t="inlineStr">
        <is>
          <t>2.3.1-2</t>
        </is>
      </c>
      <c r="C102" s="11" t="inlineStr">
        <is>
          <t>입출고 및 배차배송시스템</t>
        </is>
      </c>
      <c r="D102" s="10" t="n">
        <v>69</v>
      </c>
      <c r="E102" s="10" t="inlineStr">
        <is>
          <t>[사진 2]</t>
        </is>
      </c>
      <c r="F102" s="11" t="inlineStr">
        <is>
          <t>TMS MAWB 상세 – 항공편 출항·입항 일정 및 Flight Confirm 관리</t>
        </is>
      </c>
      <c r="G102" s="15" t="inlineStr">
        <is>
          <t>시스템 캡처</t>
        </is>
      </c>
      <c r="H102" s="11" t="inlineStr">
        <is>
          <t>SW / Smartship / TLPS 화면 (4_시스템사용자매뉴얼 화면명 참고)</t>
        </is>
      </c>
      <c r="I102" s="11" t="inlineStr">
        <is>
          <t>10.14 01 삽입 확인</t>
        </is>
      </c>
      <c r="J102" s="11" t="n"/>
      <c r="K102" s="11" t="inlineStr">
        <is>
          <t>2.3.1-2_사진2</t>
        </is>
      </c>
      <c r="L102" s="13" t="inlineStr">
        <is>
          <t>O</t>
        </is>
      </c>
      <c r="M102" s="25" t="inlineStr">
        <is>
          <t>[강조] 운송·인계 내역(택배사·조업사, MAWB) / [의미] WMS↔TMS 연계로 배송정보 실시간 공유</t>
        </is>
      </c>
    </row>
    <row r="103" ht="27" customHeight="1">
      <c r="A103" s="10" t="n">
        <v>99</v>
      </c>
      <c r="B103" s="10" t="inlineStr">
        <is>
          <t>2.3.1-3</t>
        </is>
      </c>
      <c r="C103" s="11" t="inlineStr">
        <is>
          <t>재고관리시스템</t>
        </is>
      </c>
      <c r="D103" s="10" t="n">
        <v>71</v>
      </c>
      <c r="E103" s="10" t="inlineStr">
        <is>
          <t>[사진 1]</t>
        </is>
      </c>
      <c r="F103" s="11" t="inlineStr">
        <is>
          <t>SW(WMS) 재고실사 관리 – 실사 생성(대상 유형·기간 지정) 및 실사 목록</t>
        </is>
      </c>
      <c r="G103" s="15" t="inlineStr">
        <is>
          <t>시스템 캡처</t>
        </is>
      </c>
      <c r="H103" s="11" t="inlineStr">
        <is>
          <t>SW / Smartship / TLPS 화면 (4_시스템사용자매뉴얼 화면명 참고)</t>
        </is>
      </c>
      <c r="I103" s="11" t="inlineStr">
        <is>
          <t>10.14 01 삽입 확인</t>
        </is>
      </c>
      <c r="J103" s="11" t="n"/>
      <c r="K103" s="11" t="inlineStr">
        <is>
          <t>2.3.1-3_사진1</t>
        </is>
      </c>
      <c r="L103" s="13" t="inlineStr">
        <is>
          <t>O</t>
        </is>
      </c>
      <c r="M103" s="25" t="inlineStr">
        <is>
          <t>대시보드·셀 상세·실사·마감리포트 4개 화면을 한 장에 모아 배치(각 화면 제목 표시)</t>
        </is>
      </c>
    </row>
    <row r="104" ht="27" customHeight="1">
      <c r="A104" s="10" t="n">
        <v>100</v>
      </c>
      <c r="B104" s="10" t="inlineStr">
        <is>
          <t>2.3.1-4</t>
        </is>
      </c>
      <c r="C104" s="11" t="inlineStr">
        <is>
          <t>자원관리시스템</t>
        </is>
      </c>
      <c r="D104" s="10" t="n">
        <v>72</v>
      </c>
      <c r="E104" s="10" t="inlineStr">
        <is>
          <t>[사진 1]</t>
        </is>
      </c>
      <c r="F104" s="11" t="inlineStr">
        <is>
          <t>SW(WMS) 창고 레이아웃 관리 – Zone·Block·설비(소터·DWS) 배치 등록</t>
        </is>
      </c>
      <c r="G104" s="15" t="inlineStr">
        <is>
          <t>시스템 캡처</t>
        </is>
      </c>
      <c r="H104" s="11" t="inlineStr">
        <is>
          <t>SW / Smartship / TLPS 화면 (4_시스템사용자매뉴얼 화면명 참고)</t>
        </is>
      </c>
      <c r="I104" s="11" t="inlineStr">
        <is>
          <t>10.14 01 삽입 확인</t>
        </is>
      </c>
      <c r="J104" s="11" t="n"/>
      <c r="K104" s="11" t="inlineStr">
        <is>
          <t>2.3.1-4_사진1</t>
        </is>
      </c>
      <c r="L104" s="13" t="inlineStr">
        <is>
          <t>O</t>
        </is>
      </c>
      <c r="M104" s="25" t="inlineStr">
        <is>
          <t>레이아웃관리·디바이스 등록·작업자 추적 3개 화면을 한 장에 배치(공간·단말·인력 자원 관리)</t>
        </is>
      </c>
    </row>
    <row r="105" ht="27" customHeight="1">
      <c r="A105" s="10" t="n">
        <v>101</v>
      </c>
      <c r="B105" s="10" t="inlineStr">
        <is>
          <t>2.3.1-5</t>
        </is>
      </c>
      <c r="C105" s="11" t="inlineStr">
        <is>
          <t>물류지원시스템</t>
        </is>
      </c>
      <c r="D105" s="10" t="n">
        <v>73</v>
      </c>
      <c r="E105" s="10" t="inlineStr">
        <is>
          <t>[사진 1]</t>
        </is>
      </c>
      <c r="F105" s="11" t="inlineStr">
        <is>
          <t>SW(WMS) 전체 대시보드 – 풀필먼트 공정별 처리 현황</t>
        </is>
      </c>
      <c r="G105" s="15" t="inlineStr">
        <is>
          <t>시스템 캡처</t>
        </is>
      </c>
      <c r="H105" s="11" t="inlineStr">
        <is>
          <t>SW / Smartship / TLPS 화면 (4_시스템사용자매뉴얼 화면명 참고)</t>
        </is>
      </c>
      <c r="I105" s="11" t="inlineStr">
        <is>
          <t>10.14 01 삽입 확인</t>
        </is>
      </c>
      <c r="J105" s="11" t="n"/>
      <c r="K105" s="11" t="inlineStr">
        <is>
          <t>2.3.1-5_사진1</t>
        </is>
      </c>
      <c r="L105" s="13" t="inlineStr">
        <is>
          <t>O</t>
        </is>
      </c>
      <c r="M105" s="25" t="inlineStr">
        <is>
          <t>[강조] 주문 상태별(대기·픽킹·팩킹·펜딩·출고·취소) 건수 / [의미] 풀필먼트 주문 통합 관리</t>
        </is>
      </c>
    </row>
    <row r="106" ht="27" customHeight="1">
      <c r="A106" s="10" t="n">
        <v>102</v>
      </c>
      <c r="B106" s="10" t="inlineStr">
        <is>
          <t>2.3.1-5</t>
        </is>
      </c>
      <c r="C106" s="11" t="inlineStr">
        <is>
          <t>물류지원시스템</t>
        </is>
      </c>
      <c r="D106" s="10" t="n">
        <v>73</v>
      </c>
      <c r="E106" s="10" t="inlineStr">
        <is>
          <t>[사진 2]</t>
        </is>
      </c>
      <c r="F106" s="11" t="inlineStr">
        <is>
          <t>SW(WMS) 고객반품 관리 – 반품 주문 등록·DPC 도착·검품·셀러 확인·최종 완료 단계 관리</t>
        </is>
      </c>
      <c r="G106" s="15" t="inlineStr">
        <is>
          <t>시스템 캡처</t>
        </is>
      </c>
      <c r="H106" s="11" t="inlineStr">
        <is>
          <t>SW / Smartship / TLPS 화면 (4_시스템사용자매뉴얼 화면명 참고)</t>
        </is>
      </c>
      <c r="I106" s="11" t="inlineStr">
        <is>
          <t>10.14 01 삽입 확인</t>
        </is>
      </c>
      <c r="J106" s="11" t="n"/>
      <c r="K106" s="11" t="inlineStr">
        <is>
          <t>2.3.1-5_사진2</t>
        </is>
      </c>
      <c r="L106" s="13" t="inlineStr">
        <is>
          <t>O</t>
        </is>
      </c>
      <c r="M106" s="25" t="inlineStr">
        <is>
          <t>[강조] 반품 요청 목록·상태·RTV 처리 / [의미] 반품 업무 시스템 처리</t>
        </is>
      </c>
    </row>
    <row r="107" hidden="1" ht="27" customHeight="1">
      <c r="A107" s="10" t="n">
        <v>103</v>
      </c>
      <c r="B107" s="10" t="inlineStr">
        <is>
          <t>2.3.1-5</t>
        </is>
      </c>
      <c r="C107" s="11" t="inlineStr">
        <is>
          <t>물류지원시스템</t>
        </is>
      </c>
      <c r="D107" s="10" t="n">
        <v>73</v>
      </c>
      <c r="E107" s="10" t="inlineStr">
        <is>
          <t>[사진 3]</t>
        </is>
      </c>
      <c r="F107" s="11" t="inlineStr">
        <is>
          <t>SW(WMS) 오류화물(펜딩) 관리 – SKU 미정의·재고 부족·통관 품목·경로 검증 등 유형별 보류 처리</t>
        </is>
      </c>
      <c r="G107" s="15" t="inlineStr">
        <is>
          <t>시스템 캡처</t>
        </is>
      </c>
      <c r="H107" s="11" t="inlineStr">
        <is>
          <t>SW / Smartship / TLPS 화면 (4_시스템사용자매뉴얼 화면명 참고)</t>
        </is>
      </c>
      <c r="I107" s="11" t="inlineStr">
        <is>
          <t>10.14 01 삽입 확인</t>
        </is>
      </c>
      <c r="J107" s="11" t="n"/>
      <c r="K107" s="11" t="inlineStr">
        <is>
          <t>2.3.1-5_사진3</t>
        </is>
      </c>
      <c r="L107" s="13" t="inlineStr">
        <is>
          <t>O</t>
        </is>
      </c>
      <c r="M107" s="25" t="inlineStr">
        <is>
          <t>[강조] 오류화물 목록·사유·처리 상태 / [의미] 예외 화물 관리</t>
        </is>
      </c>
    </row>
    <row r="108">
      <c r="A108" s="10" t="n">
        <v>104</v>
      </c>
      <c r="B108" s="10" t="inlineStr">
        <is>
          <t>2.3.2</t>
        </is>
      </c>
      <c r="C108" s="11" t="inlineStr">
        <is>
          <t>창고제어시스템(WCS, MCS)</t>
        </is>
      </c>
      <c r="D108" s="10" t="n">
        <v>75</v>
      </c>
      <c r="E108" s="10" t="inlineStr">
        <is>
          <t>[사진 1]</t>
        </is>
      </c>
      <c r="F108" s="11" t="inlineStr">
        <is>
          <t>SW(WMS) 소터 모니터링 – 투입구(DWS)별·시간대별 분류 처리 건수</t>
        </is>
      </c>
      <c r="G108" s="15" t="inlineStr">
        <is>
          <t>시스템 캡처</t>
        </is>
      </c>
      <c r="H108" s="11" t="inlineStr">
        <is>
          <t>SW / Smartship / TLPS 화면 (4_시스템사용자매뉴얼 화면명 참고)</t>
        </is>
      </c>
      <c r="I108" s="11" t="inlineStr">
        <is>
          <t>10.14 01 삽입 확인</t>
        </is>
      </c>
      <c r="J108" s="11" t="n"/>
      <c r="K108" s="11" t="inlineStr">
        <is>
          <t>2.3.2_사진1</t>
        </is>
      </c>
      <c r="L108" s="13" t="inlineStr">
        <is>
          <t>O</t>
        </is>
      </c>
      <c r="M108" s="25" t="inlineStr">
        <is>
          <t>[강조] 소터 모니터링 매트릭스 + 슈트 설정 화면 / [의미] 자동화 설비 전반이 WMS와 실시간 연동(WCS 역할)</t>
        </is>
      </c>
    </row>
    <row r="109">
      <c r="A109" s="10" t="n">
        <v>105</v>
      </c>
      <c r="B109" s="10" t="inlineStr">
        <is>
          <t>2.3.2</t>
        </is>
      </c>
      <c r="C109" s="11" t="inlineStr">
        <is>
          <t>창고제어시스템(WCS, MCS)</t>
        </is>
      </c>
      <c r="D109" s="10" t="n">
        <v>75</v>
      </c>
      <c r="E109" s="10" t="inlineStr">
        <is>
          <t>[사진 2]</t>
        </is>
      </c>
      <c r="F109" s="11" t="inlineStr">
        <is>
          <t>설비 구성도</t>
        </is>
      </c>
      <c r="G109" s="12" t="inlineStr">
        <is>
          <t>자료·문서</t>
        </is>
      </c>
      <c r="H109" s="11" t="inlineStr">
        <is>
          <t>관련 부서 보관 자료</t>
        </is>
      </c>
      <c r="I109" s="11" t="n"/>
      <c r="J109" s="11" t="n"/>
      <c r="K109" s="11" t="inlineStr">
        <is>
          <t>2.3.2_사진2</t>
        </is>
      </c>
      <c r="L109" s="13" t="n"/>
      <c r="M109" s="25" t="inlineStr">
        <is>
          <t>설비(소터·PTL·DWS·오토라벨러 등) ↔ 설비연동모듈 ↔ SW(WMS) ↔ Smartship/TLPS 연결 구성도</t>
        </is>
      </c>
    </row>
    <row r="110"/>
    <row r="111">
      <c r="B111" s="16" t="inlineStr">
        <is>
          <t>집계</t>
        </is>
      </c>
    </row>
    <row r="112">
      <c r="B112" s="17" t="inlineStr">
        <is>
          <t>현장사진</t>
        </is>
      </c>
      <c r="C112" s="17">
        <f>COUNTIF(G5:G109,"현장사진")</f>
        <v/>
      </c>
    </row>
    <row r="113">
      <c r="B113" s="17" t="inlineStr">
        <is>
          <t>시스템 캡처</t>
        </is>
      </c>
      <c r="C113" s="17">
        <f>COUNTIF(G5:G109,"시스템 캡처")</f>
        <v/>
      </c>
    </row>
    <row r="114">
      <c r="B114" s="17" t="inlineStr">
        <is>
          <t>자료·문서</t>
        </is>
      </c>
      <c r="C114" s="17">
        <f>COUNTIF(G5:G109,"자료·문서")</f>
        <v/>
      </c>
    </row>
    <row r="115">
      <c r="B115" s="17" t="inlineStr">
        <is>
          <t>수집 완료</t>
        </is>
      </c>
      <c r="C115" s="17">
        <f>COUNTIF(L5:L109,"O")&amp;" / "&amp;COUNTA(F5:F109)</f>
        <v/>
      </c>
    </row>
  </sheetData>
  <autoFilter ref="A4:M109">
    <filterColumn colId="6" hiddenButton="0" showButton="1">
      <filters>
        <filter val="시스템 캡처"/>
      </filters>
    </filterColumn>
    <filterColumn colId="11" hiddenButton="0" showButton="1">
      <filters blank="1"/>
    </filterColumn>
  </autoFilter>
  <dataValidations count="1">
    <dataValidation sqref="L5:L109" showDropDown="0" showInputMessage="0" showErrorMessage="0" allowBlank="1" type="list">
      <formula1>"O,X,대체"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2026-10-06T23:34:41Z</dcterms:created>
  <dcterms:modified xmlns:dcterms="http://purl.org/dc/terms/" xmlns:xsi="http://www.w3.org/2001/XMLSchema-instance" xsi:type="dcterms:W3CDTF">2026-10-15T04:55:58Z</dcterms:modified>
  <cp:lastModifiedBy>Jang Yun Jin(장윤진)</cp:lastModifiedBy>
</cp:coreProperties>
</file>