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9" fillId="11" borderId="2" applyAlignment="1" pivotButton="0" quotePrefix="0" xfId="0">
      <alignment horizontal="center" vertical="top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8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19" t="inlineStr">
        <is>
          <t>반영 완료</t>
        </is>
      </c>
      <c r="J5" s="20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19" t="inlineStr">
        <is>
          <t>반영 완료</t>
        </is>
      </c>
      <c r="J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6" t="inlineStr">
        <is>
          <t>미확인</t>
        </is>
      </c>
      <c r="J7" s="21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19" t="inlineStr">
        <is>
          <t>반영 완료</t>
        </is>
      </c>
      <c r="J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n"/>
      <c r="I9" s="6" t="inlineStr">
        <is>
          <t>미확인</t>
        </is>
      </c>
      <c r="J9" s="21" t="n"/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6" t="inlineStr">
        <is>
          <t>미확인</t>
        </is>
      </c>
      <c r="J10" s="21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n"/>
      <c r="I11" s="6" t="inlineStr">
        <is>
          <t>미확인</t>
        </is>
      </c>
      <c r="J11" s="21" t="n"/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22" t="inlineStr">
        <is>
          <t>반영 대기</t>
        </is>
      </c>
      <c r="J12" s="20" t="inlineStr">
        <is>
          <t>01은 이미 "트랙스로지스코리아(주)" 사용 → Ⅲ장 작성 메모에서 해당 줄 삭제. 제출서류_10종의 04·05·07·08과 ④·⑦·⑧ 등 기존 초안은 아직 미수정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6" t="inlineStr">
        <is>
          <t>미확인</t>
        </is>
      </c>
      <c r="J13" s="21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19" t="inlineStr">
        <is>
          <t>반영 완료</t>
        </is>
      </c>
      <c r="J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n"/>
      <c r="I15" s="6" t="inlineStr">
        <is>
          <t>미확인</t>
        </is>
      </c>
      <c r="J15" s="21" t="n"/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2" t="inlineStr">
        <is>
          <t>반영 대기</t>
        </is>
      </c>
      <c r="J16" s="20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 xml:space="preserve">둘 다 있음. </t>
        </is>
      </c>
      <c r="I17" s="19" t="inlineStr">
        <is>
          <t>반영 완료</t>
        </is>
      </c>
      <c r="J17" s="20" t="inlineStr">
        <is>
          <t>01 1.3.2 ① "기준재고 이하 시 자동 생성 + 필요 시 수동 등록"으로 수정, 3등급 유지, 작성 메모 삭제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19" t="inlineStr">
        <is>
          <t>반영 완료</t>
        </is>
      </c>
      <c r="J18" s="20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19" t="inlineStr">
        <is>
          <t>반영 완료</t>
        </is>
      </c>
      <c r="J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19" t="inlineStr">
        <is>
          <t>반영 완료</t>
        </is>
      </c>
      <c r="J20" s="20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19" t="inlineStr">
        <is>
          <t>반영 완료</t>
        </is>
      </c>
      <c r="J21" s="20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19" t="inlineStr">
        <is>
          <t>반영 완료</t>
        </is>
      </c>
      <c r="J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n"/>
      <c r="I23" s="6" t="inlineStr">
        <is>
          <t>미확인</t>
        </is>
      </c>
      <c r="J23" s="21" t="n"/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19" t="inlineStr">
        <is>
          <t>반영 완료</t>
        </is>
      </c>
      <c r="J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6" t="inlineStr">
        <is>
          <t>미확인</t>
        </is>
      </c>
      <c r="J25" s="21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6" t="inlineStr">
        <is>
          <t>미확인</t>
        </is>
      </c>
      <c r="J26" s="21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6" t="inlineStr">
        <is>
          <t>미확인</t>
        </is>
      </c>
      <c r="J27" s="21" t="n"/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6" t="inlineStr">
        <is>
          <t>미확인</t>
        </is>
      </c>
      <c r="J28" s="21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6" t="inlineStr">
        <is>
          <t>미확인</t>
        </is>
      </c>
      <c r="J29" s="21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6" t="inlineStr">
        <is>
          <t>미확인</t>
        </is>
      </c>
      <c r="J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6" t="inlineStr">
        <is>
          <t>미확인</t>
        </is>
      </c>
      <c r="J31" s="21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n"/>
      <c r="I32" s="6" t="inlineStr">
        <is>
          <t>미확인</t>
        </is>
      </c>
      <c r="J32" s="21" t="n"/>
    </row>
    <row r="33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문구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11" t="inlineStr">
        <is>
          <t>07 기술서·사용자매뉴얼의 "대량 SKU는 엑셀 일괄 정의" 문구를 실제 기능에 맞게 수정(모바일 SKU별 도착수량 입력)</t>
        </is>
      </c>
      <c r="G33" s="11" t="inlineStr">
        <is>
          <t>없음 (문서 정합성)</t>
        </is>
      </c>
      <c r="H33" s="27" t="inlineStr">
        <is>
          <t>SKU 일괄 정의 없음, 입고 수량도 모바일에서 SKU별 개별 입력</t>
        </is>
      </c>
      <c r="I33" s="28" t="inlineStr">
        <is>
          <t>반영 대기</t>
        </is>
      </c>
      <c r="J33" s="21" t="inlineStr">
        <is>
          <t>01 1.1.4를 "입고 SKU 화면 정의하기로 개별 정의"로 수정, 사진 1 교체. 1.1.5는 모바일 SKU별 도착수량 입력으로 수정(사진 3). 07 기술서·사용자매뉴얼은 미수정</t>
        </is>
      </c>
    </row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113"/>
  <sheetViews>
    <sheetView tabSelected="1" topLeftCell="C1" workbookViewId="0">
      <pane ySplit="4" topLeftCell="A7" activePane="bottomLeft" state="frozen"/>
      <selection pane="bottomLeft" activeCell="G18" sqref="G18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idden="1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idden="1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n"/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n"/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n"/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 hidden="1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8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idden="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8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8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n"/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8</v>
      </c>
      <c r="E13" s="10" t="inlineStr">
        <is>
          <t>[사진 4]</t>
        </is>
      </c>
      <c r="F13" s="11" t="inlineStr">
        <is>
          <t>SW(WMS) 공정별 인원관리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n"/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9" t="n">
        <v>10</v>
      </c>
      <c r="B14" s="29" t="inlineStr">
        <is>
          <t>1.1.2</t>
        </is>
      </c>
      <c r="C14" s="20" t="inlineStr">
        <is>
          <t>하역 작업</t>
        </is>
      </c>
      <c r="D14" s="29" t="n">
        <v>8</v>
      </c>
      <c r="E14" s="29" t="inlineStr">
        <is>
          <t>[사진 5]</t>
        </is>
      </c>
      <c r="F14" s="20" t="inlineStr">
        <is>
          <t>SW(WMS) 공정별 인원관리 – 기간별 작업 레포트</t>
        </is>
      </c>
      <c r="G14" s="30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1" t="n"/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9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9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n"/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9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n"/>
      <c r="M17" s="25" t="inlineStr">
        <is>
          <t>[강조] 하차 수량·검수 수량 기록 칸 / [의미] 입고 건별 하차·검수 수량을 시스템 양식으로 기록</t>
        </is>
      </c>
    </row>
    <row r="18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9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n"/>
      <c r="M18" s="25" t="inlineStr">
        <is>
          <t>[강조] "수량 불일치 경고" 문구와 보낸수량·도착수량 / [의미] 검수 시 예정 대비 차이를 시스템이 자동으로 경고</t>
        </is>
      </c>
    </row>
    <row r="19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10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n"/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10</v>
      </c>
      <c r="E20" s="10" t="inlineStr">
        <is>
          <t>[사진 2]</t>
        </is>
      </c>
      <c r="F20" s="11" t="inlineStr">
        <is>
          <t>SW(WMS) SKU 관리 화면 – 정의·미정의 SKU 현황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n"/>
      <c r="M20" s="25" t="inlineStr">
        <is>
          <t>[강조] 상단 통계 카드(정의됨·미정의·재고불일치), SKU별 바코드 / [의미] 상품정보가 WMS 마스터로 관리됨</t>
        </is>
      </c>
    </row>
    <row r="2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10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11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n"/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11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n"/>
      <c r="M23" s="25" t="inlineStr">
        <is>
          <t>[강조] 같은 SKU의 Smartship 재고 수량이 입고 확정 직후 증가한 화면(시각 표시) / [의미] WMS→OMS 재고 자동 반영</t>
        </is>
      </c>
    </row>
    <row r="24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11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2026-10-08 추가</t>
        </is>
      </c>
      <c r="J24" s="11" t="n"/>
      <c r="K24" s="11" t="inlineStr">
        <is>
          <t>1.1.5_사진3</t>
        </is>
      </c>
      <c r="L24" s="13" t="n"/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11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n"/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idden="1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12</v>
      </c>
      <c r="E26" s="10" t="inlineStr">
        <is>
          <t>[사진 1]</t>
        </is>
      </c>
      <c r="F26" s="11" t="inlineStr">
        <is>
          <t>PDA 추천 로케이션 화면 캡처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n"/>
      <c r="J26" s="11" t="n"/>
      <c r="K26" s="11" t="inlineStr">
        <is>
          <t>1.2.1_사진1</t>
        </is>
      </c>
      <c r="L26" s="13" t="n"/>
      <c r="M26" s="25" t="inlineStr">
        <is>
          <t>[강조] 파렛트 스캔 후 표시된 추천 로케이션(동일 SKU 기존 위치) / [의미] 적치 작업정보 실시간 제공 + 추천 규칙</t>
        </is>
      </c>
    </row>
    <row r="27" hidden="1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12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 hidden="1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13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13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idden="1" ht="27" customHeight="1">
      <c r="A30" s="10" t="n">
        <v>26</v>
      </c>
      <c r="B30" s="10" t="inlineStr">
        <is>
          <t>1.2.3</t>
        </is>
      </c>
      <c r="C30" s="11" t="inlineStr">
        <is>
          <t>작업경로 관리</t>
        </is>
      </c>
      <c r="D30" s="10" t="n">
        <v>14</v>
      </c>
      <c r="E30" s="10" t="inlineStr">
        <is>
          <t>[사진 1]</t>
        </is>
      </c>
      <c r="F30" s="11" t="inlineStr">
        <is>
          <t>레이아웃관리 화면 캡처</t>
        </is>
      </c>
      <c r="G30" s="15" t="inlineStr">
        <is>
          <t>시스템 캡처</t>
        </is>
      </c>
      <c r="H30" s="11" t="inlineStr">
        <is>
          <t>SW / Smartship / TLPS 화면 (4_시스템사용자매뉴얼 화면명 참고)</t>
        </is>
      </c>
      <c r="I30" s="11" t="n"/>
      <c r="J30" s="11" t="n"/>
      <c r="K30" s="11" t="inlineStr">
        <is>
          <t>1.2.3_사진1</t>
        </is>
      </c>
      <c r="L30" s="13" t="n"/>
      <c r="M30" s="25" t="inlineStr">
        <is>
          <t>[강조] 층·Zone·블록·셀 구조 트리, 레이아웃 배치 화면 / [의미] 보관 공간이 시스템에 구조화되어 경로 정보로 제공</t>
        </is>
      </c>
    </row>
    <row r="31" hidden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14</v>
      </c>
      <c r="E31" s="10" t="inlineStr">
        <is>
          <t>[사진 2]</t>
        </is>
      </c>
      <c r="F31" s="11" t="inlineStr">
        <is>
          <t>보관 영역 로케이션 배치도</t>
        </is>
      </c>
      <c r="G31" s="12" t="inlineStr">
        <is>
          <t>자료·문서</t>
        </is>
      </c>
      <c r="H31" s="11" t="inlineStr">
        <is>
          <t>관련 부서 보관 자료</t>
        </is>
      </c>
      <c r="I31" s="11" t="n"/>
      <c r="J31" s="11" t="n"/>
      <c r="K31" s="11" t="inlineStr">
        <is>
          <t>1.2.3_사진2</t>
        </is>
      </c>
      <c r="L31" s="13" t="n"/>
      <c r="M31" s="25" t="inlineStr">
        <is>
          <t>보관 영역의 열(Line)·로케이션 번호가 표시된 배치도(운영 Lay-out 활용 가능)</t>
        </is>
      </c>
    </row>
    <row r="32" ht="27" customHeight="1">
      <c r="A32" s="10" t="n">
        <v>28</v>
      </c>
      <c r="B32" s="10" t="inlineStr">
        <is>
          <t>1.2.4</t>
        </is>
      </c>
      <c r="C32" s="11" t="inlineStr">
        <is>
          <t>적치장소 식별 및 작업</t>
        </is>
      </c>
      <c r="D32" s="10" t="n">
        <v>15</v>
      </c>
      <c r="E32" s="10" t="inlineStr">
        <is>
          <t>[사진 1]</t>
        </is>
      </c>
      <c r="F32" s="11" t="inlineStr">
        <is>
          <t>로케이션 라벨 부착 사진</t>
        </is>
      </c>
      <c r="G32" s="14" t="inlineStr">
        <is>
          <t>현장사진</t>
        </is>
      </c>
      <c r="H32" s="11" t="inlineStr">
        <is>
          <t>보관 영역(셀렉티브 랙)</t>
        </is>
      </c>
      <c r="I32" s="11" t="n"/>
      <c r="J32" s="11" t="n"/>
      <c r="K32" s="11" t="inlineStr">
        <is>
          <t>1.2.4_사진1</t>
        </is>
      </c>
      <c r="L32" s="13" t="n"/>
      <c r="M32" s="25" t="inlineStr">
        <is>
          <t>랙 셀에 부착된 로케이션 바코드 라벨 근접 컷(번호 판독 가능하게)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15</v>
      </c>
      <c r="E33" s="10" t="inlineStr">
        <is>
          <t>[사진 2]</t>
        </is>
      </c>
      <c r="F33" s="11" t="inlineStr">
        <is>
          <t>셀 상세 화면 캡처</t>
        </is>
      </c>
      <c r="G33" s="15" t="inlineStr">
        <is>
          <t>시스템 캡처</t>
        </is>
      </c>
      <c r="H33" s="11" t="inlineStr">
        <is>
          <t>SW / Smartship / TLPS 화면 (4_시스템사용자매뉴얼 화면명 참고)</t>
        </is>
      </c>
      <c r="I33" s="11" t="n"/>
      <c r="J33" s="11" t="n"/>
      <c r="K33" s="11" t="inlineStr">
        <is>
          <t>1.2.4_사진2</t>
        </is>
      </c>
      <c r="L33" s="13" t="n"/>
      <c r="M33" s="25" t="inlineStr">
        <is>
          <t>[강조] 셀 번호 스캔 결과로 조회된 보관 SKU·수량 / [의미] 셀 스캔만으로 위치·재고 즉시 식별</t>
        </is>
      </c>
    </row>
    <row r="34" hidden="1" ht="27" customHeight="1">
      <c r="A34" s="10" t="n">
        <v>30</v>
      </c>
      <c r="B34" s="10" t="inlineStr">
        <is>
          <t>1.3.1</t>
        </is>
      </c>
      <c r="C34" s="11" t="inlineStr">
        <is>
          <t>재고조사의 수행 및 방법</t>
        </is>
      </c>
      <c r="D34" s="10" t="n">
        <v>16</v>
      </c>
      <c r="E34" s="10" t="inlineStr">
        <is>
          <t>[사진 1]</t>
        </is>
      </c>
      <c r="F34" s="11" t="inlineStr">
        <is>
          <t>재고실사 생성·수행 화면 캡처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n"/>
      <c r="J34" s="11" t="n"/>
      <c r="K34" s="11" t="inlineStr">
        <is>
          <t>1.3.1_사진1</t>
        </is>
      </c>
      <c r="L34" s="13" t="n"/>
      <c r="M34" s="25" t="inlineStr">
        <is>
          <t>[강조] 실사 세션 목록(정기·순환), 실사 수행 화면의 시스템 수량 vs 실물 수량 / [의미] 재고조사가 시스템으로 수행·자동 대조</t>
        </is>
      </c>
    </row>
    <row r="35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16</v>
      </c>
      <c r="E35" s="10" t="inlineStr">
        <is>
          <t>[사진 2]</t>
        </is>
      </c>
      <c r="F35" s="11" t="inlineStr">
        <is>
          <t>실사 결과 및 재고 조정 이력</t>
        </is>
      </c>
      <c r="G35" s="12" t="inlineStr">
        <is>
          <t>자료·문서</t>
        </is>
      </c>
      <c r="H35" s="11" t="inlineStr">
        <is>
          <t>관련 부서 보관 자료</t>
        </is>
      </c>
      <c r="I35" s="11" t="n"/>
      <c r="J35" s="11" t="n"/>
      <c r="K35" s="11" t="inlineStr">
        <is>
          <t>1.3.1_사진2</t>
        </is>
      </c>
      <c r="L35" s="13" t="n"/>
      <c r="M35" s="25" t="inlineStr">
        <is>
          <t>[강조] 실사 결과 차이 건수·조정 사유·조정 이력, 재고 정확도(%) / [의미] 차이 분석·피드백 실적</t>
        </is>
      </c>
    </row>
    <row r="36" ht="27" customHeight="1">
      <c r="A36" s="10" t="n">
        <v>32</v>
      </c>
      <c r="B36" s="10" t="inlineStr">
        <is>
          <t>1.3.2</t>
        </is>
      </c>
      <c r="C36" s="11" t="inlineStr">
        <is>
          <t>재고보충정보의 생성 및 지시</t>
        </is>
      </c>
      <c r="D36" s="10" t="n">
        <v>17</v>
      </c>
      <c r="E36" s="10" t="inlineStr">
        <is>
          <t>[사진 1]</t>
        </is>
      </c>
      <c r="F36" s="11" t="inlineStr">
        <is>
          <t>재고 재배치(보충) 화면 캡처</t>
        </is>
      </c>
      <c r="G36" s="15" t="inlineStr">
        <is>
          <t>시스템 캡처</t>
        </is>
      </c>
      <c r="H36" s="11" t="inlineStr">
        <is>
          <t>SW / Smartship / TLPS 화면 (4_시스템사용자매뉴얼 화면명 참고)</t>
        </is>
      </c>
      <c r="I36" s="11" t="n"/>
      <c r="J36" s="11" t="n"/>
      <c r="K36" s="11" t="inlineStr">
        <is>
          <t>1.3.2_사진1</t>
        </is>
      </c>
      <c r="L36" s="13" t="n"/>
      <c r="M36" s="25" t="inlineStr">
        <is>
          <t>[강조] 이동유형 '보충(R)', 자동 생성된 보충 요청과 상태(요청됨→완료) / [의미] 기준재고 기반 보충 요청 자동 생성·추적</t>
        </is>
      </c>
    </row>
    <row r="37" ht="27" customHeight="1">
      <c r="A37" s="10" t="n">
        <v>33</v>
      </c>
      <c r="B37" s="10" t="inlineStr">
        <is>
          <t>1.3.3</t>
        </is>
      </c>
      <c r="C37" s="11" t="inlineStr">
        <is>
          <t>재고 보관위치의 조정</t>
        </is>
      </c>
      <c r="D37" s="10" t="n">
        <v>18</v>
      </c>
      <c r="E37" s="10" t="inlineStr">
        <is>
          <t>[사진 1]</t>
        </is>
      </c>
      <c r="F37" s="11" t="inlineStr">
        <is>
          <t>재배치 상세 화면 캡처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n"/>
      <c r="J37" s="11" t="n"/>
      <c r="K37" s="11" t="inlineStr">
        <is>
          <t>1.3.3_사진1</t>
        </is>
      </c>
      <c r="L37" s="13" t="n"/>
      <c r="M37" s="25" t="inlineStr">
        <is>
          <t>[강조] 출발·도착 셀, 수량, 상태 버튼(이동진행·완료) / [의미] 보관위치 조정이 시스템에서 요청·확정·추적</t>
        </is>
      </c>
    </row>
    <row r="38" hidden="1" ht="27" customHeight="1">
      <c r="A38" s="10" t="n">
        <v>34</v>
      </c>
      <c r="B38" s="10" t="inlineStr">
        <is>
          <t>1.3.4</t>
        </is>
      </c>
      <c r="C38" s="11" t="inlineStr">
        <is>
          <t>보관장소의 모니터링 및 관리</t>
        </is>
      </c>
      <c r="D38" s="10" t="n">
        <v>19</v>
      </c>
      <c r="E38" s="10" t="inlineStr">
        <is>
          <t>[사진 1]</t>
        </is>
      </c>
      <c r="F38" s="11" t="inlineStr">
        <is>
          <t>전체 대시보드·대시보드 모니터 화면 캡처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n"/>
      <c r="J38" s="11" t="n"/>
      <c r="K38" s="11" t="inlineStr">
        <is>
          <t>1.3.4_사진1</t>
        </is>
      </c>
      <c r="L38" s="13" t="n"/>
      <c r="M38" s="25" t="inlineStr">
        <is>
          <t>[강조] 작업 상태·재고 수준·피킹/팩킹 진행률 그래프, 1분 자동 갱신 표시 / [의미] 보관 현황 실시간 모니터링</t>
        </is>
      </c>
    </row>
    <row r="39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19</v>
      </c>
      <c r="E39" s="10" t="inlineStr">
        <is>
          <t>[사진 2]</t>
        </is>
      </c>
      <c r="F39" s="11" t="inlineStr">
        <is>
          <t>현장 상황판 사진</t>
        </is>
      </c>
      <c r="G39" s="14" t="inlineStr">
        <is>
          <t>현장사진</t>
        </is>
      </c>
      <c r="H39" s="11" t="inlineStr">
        <is>
          <t>보관 영역 / 현장 상황판</t>
        </is>
      </c>
      <c r="I39" s="11" t="n"/>
      <c r="J39" s="11" t="n"/>
      <c r="K39" s="11" t="inlineStr">
        <is>
          <t>1.3.4_사진2</t>
        </is>
      </c>
      <c r="L39" s="13" t="n"/>
      <c r="M39" s="25" t="inlineStr">
        <is>
          <t>현장 대형 모니터에 대시보드가 띄워진 모습(작업 현장과 함께)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19</v>
      </c>
      <c r="E40" s="10" t="inlineStr">
        <is>
          <t>[사진 3]</t>
        </is>
      </c>
      <c r="F40" s="11" t="inlineStr">
        <is>
          <t>마감리포트 캡처</t>
        </is>
      </c>
      <c r="G40" s="15" t="inlineStr">
        <is>
          <t>시스템 캡처</t>
        </is>
      </c>
      <c r="H40" s="11" t="inlineStr">
        <is>
          <t>SW / Smartship / TLPS 화면 (4_시스템사용자매뉴얼 화면명 참고)</t>
        </is>
      </c>
      <c r="I40" s="11" t="n"/>
      <c r="J40" s="11" t="n"/>
      <c r="K40" s="11" t="inlineStr">
        <is>
          <t>1.3.4_사진3</t>
        </is>
      </c>
      <c r="L40" s="13" t="n"/>
      <c r="M40" s="25" t="inlineStr">
        <is>
          <t>[강조] 일·주·월 단위 마감 재고·입출고 집계 / [의미] 정기 분석으로 운영 개선에 활용(2등급 근거)</t>
        </is>
      </c>
    </row>
    <row r="41" ht="27" customHeight="1">
      <c r="A41" s="10" t="n">
        <v>37</v>
      </c>
      <c r="B41" s="10" t="inlineStr">
        <is>
          <t>1.3.5</t>
        </is>
      </c>
      <c r="C41" s="11" t="inlineStr">
        <is>
          <t>재고 이력(선입선출 등) 및 품질관리</t>
        </is>
      </c>
      <c r="D41" s="10" t="n">
        <v>20</v>
      </c>
      <c r="E41" s="10" t="inlineStr">
        <is>
          <t>[사진 1]</t>
        </is>
      </c>
      <c r="F41" s="11" t="inlineStr">
        <is>
          <t>유통기한·로트 그룹핑 화면 및 자동 할당 결과 캡처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n"/>
      <c r="J41" s="11" t="n"/>
      <c r="K41" s="11" t="inlineStr">
        <is>
          <t>1.3.5_사진1</t>
        </is>
      </c>
      <c r="L41" s="13" t="n"/>
      <c r="M41" s="25" t="inlineStr">
        <is>
          <t>[강조] 유통기한·로트 그룹핑 탭, 출고 할당 시 유통기한 빠른 순 자동 배정 결과 / [의미] FEFO/FIFO 시스템 자동 할당</t>
        </is>
      </c>
    </row>
    <row r="42" ht="27" customHeight="1">
      <c r="A42" s="10" t="n">
        <v>38</v>
      </c>
      <c r="B42" s="10" t="inlineStr">
        <is>
          <t>1.4.1</t>
        </is>
      </c>
      <c r="C42" s="11" t="inlineStr">
        <is>
          <t>작업정보의 생성 및 지시</t>
        </is>
      </c>
      <c r="D42" s="10" t="n">
        <v>21</v>
      </c>
      <c r="E42" s="10" t="inlineStr">
        <is>
          <t>[사진 1]</t>
        </is>
      </c>
      <c r="F42" s="11" t="inlineStr">
        <is>
          <t>픽킹 리스트 생성·관리 화면 캡처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n"/>
      <c r="J42" s="11" t="n"/>
      <c r="K42" s="11" t="inlineStr">
        <is>
          <t>1.4.1_사진1</t>
        </is>
      </c>
      <c r="L42" s="13" t="n"/>
      <c r="M42" s="25" t="inlineStr">
        <is>
          <t>[강조] 주문 필터(국내/해외·컷오프)와 생성된 픽킹 리스트 목록 / [의미] 실시간 작업지시 자동 생성</t>
        </is>
      </c>
    </row>
    <row r="43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21</v>
      </c>
      <c r="E43" s="10" t="inlineStr">
        <is>
          <t>[사진 2]</t>
        </is>
      </c>
      <c r="F43" s="11" t="inlineStr">
        <is>
          <t>PDA 피킹 지시 화면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n"/>
      <c r="J43" s="11" t="n"/>
      <c r="K43" s="11" t="inlineStr">
        <is>
          <t>1.4.1_사진2</t>
        </is>
      </c>
      <c r="L43" s="13" t="n"/>
      <c r="M43" s="25" t="inlineStr">
        <is>
          <t>[강조] PDA에 표시된 피킹 대상 로케이션·SKU·수량 / [의미] 작업지시가 현장 단말로 실시간 전달</t>
        </is>
      </c>
    </row>
    <row r="44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21</v>
      </c>
      <c r="E44" s="10" t="inlineStr">
        <is>
          <t>[사진 3]</t>
        </is>
      </c>
      <c r="F44" s="11" t="inlineStr">
        <is>
          <t>피킹 방식 자동 결정 결과(픽킹 리스트 유형) 화면</t>
        </is>
      </c>
      <c r="G44" s="23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inlineStr">
        <is>
          <t>2026-10-07 추가</t>
        </is>
      </c>
      <c r="J44" s="11" t="n"/>
      <c r="K44" s="11" t="inlineStr">
        <is>
          <t>1.4.1_사진3</t>
        </is>
      </c>
      <c r="L44" s="13" t="n"/>
      <c r="M44" s="25" t="inlineStr">
        <is>
          <t>[강조] 픽킹 리스트별 피킹 방식(총량·카트·동일패턴) 표시와 결정 기준 / [의미] 주문 구성에 따른 방식 자동 결정(2등급 근거)</t>
        </is>
      </c>
    </row>
    <row r="45" hidden="1" ht="27" customHeight="1">
      <c r="A45" s="10" t="n">
        <v>41</v>
      </c>
      <c r="B45" s="10" t="inlineStr">
        <is>
          <t>1.4.2</t>
        </is>
      </c>
      <c r="C45" s="11" t="inlineStr">
        <is>
          <t>작업정보의 확인 방법</t>
        </is>
      </c>
      <c r="D45" s="10" t="n">
        <v>22</v>
      </c>
      <c r="E45" s="10" t="inlineStr">
        <is>
          <t>[사진 1]</t>
        </is>
      </c>
      <c r="F45" s="11" t="inlineStr">
        <is>
          <t>PDA 피킹 화면</t>
        </is>
      </c>
      <c r="G45" s="15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n"/>
      <c r="J45" s="11" t="n"/>
      <c r="K45" s="11" t="inlineStr">
        <is>
          <t>1.4.2_사진1</t>
        </is>
      </c>
      <c r="L45" s="13" t="n"/>
      <c r="M45" s="25" t="inlineStr">
        <is>
          <t>[강조] PDA 피킹 화면의 로케이션·SKU·수량·진행률 / [의미] 작업정보를 단말에서 실시간 확인</t>
        </is>
      </c>
    </row>
    <row r="46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22</v>
      </c>
      <c r="E46" s="10" t="inlineStr">
        <is>
          <t>[사진 2]</t>
        </is>
      </c>
      <c r="F46" s="11" t="inlineStr">
        <is>
          <t>PTL 점등 사진</t>
        </is>
      </c>
      <c r="G46" s="14" t="inlineStr">
        <is>
          <t>현장사진</t>
        </is>
      </c>
      <c r="H46" s="11" t="inlineStr">
        <is>
          <t>피킹·분류 영역</t>
        </is>
      </c>
      <c r="I46" s="11" t="n"/>
      <c r="J46" s="11" t="n"/>
      <c r="K46" s="11" t="inlineStr">
        <is>
          <t>1.4.2_사진2</t>
        </is>
      </c>
      <c r="L46" s="13" t="n"/>
      <c r="M46" s="25" t="inlineStr">
        <is>
          <t>PTL 표시등이 점등된 칸과 작업자가 투입하는 장면(점등 숫자 보이게)</t>
        </is>
      </c>
    </row>
    <row r="47" hidden="1">
      <c r="A47" s="10" t="n">
        <v>43</v>
      </c>
      <c r="B47" s="10" t="inlineStr">
        <is>
          <t>1.4.3</t>
        </is>
      </c>
      <c r="C47" s="11" t="inlineStr">
        <is>
          <t>작업경로의 실시간 관리</t>
        </is>
      </c>
      <c r="D47" s="10" t="n">
        <v>23</v>
      </c>
      <c r="E47" s="10" t="inlineStr">
        <is>
          <t>[사진 1]</t>
        </is>
      </c>
      <c r="F47" s="11" t="inlineStr">
        <is>
          <t>픽킹 리스트 상세(로케이션 순) 캡처</t>
        </is>
      </c>
      <c r="G47" s="15" t="inlineStr">
        <is>
          <t>시스템 캡처</t>
        </is>
      </c>
      <c r="H47" s="11" t="inlineStr">
        <is>
          <t>SW / Smartship / TLPS 화면 (4_시스템사용자매뉴얼 화면명 참고)</t>
        </is>
      </c>
      <c r="I47" s="11" t="n"/>
      <c r="J47" s="11" t="n"/>
      <c r="K47" s="11" t="inlineStr">
        <is>
          <t>1.4.3_사진1</t>
        </is>
      </c>
      <c r="L47" s="13" t="n"/>
      <c r="M47" s="25" t="inlineStr">
        <is>
          <t>[강조] 로케이션 순으로 정렬된 피킹 순서 / [의미] 이동 경로가 시스템에서 생성·전달(3등급 근거)</t>
        </is>
      </c>
    </row>
    <row r="48" ht="27" customHeight="1">
      <c r="A48" s="10" t="n">
        <v>44</v>
      </c>
      <c r="B48" s="10" t="inlineStr">
        <is>
          <t>1.4.4</t>
        </is>
      </c>
      <c r="C48" s="11" t="inlineStr">
        <is>
          <t>피킹 장소의 확인 및 작업</t>
        </is>
      </c>
      <c r="D48" s="10" t="n">
        <v>24</v>
      </c>
      <c r="E48" s="10" t="inlineStr">
        <is>
          <t>[사진 1]</t>
        </is>
      </c>
      <c r="F48" s="11" t="inlineStr">
        <is>
          <t>카트피킹 작업 사진</t>
        </is>
      </c>
      <c r="G48" s="14" t="inlineStr">
        <is>
          <t>현장사진</t>
        </is>
      </c>
      <c r="H48" s="11" t="inlineStr">
        <is>
          <t>피킹·분류 영역</t>
        </is>
      </c>
      <c r="I48" s="11" t="n"/>
      <c r="J48" s="11" t="n"/>
      <c r="K48" s="11" t="inlineStr">
        <is>
          <t>1.4.4_사진1</t>
        </is>
      </c>
      <c r="L48" s="13" t="n"/>
      <c r="M48" s="25" t="inlineStr">
        <is>
          <t>카트피킹 장비로 피킹하며 PDA를 스캔하는 장면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24</v>
      </c>
      <c r="E49" s="10" t="inlineStr">
        <is>
          <t>[사진 2]</t>
        </is>
      </c>
      <c r="F49" s="11" t="inlineStr">
        <is>
          <t>PDA 스캔 검증 화면</t>
        </is>
      </c>
      <c r="G49" s="15" t="inlineStr">
        <is>
          <t>시스템 캡처</t>
        </is>
      </c>
      <c r="H49" s="11" t="inlineStr">
        <is>
          <t>SW / Smartship / TLPS 화면 (4_시스템사용자매뉴얼 화면명 참고)</t>
        </is>
      </c>
      <c r="I49" s="11" t="n"/>
      <c r="J49" s="11" t="n"/>
      <c r="K49" s="11" t="inlineStr">
        <is>
          <t>1.4.4_사진2</t>
        </is>
      </c>
      <c r="L49" s="13" t="n"/>
      <c r="M49" s="25" t="inlineStr">
        <is>
          <t>[강조] 스캔 성공(일치)·불일치 경고 화면 / [의미] 피킹 장소·상품 실시간 스캔 검증</t>
        </is>
      </c>
    </row>
    <row r="50" hidden="1" ht="27" customHeight="1">
      <c r="A50" s="10" t="n">
        <v>46</v>
      </c>
      <c r="B50" s="10" t="inlineStr">
        <is>
          <t>1.4.5</t>
        </is>
      </c>
      <c r="C50" s="11" t="inlineStr">
        <is>
          <t>분류정보의 생성 및 지시</t>
        </is>
      </c>
      <c r="D50" s="10" t="n">
        <v>25</v>
      </c>
      <c r="E50" s="10" t="inlineStr">
        <is>
          <t>[사진 1]</t>
        </is>
      </c>
      <c r="F50" s="11" t="inlineStr">
        <is>
          <t>슈트 설정 화면 캡처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n"/>
      <c r="J50" s="11" t="n"/>
      <c r="K50" s="11" t="inlineStr">
        <is>
          <t>1.4.5_사진1</t>
        </is>
      </c>
      <c r="L50" s="13" t="n"/>
      <c r="M50" s="25" t="inlineStr">
        <is>
          <t>[강조] 슈트별 분류코드·Route 매핑, 변경 즉시 반영(웹소켓) / [의미] 분류정보 실시간 생성·지시</t>
        </is>
      </c>
    </row>
    <row r="51" hidden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25</v>
      </c>
      <c r="E51" s="10" t="inlineStr">
        <is>
          <t>[사진 2]</t>
        </is>
      </c>
      <c r="F51" s="11" t="inlineStr">
        <is>
          <t>분류 영역 전경 사진</t>
        </is>
      </c>
      <c r="G51" s="14" t="inlineStr">
        <is>
          <t>현장사진</t>
        </is>
      </c>
      <c r="H51" s="11" t="inlineStr">
        <is>
          <t>피킹·분류 영역</t>
        </is>
      </c>
      <c r="I51" s="11" t="n"/>
      <c r="J51" s="11" t="n"/>
      <c r="K51" s="11" t="inlineStr">
        <is>
          <t>1.4.5_사진2</t>
        </is>
      </c>
      <c r="L51" s="13" t="n"/>
      <c r="M51" s="25" t="inlineStr">
        <is>
          <t>분류 영역 전경(컨베이어·소터·슈트가 한 화면에 들어오게)</t>
        </is>
      </c>
    </row>
    <row r="52" ht="27" customHeight="1">
      <c r="A52" s="10" t="n">
        <v>48</v>
      </c>
      <c r="B52" s="10" t="inlineStr">
        <is>
          <t>1.4.6</t>
        </is>
      </c>
      <c r="C52" s="11" t="inlineStr">
        <is>
          <t>분류 작업</t>
        </is>
      </c>
      <c r="D52" s="10" t="n">
        <v>26</v>
      </c>
      <c r="E52" s="10" t="inlineStr">
        <is>
          <t>[사진 1]</t>
        </is>
      </c>
      <c r="F52" s="11" t="inlineStr">
        <is>
          <t>휠소터·3D 소터·싱귤레이터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inlineStr">
        <is>
          <t>설비별로 따로 찍어도 됨</t>
        </is>
      </c>
      <c r="J52" s="11" t="n"/>
      <c r="K52" s="11" t="inlineStr">
        <is>
          <t>1.4.6_사진1</t>
        </is>
      </c>
      <c r="L52" s="13" t="n"/>
      <c r="M52" s="25" t="inlineStr">
        <is>
          <t>휠소터·3D 소터·싱귤레이터 각각 + 작동 중인 컷(설비명 라벨 있으면 함께)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26</v>
      </c>
      <c r="E53" s="10" t="inlineStr">
        <is>
          <t>[사진 2]</t>
        </is>
      </c>
      <c r="F53" s="11" t="inlineStr">
        <is>
          <t>소터 모니터링 화면 캡처</t>
        </is>
      </c>
      <c r="G53" s="15" t="inlineStr">
        <is>
          <t>시스템 캡처</t>
        </is>
      </c>
      <c r="H53" s="11" t="inlineStr">
        <is>
          <t>SW / Smartship / TLPS 화면 (4_시스템사용자매뉴얼 화면명 참고)</t>
        </is>
      </c>
      <c r="I53" s="11" t="n"/>
      <c r="J53" s="11" t="n"/>
      <c r="K53" s="11" t="inlineStr">
        <is>
          <t>1.4.6_사진2</t>
        </is>
      </c>
      <c r="L53" s="13" t="n"/>
      <c r="M53" s="25" t="inlineStr">
        <is>
          <t>[강조] 투입구/슈트별 시간대 분류 건수 매트릭스, 엑셀 다운로드 / [의미] 분류 결과 실시간 회신·실적 분석</t>
        </is>
      </c>
    </row>
    <row r="54" hidden="1" ht="27" customHeight="1">
      <c r="A54" s="10" t="n">
        <v>50</v>
      </c>
      <c r="B54" s="10" t="inlineStr">
        <is>
          <t>1.5.1</t>
        </is>
      </c>
      <c r="C54" s="11" t="inlineStr">
        <is>
          <t>포장장소로의 정보 제공 및 이동</t>
        </is>
      </c>
      <c r="D54" s="10" t="n">
        <v>27</v>
      </c>
      <c r="E54" s="10" t="inlineStr">
        <is>
          <t>[사진 1]</t>
        </is>
      </c>
      <c r="F54" s="11" t="inlineStr">
        <is>
          <t>패킹 리스트 화면 캡처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n"/>
      <c r="J54" s="11" t="n"/>
      <c r="K54" s="11" t="inlineStr">
        <is>
          <t>1.5.1_사진1</t>
        </is>
      </c>
      <c r="L54" s="13" t="n"/>
      <c r="M54" s="25" t="inlineStr">
        <is>
          <t>[강조] 포장 대상 주문 목록·상태 / [의미] 포장장소로 작업정보 실시간 제공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27</v>
      </c>
      <c r="E55" s="10" t="inlineStr">
        <is>
          <t>[사진 2]</t>
        </is>
      </c>
      <c r="F55" s="11" t="inlineStr">
        <is>
          <t>포장대 전경 사진</t>
        </is>
      </c>
      <c r="G55" s="14" t="inlineStr">
        <is>
          <t>현장사진</t>
        </is>
      </c>
      <c r="H55" s="11" t="inlineStr">
        <is>
          <t>검품·포장 영역</t>
        </is>
      </c>
      <c r="I55" s="11" t="n"/>
      <c r="J55" s="11" t="n"/>
      <c r="K55" s="11" t="inlineStr">
        <is>
          <t>1.5.1_사진2</t>
        </is>
      </c>
      <c r="L55" s="13" t="n"/>
      <c r="M55" s="25" t="inlineStr">
        <is>
          <t>포장대 6식이 보이는 전경. 포장대 단말·프린터가 함께 보이게</t>
        </is>
      </c>
    </row>
    <row r="56" ht="27" customHeight="1">
      <c r="A56" s="10" t="n">
        <v>52</v>
      </c>
      <c r="B56" s="10" t="inlineStr">
        <is>
          <t>1.5.2</t>
        </is>
      </c>
      <c r="C56" s="11" t="inlineStr">
        <is>
          <t>포장재 및 포장물품 관리</t>
        </is>
      </c>
      <c r="D56" s="10" t="n">
        <v>28</v>
      </c>
      <c r="E56" s="10" t="inlineStr">
        <is>
          <t>[사진 1]</t>
        </is>
      </c>
      <c r="F56" s="11" t="inlineStr">
        <is>
          <t>포장재 보관 구역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1.5.2_사진1</t>
        </is>
      </c>
      <c r="L56" s="13" t="n"/>
      <c r="M56" s="25" t="inlineStr">
        <is>
          <t>박스·완충재가 규격별로 정리된 보관 구역(규격 표시가 보이게)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28</v>
      </c>
      <c r="E57" s="10" t="inlineStr">
        <is>
          <t>[사진 2]</t>
        </is>
      </c>
      <c r="F57" s="11" t="inlineStr">
        <is>
          <t>포장재 재고관리 화면 캡처</t>
        </is>
      </c>
      <c r="G57" s="23" t="inlineStr">
        <is>
          <t>시스템 캡처</t>
        </is>
      </c>
      <c r="H57" s="11" t="inlineStr">
        <is>
          <t>SW / Smartship / TLPS 화면 (4_시스템사용자매뉴얼 화면명 참고)</t>
        </is>
      </c>
      <c r="I57" s="11" t="inlineStr">
        <is>
          <t>2026-10-07 추가</t>
        </is>
      </c>
      <c r="J57" s="11" t="n"/>
      <c r="K57" s="11" t="inlineStr">
        <is>
          <t>1.5.2_사진2</t>
        </is>
      </c>
      <c r="L57" s="13" t="n"/>
      <c r="M57" s="25" t="inlineStr">
        <is>
          <t>[강조] 포장재 품목별 입고·출고·잔량 / [의미] 포장재 재고를 시스템에서 관리(3등급 근거)</t>
        </is>
      </c>
    </row>
    <row r="58" ht="27" customHeight="1">
      <c r="A58" s="10" t="n">
        <v>54</v>
      </c>
      <c r="B58" s="10" t="inlineStr">
        <is>
          <t>1.5.3</t>
        </is>
      </c>
      <c r="C58" s="11" t="inlineStr">
        <is>
          <t>검품/검수 및 오류관리(인식 및 처리)</t>
        </is>
      </c>
      <c r="D58" s="10" t="n">
        <v>29</v>
      </c>
      <c r="E58" s="10" t="inlineStr">
        <is>
          <t>[사진 1]</t>
        </is>
      </c>
      <c r="F58" s="11" t="inlineStr">
        <is>
          <t>검품 스캔 화면</t>
        </is>
      </c>
      <c r="G58" s="15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n"/>
      <c r="J58" s="11" t="n"/>
      <c r="K58" s="11" t="inlineStr">
        <is>
          <t>1.5.3_사진1</t>
        </is>
      </c>
      <c r="L58" s="13" t="n"/>
      <c r="M58" s="25" t="inlineStr">
        <is>
          <t>[강조] 검품 스캔 결과(SKU·수량 일치/불일치) / [의미] 검품 오류 실시간 인식</t>
        </is>
      </c>
    </row>
    <row r="59" hidden="1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29</v>
      </c>
      <c r="E59" s="10" t="inlineStr">
        <is>
          <t>[사진 2]</t>
        </is>
      </c>
      <c r="F59" s="11" t="inlineStr">
        <is>
          <t>녹화 영상 조회 화면 캡처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n"/>
      <c r="J59" s="11" t="n"/>
      <c r="K59" s="11" t="inlineStr">
        <is>
          <t>1.5.3_사진2</t>
        </is>
      </c>
      <c r="L59" s="13" t="n"/>
      <c r="M59" s="25" t="inlineStr">
        <is>
          <t>[강조] 주문번호로 검색한 녹화 영상과 재생 화면 / [의미] 검품·포장 전 과정 영상이 주문 단위로 매핑되어 즉시 조회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29</v>
      </c>
      <c r="E60" s="10" t="inlineStr">
        <is>
          <t>[사진 3]</t>
        </is>
      </c>
      <c r="F60" s="11" t="inlineStr">
        <is>
          <t>DWS 계측 사진</t>
        </is>
      </c>
      <c r="G60" s="14" t="inlineStr">
        <is>
          <t>현장사진</t>
        </is>
      </c>
      <c r="H60" s="11" t="inlineStr">
        <is>
          <t>검품·포장 영역</t>
        </is>
      </c>
      <c r="I60" s="11" t="n"/>
      <c r="J60" s="11" t="n"/>
      <c r="K60" s="11" t="inlineStr">
        <is>
          <t>1.5.3_사진3</t>
        </is>
      </c>
      <c r="L60" s="13" t="n"/>
      <c r="M60" s="25" t="inlineStr">
        <is>
          <t>DWS로 박스를 계측하는 장면 + 측정값(가로·세로·높이·무게) 표시 화면</t>
        </is>
      </c>
    </row>
    <row r="61" hidden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29</v>
      </c>
      <c r="E61" s="10" t="inlineStr">
        <is>
          <t>[사진 4]</t>
        </is>
      </c>
      <c r="F61" s="11" t="inlineStr">
        <is>
          <t>이상/클레임 보고서 양식</t>
        </is>
      </c>
      <c r="G61" s="12" t="inlineStr">
        <is>
          <t>자료·문서</t>
        </is>
      </c>
      <c r="H61" s="11" t="inlineStr">
        <is>
          <t>관련 부서 보관 자료</t>
        </is>
      </c>
      <c r="I61" s="11" t="n"/>
      <c r="J61" s="11" t="n"/>
      <c r="K61" s="11" t="inlineStr">
        <is>
          <t>1.5.3_사진4</t>
        </is>
      </c>
      <c r="L61" s="13" t="n"/>
      <c r="M61" s="25" t="inlineStr">
        <is>
          <t>원인분석(RCA)·재발방지 칸이 있는 실제 작성 사례(고객 정보 가림)</t>
        </is>
      </c>
    </row>
    <row r="62" hidden="1" ht="27" customHeight="1">
      <c r="A62" s="10" t="n">
        <v>58</v>
      </c>
      <c r="B62" s="10" t="inlineStr">
        <is>
          <t>1.5.4</t>
        </is>
      </c>
      <c r="C62" s="11" t="inlineStr">
        <is>
          <t>포장 작업</t>
        </is>
      </c>
      <c r="D62" s="10" t="n">
        <v>30</v>
      </c>
      <c r="E62" s="10" t="inlineStr">
        <is>
          <t>[사진 1]</t>
        </is>
      </c>
      <c r="F62" s="11" t="inlineStr">
        <is>
          <t>포장대·봉함기 사진</t>
        </is>
      </c>
      <c r="G62" s="14" t="inlineStr">
        <is>
          <t>현장사진</t>
        </is>
      </c>
      <c r="H62" s="11" t="inlineStr">
        <is>
          <t>검품·포장 영역</t>
        </is>
      </c>
      <c r="I62" s="11" t="n"/>
      <c r="J62" s="11" t="n"/>
      <c r="K62" s="11" t="inlineStr">
        <is>
          <t>1.5.4_사진1</t>
        </is>
      </c>
      <c r="L62" s="13" t="n"/>
      <c r="M62" s="25" t="inlineStr">
        <is>
          <t>포장대에서 포장 후 봉함기로 자동 봉함되는 장면</t>
        </is>
      </c>
    </row>
    <row r="63" ht="27" customHeight="1">
      <c r="A63" s="10" t="n">
        <v>59</v>
      </c>
      <c r="B63" s="10" t="inlineStr">
        <is>
          <t>1.5.5</t>
        </is>
      </c>
      <c r="C63" s="11" t="inlineStr">
        <is>
          <t>배송정보 표시(라벨) 및 부착</t>
        </is>
      </c>
      <c r="D63" s="10" t="n">
        <v>31</v>
      </c>
      <c r="E63" s="10" t="inlineStr">
        <is>
          <t>[사진 1]</t>
        </is>
      </c>
      <c r="F63" s="11" t="inlineStr">
        <is>
          <t>오토라벨러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1.5.5_사진1</t>
        </is>
      </c>
      <c r="L63" s="13" t="n"/>
      <c r="M63" s="25" t="inlineStr">
        <is>
          <t>오토라벨러가 박스에 송장을 자동 부착하는 장면(작동 중 컷)</t>
        </is>
      </c>
    </row>
    <row r="64" hidden="1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31</v>
      </c>
      <c r="E64" s="10" t="inlineStr">
        <is>
          <t>[사진 2]</t>
        </is>
      </c>
      <c r="F64" s="11" t="inlineStr">
        <is>
          <t>송장 출력 화면</t>
        </is>
      </c>
      <c r="G64" s="15" t="inlineStr">
        <is>
          <t>시스템 캡처</t>
        </is>
      </c>
      <c r="H64" s="11" t="inlineStr">
        <is>
          <t>SW / Smartship / TLPS 화면 (4_시스템사용자매뉴얼 화면명 참고)</t>
        </is>
      </c>
      <c r="I64" s="11" t="n"/>
      <c r="J64" s="11" t="n"/>
      <c r="K64" s="11" t="inlineStr">
        <is>
          <t>1.5.5_사진2</t>
        </is>
      </c>
      <c r="L64" s="13" t="n"/>
      <c r="M64" s="25" t="inlineStr">
        <is>
          <t>[강조] 패킹 완료 시 자동 출력된 송장 정보 / [의미] 배송정보가 주문·운송 정보와 자동 매칭되어 발행</t>
        </is>
      </c>
    </row>
    <row r="65" ht="27" customHeight="1">
      <c r="A65" s="10" t="n">
        <v>61</v>
      </c>
      <c r="B65" s="10" t="inlineStr">
        <is>
          <t>1.6.1</t>
        </is>
      </c>
      <c r="C65" s="11" t="inlineStr">
        <is>
          <t>발주처별 분류</t>
        </is>
      </c>
      <c r="D65" s="10" t="n">
        <v>32</v>
      </c>
      <c r="E65" s="10" t="inlineStr">
        <is>
          <t>[사진 1]</t>
        </is>
      </c>
      <c r="F65" s="11" t="inlineStr">
        <is>
          <t>슈트별 분류 사진</t>
        </is>
      </c>
      <c r="G65" s="14" t="inlineStr">
        <is>
          <t>현장사진</t>
        </is>
      </c>
      <c r="H65" s="11" t="inlineStr">
        <is>
          <t>상차·출고 도크</t>
        </is>
      </c>
      <c r="I65" s="11" t="n"/>
      <c r="J65" s="11" t="n"/>
      <c r="K65" s="11" t="inlineStr">
        <is>
          <t>1.6.1_사진1</t>
        </is>
      </c>
      <c r="L65" s="13" t="n"/>
      <c r="M65" s="25" t="inlineStr">
        <is>
          <t>목적지·Route별 슈트에 화물이 모인 모습(슈트 번호 표지 보이게)</t>
        </is>
      </c>
    </row>
    <row r="66" hidden="1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32</v>
      </c>
      <c r="E66" s="10" t="inlineStr">
        <is>
          <t>[사진 2]</t>
        </is>
      </c>
      <c r="F66" s="11" t="inlineStr">
        <is>
          <t>번들 검증 PDA 화면</t>
        </is>
      </c>
      <c r="G66" s="15" t="inlineStr">
        <is>
          <t>시스템 캡처</t>
        </is>
      </c>
      <c r="H66" s="11" t="inlineStr">
        <is>
          <t>SW / Smartship / TLPS 화면 (4_시스템사용자매뉴얼 화면명 참고)</t>
        </is>
      </c>
      <c r="I66" s="11" t="n"/>
      <c r="J66" s="11" t="n"/>
      <c r="K66" s="11" t="inlineStr">
        <is>
          <t>1.6.1_사진2</t>
        </is>
      </c>
      <c r="L66" s="13" t="n"/>
      <c r="M66" s="25" t="inlineStr">
        <is>
          <t>[강조] MAWB·번들팩·Route 스캔 검증 결과(일치/불일치) / [의미] 배송처별 분류 실시간 검증</t>
        </is>
      </c>
    </row>
    <row r="67" ht="27" customHeight="1">
      <c r="A67" s="10" t="n">
        <v>63</v>
      </c>
      <c r="B67" s="10" t="inlineStr">
        <is>
          <t>1.6.2</t>
        </is>
      </c>
      <c r="C67" s="11" t="inlineStr">
        <is>
          <t>차량입차정보의 인식</t>
        </is>
      </c>
      <c r="D67" s="10" t="n">
        <v>33</v>
      </c>
      <c r="E67" s="10" t="inlineStr">
        <is>
          <t>[사진 1]</t>
        </is>
      </c>
      <c r="F67" s="11" t="inlineStr">
        <is>
          <t>상차 도크 사진</t>
        </is>
      </c>
      <c r="G67" s="14" t="inlineStr">
        <is>
          <t>현장사진</t>
        </is>
      </c>
      <c r="H67" s="11" t="inlineStr">
        <is>
          <t>상차·출고 도크</t>
        </is>
      </c>
      <c r="I67" s="11" t="n"/>
      <c r="J67" s="11" t="n"/>
      <c r="K67" s="11" t="inlineStr">
        <is>
          <t>1.6.2_사진1</t>
        </is>
      </c>
      <c r="L67" s="13" t="n"/>
      <c r="M67" s="25" t="inlineStr">
        <is>
          <t>상차 도크 전경(OPS·택배·B2B 상차 도크 구분 표시 보이게)</t>
        </is>
      </c>
    </row>
    <row r="68" hidden="1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33</v>
      </c>
      <c r="E68" s="10" t="inlineStr">
        <is>
          <t>[사진 2]</t>
        </is>
      </c>
      <c r="F68" s="11" t="inlineStr">
        <is>
          <t>TLPS 인계 일정 화면</t>
        </is>
      </c>
      <c r="G68" s="15" t="inlineStr">
        <is>
          <t>시스템 캡처</t>
        </is>
      </c>
      <c r="H68" s="11" t="inlineStr">
        <is>
          <t>SW / Smartship / TLPS 화면 (4_시스템사용자매뉴얼 화면명 참고)</t>
        </is>
      </c>
      <c r="I68" s="11" t="inlineStr">
        <is>
          <t>확인필요 No.18 결과에 따라 유지</t>
        </is>
      </c>
      <c r="J68" s="11" t="n"/>
      <c r="K68" s="11" t="inlineStr">
        <is>
          <t>1.6.2_사진2</t>
        </is>
      </c>
      <c r="L68" s="13" t="n"/>
      <c r="M68" s="25" t="inlineStr">
        <is>
          <t>[강조] 택배사·조업사별 인계 마감 시각 목록 / [의미] 인계 일정은 시스템에서 관리(차량 인식은 현장 확인)</t>
        </is>
      </c>
    </row>
    <row r="69" ht="27" customHeight="1">
      <c r="A69" s="10" t="n">
        <v>65</v>
      </c>
      <c r="B69" s="10" t="inlineStr">
        <is>
          <t>1.6.3</t>
        </is>
      </c>
      <c r="C69" s="11" t="inlineStr">
        <is>
          <t>상차순서 관리 및 작업</t>
        </is>
      </c>
      <c r="D69" s="10" t="n">
        <v>34</v>
      </c>
      <c r="E69" s="10" t="inlineStr">
        <is>
          <t>[사진 1]</t>
        </is>
      </c>
      <c r="F69" s="11" t="inlineStr">
        <is>
          <t>상차 작업 사진</t>
        </is>
      </c>
      <c r="G69" s="14" t="inlineStr">
        <is>
          <t>현장사진</t>
        </is>
      </c>
      <c r="H69" s="11" t="inlineStr">
        <is>
          <t>상차·출고 도크</t>
        </is>
      </c>
      <c r="I69" s="11" t="n"/>
      <c r="J69" s="11" t="n"/>
      <c r="K69" s="11" t="inlineStr">
        <is>
          <t>1.6.3_사진1</t>
        </is>
      </c>
      <c r="L69" s="13" t="n"/>
      <c r="M69" s="25" t="inlineStr">
        <is>
          <t>번들팩을 스캔하며 차량에 상차하는 장면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34</v>
      </c>
      <c r="E70" s="10" t="inlineStr">
        <is>
          <t>[사진 2]</t>
        </is>
      </c>
      <c r="F70" s="11" t="inlineStr">
        <is>
          <t>인계 확인(스캔) 화면</t>
        </is>
      </c>
      <c r="G70" s="15" t="inlineStr">
        <is>
          <t>시스템 캡처</t>
        </is>
      </c>
      <c r="H70" s="11" t="inlineStr">
        <is>
          <t>SW / Smartship / TLPS 화면 (4_시스템사용자매뉴얼 화면명 참고)</t>
        </is>
      </c>
      <c r="I70" s="11" t="n"/>
      <c r="J70" s="11" t="n"/>
      <c r="K70" s="11" t="inlineStr">
        <is>
          <t>1.6.3_사진2</t>
        </is>
      </c>
      <c r="L70" s="13" t="n"/>
      <c r="M70" s="25" t="inlineStr">
        <is>
          <t>[강조] 인계 수량·번들팩 스캔 결과, 인계 확인 시각 / [의미] 상차·인계 정보 온라인 확인</t>
        </is>
      </c>
    </row>
    <row r="71" ht="27" customHeight="1">
      <c r="A71" s="10" t="n">
        <v>67</v>
      </c>
      <c r="B71" s="10" t="inlineStr">
        <is>
          <t>1.6.4</t>
        </is>
      </c>
      <c r="C71" s="11" t="inlineStr">
        <is>
          <t>출고정보의 전달</t>
        </is>
      </c>
      <c r="D71" s="10" t="n">
        <v>35</v>
      </c>
      <c r="E71" s="10" t="inlineStr">
        <is>
          <t>[사진 1]</t>
        </is>
      </c>
      <c r="F71" s="11" t="inlineStr">
        <is>
          <t>출고 확정·송장 조회 화면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n"/>
      <c r="J71" s="11" t="n"/>
      <c r="K71" s="11" t="inlineStr">
        <is>
          <t>1.6.4_사진1</t>
        </is>
      </c>
      <c r="L71" s="13" t="n"/>
      <c r="M71" s="25" t="inlineStr">
        <is>
          <t>[강조] 출고 확정 시각, 송장번호, Smartship·TLPS 반영 상태 / [의미] 출고정보가 시스템 간 실시간 자동 전달</t>
        </is>
      </c>
    </row>
    <row r="72" hidden="1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35</v>
      </c>
      <c r="E72" s="10" t="inlineStr">
        <is>
          <t>[사진 2]</t>
        </is>
      </c>
      <c r="F72" s="11" t="inlineStr">
        <is>
          <t>출고 영상 매핑 화면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n"/>
      <c r="J72" s="11" t="n"/>
      <c r="K72" s="11" t="inlineStr">
        <is>
          <t>1.6.4_사진2</t>
        </is>
      </c>
      <c r="L72" s="13" t="n"/>
      <c r="M72" s="25" t="inlineStr">
        <is>
          <t>[강조] 주문번호와 연결된 출고 영상 목록 / [의미] 출고 증빙이 주문 단위로 자동 매핑</t>
        </is>
      </c>
    </row>
    <row r="73" hidden="1" ht="27" customHeight="1">
      <c r="A73" s="10" t="n">
        <v>69</v>
      </c>
      <c r="B73" s="10" t="inlineStr">
        <is>
          <t>2.1.1</t>
        </is>
      </c>
      <c r="C73" s="11" t="inlineStr">
        <is>
          <t>도크 및 바닥성능(재질, 평탄도 및 하중)</t>
        </is>
      </c>
      <c r="D73" s="10" t="n">
        <v>36</v>
      </c>
      <c r="E73" s="10" t="inlineStr">
        <is>
          <t>[사진 1]</t>
        </is>
      </c>
      <c r="F73" s="11" t="inlineStr">
        <is>
          <t>도크·레벨러·차양 사진</t>
        </is>
      </c>
      <c r="G73" s="14" t="inlineStr">
        <is>
          <t>현장사진</t>
        </is>
      </c>
      <c r="H73" s="11" t="inlineStr">
        <is>
          <t>센터 전반(도크·바닥·통로·비상구 등)</t>
        </is>
      </c>
      <c r="I73" s="11" t="inlineStr">
        <is>
          <t>차양·도크쉘터 유무도 함께 보이게 촬영</t>
        </is>
      </c>
      <c r="J73" s="11" t="n"/>
      <c r="K73" s="11" t="inlineStr">
        <is>
          <t>2.1.1_사진1</t>
        </is>
      </c>
      <c r="L73" s="13" t="n"/>
      <c r="M73" s="25" t="inlineStr">
        <is>
          <t>도크 전면 컷: 레벨러·도어·차양(캐노피)·도크쉘터 유무가 한 장에 보이게</t>
        </is>
      </c>
    </row>
    <row r="74" hidden="1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36</v>
      </c>
      <c r="E74" s="10" t="inlineStr">
        <is>
          <t>[사진 2]</t>
        </is>
      </c>
      <c r="F74" s="11" t="inlineStr">
        <is>
          <t>바닥 평탄도·하중 근거(건축 설계도서 또는 임대인 제원표)</t>
        </is>
      </c>
      <c r="G74" s="12" t="inlineStr">
        <is>
          <t>자료·문서</t>
        </is>
      </c>
      <c r="H74" s="11" t="inlineStr">
        <is>
          <t>관련 부서 보관 자료</t>
        </is>
      </c>
      <c r="I74" s="11" t="inlineStr">
        <is>
          <t>임대인(아레나스)에게 요청</t>
        </is>
      </c>
      <c r="J74" s="11" t="n"/>
      <c r="K74" s="11" t="inlineStr">
        <is>
          <t>2.1.1_사진2</t>
        </is>
      </c>
      <c r="L74" s="13" t="n"/>
      <c r="M74" s="25" t="inlineStr">
        <is>
          <t>바닥 하중(2.3ton/㎡)·평탄도가 적힌 설계도서 또는 임대인 제원표 해당 부분(빨간 박스)</t>
        </is>
      </c>
    </row>
    <row r="75" hidden="1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36</v>
      </c>
      <c r="E75" s="10" t="inlineStr">
        <is>
          <t>[사진 3]</t>
        </is>
      </c>
      <c r="F75" s="11" t="inlineStr">
        <is>
          <t>바닥 라인 표시 사진</t>
        </is>
      </c>
      <c r="G75" s="14" t="inlineStr">
        <is>
          <t>현장사진</t>
        </is>
      </c>
      <c r="H75" s="11" t="inlineStr">
        <is>
          <t>센터 전반(도크·바닥·통로·비상구 등)</t>
        </is>
      </c>
      <c r="I75" s="11" t="n"/>
      <c r="J75" s="11" t="n"/>
      <c r="K75" s="11" t="inlineStr">
        <is>
          <t>2.1.1_사진3</t>
        </is>
      </c>
      <c r="L75" s="13" t="n"/>
      <c r="M75" s="25" t="inlineStr">
        <is>
          <t>통로·작업구역 바닥 라인 표시가 선명하게 보이는 컷</t>
        </is>
      </c>
    </row>
    <row r="76" hidden="1" ht="27" customHeight="1">
      <c r="A76" s="10" t="n">
        <v>72</v>
      </c>
      <c r="B76" s="10" t="inlineStr">
        <is>
          <t>2.1.2</t>
        </is>
      </c>
      <c r="C76" s="11" t="inlineStr">
        <is>
          <t>내부구조(층고 및 기둥의 배치구조)</t>
        </is>
      </c>
      <c r="D76" s="10" t="n">
        <v>38</v>
      </c>
      <c r="E76" s="10" t="inlineStr">
        <is>
          <t>[사진 1]</t>
        </is>
      </c>
      <c r="F76" s="11" t="inlineStr">
        <is>
          <t>평면도(기둥 격자 치수)</t>
        </is>
      </c>
      <c r="G76" s="12" t="inlineStr">
        <is>
          <t>자료·문서</t>
        </is>
      </c>
      <c r="H76" s="11" t="inlineStr">
        <is>
          <t>관련 부서 보관 자료</t>
        </is>
      </c>
      <c r="I76" s="11" t="n"/>
      <c r="J76" s="11" t="n"/>
      <c r="K76" s="11" t="inlineStr">
        <is>
          <t>2.1.2_사진1</t>
        </is>
      </c>
      <c r="L76" s="13" t="n"/>
      <c r="M76" s="25" t="inlineStr">
        <is>
          <t>[강조] 기둥 격자 치수(11,250mm), 임차구역 범위 / [의미] 등간격 격자로 랙·자동화 설비 배치에 유리</t>
        </is>
      </c>
    </row>
    <row r="77" hidden="1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38</v>
      </c>
      <c r="E77" s="10" t="inlineStr">
        <is>
          <t>[사진 2]</t>
        </is>
      </c>
      <c r="F77" s="11" t="inlineStr">
        <is>
          <t>보관 영역 전경(층고) 사진</t>
        </is>
      </c>
      <c r="G77" s="14" t="inlineStr">
        <is>
          <t>현장사진</t>
        </is>
      </c>
      <c r="H77" s="11" t="inlineStr">
        <is>
          <t>센터 전반(도크·바닥·통로·비상구 등)</t>
        </is>
      </c>
      <c r="I77" s="11" t="inlineStr">
        <is>
          <t>층고(10m)가 드러나도록 랙 전체 높이가 보이게</t>
        </is>
      </c>
      <c r="J77" s="11" t="n"/>
      <c r="K77" s="11" t="inlineStr">
        <is>
          <t>2.1.2_사진2</t>
        </is>
      </c>
      <c r="L77" s="13" t="n"/>
      <c r="M77" s="25" t="inlineStr">
        <is>
          <t>랙 최상단까지 보이도록 아래에서 위로 촬영(층고 10m 체감)</t>
        </is>
      </c>
    </row>
    <row r="78" hidden="1" ht="27" customHeight="1">
      <c r="A78" s="10" t="n">
        <v>74</v>
      </c>
      <c r="B78" s="10" t="inlineStr">
        <is>
          <t>2.1.3</t>
        </is>
      </c>
      <c r="C78" s="11" t="inlineStr">
        <is>
          <t>배치 및 동선 관리</t>
        </is>
      </c>
      <c r="D78" s="10" t="n">
        <v>39</v>
      </c>
      <c r="E78" s="10" t="inlineStr">
        <is>
          <t>[사진 1]</t>
        </is>
      </c>
      <c r="F78" s="11" t="inlineStr">
        <is>
          <t>운영 Lay-out 도면</t>
        </is>
      </c>
      <c r="G78" s="12" t="inlineStr">
        <is>
          <t>자료·문서</t>
        </is>
      </c>
      <c r="H78" s="11" t="inlineStr">
        <is>
          <t>관련 부서 보관 자료</t>
        </is>
      </c>
      <c r="I78" s="11" t="n"/>
      <c r="J78" s="11" t="n"/>
      <c r="K78" s="11" t="inlineStr">
        <is>
          <t>2.1.3_사진1</t>
        </is>
      </c>
      <c r="L78" s="13" t="n"/>
      <c r="M78" s="25" t="inlineStr">
        <is>
          <t>[강조] 동측 입고→서측 출고 일방향 흐름 화살표, 구역별 면적 / [의미] 물류 흐름에 맞춘 배치</t>
        </is>
      </c>
    </row>
    <row r="79" hidden="1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39</v>
      </c>
      <c r="E79" s="10" t="inlineStr">
        <is>
          <t>[사진 2]</t>
        </is>
      </c>
      <c r="F79" s="11" t="inlineStr">
        <is>
          <t>램프웨이·동선 표시 사진</t>
        </is>
      </c>
      <c r="G79" s="14" t="inlineStr">
        <is>
          <t>현장사진</t>
        </is>
      </c>
      <c r="H79" s="11" t="inlineStr">
        <is>
          <t>센터 전반(도크·바닥·통로·비상구 등)</t>
        </is>
      </c>
      <c r="I79" s="11" t="inlineStr">
        <is>
          <t>램프웨이·보행통로 구분 표시가 보이게</t>
        </is>
      </c>
      <c r="J79" s="11" t="n"/>
      <c r="K79" s="11" t="inlineStr">
        <is>
          <t>2.1.3_사진2</t>
        </is>
      </c>
      <c r="L79" s="13" t="n"/>
      <c r="M79" s="25" t="inlineStr">
        <is>
          <t>램프웨이와 보행 통로의 구분 표시(펜스·라인·표지판)가 보이게</t>
        </is>
      </c>
    </row>
    <row r="80" hidden="1" ht="27" customHeight="1">
      <c r="A80" s="10" t="n">
        <v>76</v>
      </c>
      <c r="B80" s="10" t="inlineStr">
        <is>
          <t>2.1.4</t>
        </is>
      </c>
      <c r="C80" s="11" t="inlineStr">
        <is>
          <t>작업환경 관리(공조, 온도, 습도 등)</t>
        </is>
      </c>
      <c r="D80" s="10" t="n">
        <v>40</v>
      </c>
      <c r="E80" s="10" t="inlineStr">
        <is>
          <t>[사진 1]</t>
        </is>
      </c>
      <c r="F80" s="11" t="inlineStr">
        <is>
          <t>조도·온습도 측정 기록</t>
        </is>
      </c>
      <c r="G80" s="12" t="inlineStr">
        <is>
          <t>자료·문서</t>
        </is>
      </c>
      <c r="H80" s="11" t="inlineStr">
        <is>
          <t>관련 부서 보관 자료</t>
        </is>
      </c>
      <c r="I80" s="11" t="inlineStr">
        <is>
          <t>없으면 2.1.4 등급 하락 위험</t>
        </is>
      </c>
      <c r="J80" s="11" t="n"/>
      <c r="K80" s="11" t="inlineStr">
        <is>
          <t>2.1.4_사진1</t>
        </is>
      </c>
      <c r="L80" s="13" t="n"/>
      <c r="M80" s="25" t="inlineStr">
        <is>
          <t>측정일·측정 위치·조도(lux)·온습도 수치가 있는 기록지(최근 3개월분 권장)</t>
        </is>
      </c>
    </row>
    <row r="81" hidden="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40</v>
      </c>
      <c r="E81" s="10" t="inlineStr">
        <is>
          <t>[사진 2]</t>
        </is>
      </c>
      <c r="F81" s="11" t="inlineStr">
        <is>
          <t>방충·방서 관리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n"/>
      <c r="J81" s="11" t="n"/>
      <c r="K81" s="11" t="inlineStr">
        <is>
          <t>2.1.4_사진2</t>
        </is>
      </c>
      <c r="L81" s="13" t="n"/>
      <c r="M81" s="25" t="inlineStr">
        <is>
          <t>방역 업체 점검 확인서 또는 자체 방충 점검표(점검일·결과 보이게)</t>
        </is>
      </c>
    </row>
    <row r="82" hidden="1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40</v>
      </c>
      <c r="E82" s="10" t="inlineStr">
        <is>
          <t>[사진 3]</t>
        </is>
      </c>
      <c r="F82" s="11" t="inlineStr">
        <is>
          <t>휴게실 사진</t>
        </is>
      </c>
      <c r="G82" s="14" t="inlineStr">
        <is>
          <t>현장사진</t>
        </is>
      </c>
      <c r="H82" s="11" t="inlineStr">
        <is>
          <t>센터 전반(도크·바닥·통로·비상구 등)</t>
        </is>
      </c>
      <c r="I82" s="11" t="n"/>
      <c r="J82" s="11" t="n"/>
      <c r="K82" s="11" t="inlineStr">
        <is>
          <t>2.1.4_사진3</t>
        </is>
      </c>
      <c r="L82" s="13" t="n"/>
      <c r="M82" s="25" t="inlineStr">
        <is>
          <t>휴게실 내부 전경(테이블·냉난방기 등 편의시설 보이게)</t>
        </is>
      </c>
    </row>
    <row r="83" hidden="1" ht="27" customHeight="1">
      <c r="A83" s="10" t="n">
        <v>79</v>
      </c>
      <c r="B83" s="10" t="inlineStr">
        <is>
          <t>2.1.5</t>
        </is>
      </c>
      <c r="C83" s="11" t="inlineStr">
        <is>
          <t>재해 및 안전관리(방화, 내진, 소방·대피시설, 안전사고관리 등)</t>
        </is>
      </c>
      <c r="D83" s="10" t="n">
        <v>41</v>
      </c>
      <c r="E83" s="10" t="inlineStr">
        <is>
          <t>[사진 1]</t>
        </is>
      </c>
      <c r="F83" s="11" t="inlineStr">
        <is>
          <t>소방시설 자체점검 결과보고서</t>
        </is>
      </c>
      <c r="G83" s="12" t="inlineStr">
        <is>
          <t>자료·문서</t>
        </is>
      </c>
      <c r="H83" s="11" t="inlineStr">
        <is>
          <t>관련 부서 보관 자료</t>
        </is>
      </c>
      <c r="I83" s="11" t="inlineStr">
        <is>
          <t>소방안전관리자 보관</t>
        </is>
      </c>
      <c r="J83" s="11" t="n"/>
      <c r="K83" s="11" t="inlineStr">
        <is>
          <t>2.1.5_사진1</t>
        </is>
      </c>
      <c r="L83" s="13" t="n"/>
      <c r="M83" s="25" t="inlineStr">
        <is>
          <t>소방시설 자체점검 결과보고서 표지 + 결과 요약 페이지(점검일·적합 판정)</t>
        </is>
      </c>
    </row>
    <row r="84" hidden="1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41</v>
      </c>
      <c r="E84" s="10" t="inlineStr">
        <is>
          <t>[사진 2]</t>
        </is>
      </c>
      <c r="F84" s="11" t="inlineStr">
        <is>
          <t>비상구·소화설비 사진</t>
        </is>
      </c>
      <c r="G84" s="14" t="inlineStr">
        <is>
          <t>현장사진</t>
        </is>
      </c>
      <c r="H84" s="11" t="inlineStr">
        <is>
          <t>센터 전반(도크·바닥·통로·비상구 등)</t>
        </is>
      </c>
      <c r="I84" s="11" t="n"/>
      <c r="J84" s="11" t="n"/>
      <c r="K84" s="11" t="inlineStr">
        <is>
          <t>2.1.5_사진2</t>
        </is>
      </c>
      <c r="L84" s="13" t="n"/>
      <c r="M84" s="25" t="inlineStr">
        <is>
          <t>비상구 유도등·소화기·소화전이 함께 보이는 컷 + 대피 경로도</t>
        </is>
      </c>
    </row>
    <row r="85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41</v>
      </c>
      <c r="E85" s="10" t="inlineStr">
        <is>
          <t>[사진 3]</t>
        </is>
      </c>
      <c r="F85" s="11" t="inlineStr">
        <is>
          <t>안전교육 이수 기록</t>
        </is>
      </c>
      <c r="G85" s="12" t="inlineStr">
        <is>
          <t>자료·문서</t>
        </is>
      </c>
      <c r="H85" s="11" t="inlineStr">
        <is>
          <t>관련 부서 보관 자료</t>
        </is>
      </c>
      <c r="I85" s="11" t="n"/>
      <c r="J85" s="11" t="n"/>
      <c r="K85" s="11" t="inlineStr">
        <is>
          <t>2.1.5_사진3</t>
        </is>
      </c>
      <c r="L85" s="13" t="n"/>
      <c r="M85" s="25" t="inlineStr">
        <is>
          <t>교육일·교육명·이수자 서명이 있는 명단(개인정보 일부 가림)</t>
        </is>
      </c>
    </row>
    <row r="86" hidden="1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41</v>
      </c>
      <c r="E86" s="10" t="inlineStr">
        <is>
          <t>[사진 4]</t>
        </is>
      </c>
      <c r="F86" s="11" t="inlineStr">
        <is>
          <t>작업자 추적(QR) 화면</t>
        </is>
      </c>
      <c r="G86" s="15" t="inlineStr">
        <is>
          <t>시스템 캡처</t>
        </is>
      </c>
      <c r="H86" s="11" t="inlineStr">
        <is>
          <t>SW / Smartship / TLPS 화면 (4_시스템사용자매뉴얼 화면명 참고)</t>
        </is>
      </c>
      <c r="I86" s="11" t="n"/>
      <c r="J86" s="11" t="n"/>
      <c r="K86" s="11" t="inlineStr">
        <is>
          <t>2.1.5_사진4</t>
        </is>
      </c>
      <c r="L86" s="13" t="n"/>
      <c r="M86" s="25" t="inlineStr">
        <is>
          <t>[강조] 공정별 현재 투입 인원 목록 / [의미] 비상 시 센터 내 인원 즉시 확인(입퇴실 관리)</t>
        </is>
      </c>
    </row>
    <row r="87" hidden="1" ht="27" customHeight="1">
      <c r="A87" s="10" t="n">
        <v>83</v>
      </c>
      <c r="B87" s="10" t="inlineStr">
        <is>
          <t>2.2.1</t>
        </is>
      </c>
      <c r="C87" s="11" t="inlineStr">
        <is>
          <t>비용 절감</t>
        </is>
      </c>
      <c r="D87" s="10" t="n">
        <v>42</v>
      </c>
      <c r="E87" s="10" t="inlineStr">
        <is>
          <t>[사진 1]</t>
        </is>
      </c>
      <c r="F87" s="11" t="inlineStr">
        <is>
          <t>최근 3년 물류비·절감률 실적표</t>
        </is>
      </c>
      <c r="G87" s="12" t="inlineStr">
        <is>
          <t>자료·문서</t>
        </is>
      </c>
      <c r="H87" s="11" t="inlineStr">
        <is>
          <t>관련 부서 보관 자료</t>
        </is>
      </c>
      <c r="I87" s="11" t="inlineStr">
        <is>
          <t>05 매뉴얼의 "예시" 수치 대신 실제 결산 자료 필요</t>
        </is>
      </c>
      <c r="J87" s="11" t="n"/>
      <c r="K87" s="11" t="inlineStr">
        <is>
          <t>2.2.1_사진1</t>
        </is>
      </c>
      <c r="L87" s="13" t="n"/>
      <c r="M87" s="25" t="inlineStr">
        <is>
          <t>[강조] 연도별 물류비 합계·항목별 비용·전년 대비 절감률 / ※ 05 매뉴얼의 '예시' 수치가 아닌 실제 결산값</t>
        </is>
      </c>
    </row>
    <row r="88" ht="27" customHeight="1">
      <c r="A88" s="10" t="n">
        <v>84</v>
      </c>
      <c r="B88" s="10" t="inlineStr">
        <is>
          <t>2.2.1</t>
        </is>
      </c>
      <c r="C88" s="11" t="inlineStr">
        <is>
          <t>비용 절감</t>
        </is>
      </c>
      <c r="D88" s="10" t="n">
        <v>42</v>
      </c>
      <c r="E88" s="10" t="inlineStr">
        <is>
          <t>[사진 2]</t>
        </is>
      </c>
      <c r="F88" s="11" t="inlineStr">
        <is>
          <t>월간 성과보고 자료</t>
        </is>
      </c>
      <c r="G88" s="12" t="inlineStr">
        <is>
          <t>자료·문서</t>
        </is>
      </c>
      <c r="H88" s="11" t="inlineStr">
        <is>
          <t>관련 부서 보관 자료</t>
        </is>
      </c>
      <c r="I88" s="11" t="n"/>
      <c r="J88" s="11" t="n"/>
      <c r="K88" s="11" t="inlineStr">
        <is>
          <t>2.2.1_사진2</t>
        </is>
      </c>
      <c r="L88" s="13" t="n"/>
      <c r="M88" s="25" t="inlineStr">
        <is>
          <t>[강조] 월별 비용 실적 vs 목표, 차이 원인, 개선과제와 다음 달 조치 결과(최근 3개월 연속) / [의미] 수집·분석·피드백</t>
        </is>
      </c>
    </row>
    <row r="89" hidden="1" ht="27" customHeight="1">
      <c r="A89" s="10" t="n">
        <v>85</v>
      </c>
      <c r="B89" s="10" t="inlineStr">
        <is>
          <t>2.2.2</t>
        </is>
      </c>
      <c r="C89" s="11" t="inlineStr">
        <is>
          <t>생산성 향상</t>
        </is>
      </c>
      <c r="D89" s="10" t="n">
        <v>43</v>
      </c>
      <c r="E89" s="10" t="inlineStr">
        <is>
          <t>[사진 1]</t>
        </is>
      </c>
      <c r="F89" s="11" t="inlineStr">
        <is>
          <t>작업자 추적 화면·리포트 캡처</t>
        </is>
      </c>
      <c r="G89" s="15" t="inlineStr">
        <is>
          <t>시스템 캡처</t>
        </is>
      </c>
      <c r="H89" s="11" t="inlineStr">
        <is>
          <t>SW / Smartship / TLPS 화면 (4_시스템사용자매뉴얼 화면명 참고)</t>
        </is>
      </c>
      <c r="I89" s="11" t="n"/>
      <c r="J89" s="11" t="n"/>
      <c r="K89" s="11" t="inlineStr">
        <is>
          <t>2.2.2_사진1</t>
        </is>
      </c>
      <c r="L89" s="13" t="n"/>
      <c r="M89" s="25" t="inlineStr">
        <is>
          <t>[강조] 공정별 투입 인원·작업시간, 기간별 레포트 / [의미] 생산성 데이터 시스템 자동 수집</t>
        </is>
      </c>
    </row>
    <row r="90" hidden="1" ht="27" customHeight="1">
      <c r="A90" s="10" t="n">
        <v>86</v>
      </c>
      <c r="B90" s="10" t="inlineStr">
        <is>
          <t>2.2.2</t>
        </is>
      </c>
      <c r="C90" s="11" t="inlineStr">
        <is>
          <t>생산성 향상</t>
        </is>
      </c>
      <c r="D90" s="10" t="n">
        <v>43</v>
      </c>
      <c r="E90" s="10" t="inlineStr">
        <is>
          <t>[사진 2]</t>
        </is>
      </c>
      <c r="F90" s="11" t="inlineStr">
        <is>
          <t>최근 3년 UPH 실적표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inlineStr">
        <is>
          <t>실제 데이터 필요(작업자 추적 레포트로 산출 가능 여부 확인)</t>
        </is>
      </c>
      <c r="J90" s="11" t="n"/>
      <c r="K90" s="11" t="inlineStr">
        <is>
          <t>2.2.2_사진2</t>
        </is>
      </c>
      <c r="L90" s="13" t="n"/>
      <c r="M90" s="25" t="inlineStr">
        <is>
          <t>[강조] 연도별 처리량 ÷ 투입 인시 = UPH, 처리 단위(건/박스) 명시 / ※ 실제 데이터로 작성</t>
        </is>
      </c>
    </row>
    <row r="91" hidden="1" ht="27" customHeight="1">
      <c r="A91" s="10" t="n">
        <v>87</v>
      </c>
      <c r="B91" s="10" t="inlineStr">
        <is>
          <t>2.2.3</t>
        </is>
      </c>
      <c r="C91" s="11" t="inlineStr">
        <is>
          <t>품질 및 안전관리</t>
        </is>
      </c>
      <c r="D91" s="10" t="n">
        <v>44</v>
      </c>
      <c r="E91" s="10" t="inlineStr">
        <is>
          <t>[사진 1]</t>
        </is>
      </c>
      <c r="F91" s="11" t="inlineStr">
        <is>
          <t>최근 3년 오출고율·정확도 실적</t>
        </is>
      </c>
      <c r="G91" s="12" t="inlineStr">
        <is>
          <t>자료·문서</t>
        </is>
      </c>
      <c r="H91" s="11" t="inlineStr">
        <is>
          <t>관련 부서 보관 자료</t>
        </is>
      </c>
      <c r="I91" s="11" t="inlineStr">
        <is>
          <t>오출고율 기준 통일 후 작성</t>
        </is>
      </c>
      <c r="J91" s="11" t="n"/>
      <c r="K91" s="11" t="inlineStr">
        <is>
          <t>2.2.3_사진1</t>
        </is>
      </c>
      <c r="L91" s="13" t="n"/>
      <c r="M91" s="25" t="inlineStr">
        <is>
          <t>[강조] 연도별 오출고율·피킹 정확도·분류 정확도와 산식 / ※ 회사소개서 수치와 기준 통일</t>
        </is>
      </c>
    </row>
    <row r="92" hidden="1" ht="27" customHeight="1">
      <c r="A92" s="10" t="n">
        <v>88</v>
      </c>
      <c r="B92" s="10" t="inlineStr">
        <is>
          <t>2.2.3</t>
        </is>
      </c>
      <c r="C92" s="11" t="inlineStr">
        <is>
          <t>품질 및 안전관리</t>
        </is>
      </c>
      <c r="D92" s="10" t="n">
        <v>44</v>
      </c>
      <c r="E92" s="10" t="inlineStr">
        <is>
          <t>[사진 2]</t>
        </is>
      </c>
      <c r="F92" s="11" t="inlineStr">
        <is>
          <t>클레임 처리 이력</t>
        </is>
      </c>
      <c r="G92" s="12" t="inlineStr">
        <is>
          <t>자료·문서</t>
        </is>
      </c>
      <c r="H92" s="11" t="inlineStr">
        <is>
          <t>관련 부서 보관 자료</t>
        </is>
      </c>
      <c r="I92" s="11" t="n"/>
      <c r="J92" s="11" t="n"/>
      <c r="K92" s="11" t="inlineStr">
        <is>
          <t>2.2.3_사진2</t>
        </is>
      </c>
      <c r="L92" s="13" t="n"/>
      <c r="M92" s="25" t="inlineStr">
        <is>
          <t>[강조] 클레임 접수→원인 확인(영상·스캔 이력)→조치→재발방지 흐름이 보이는 이력 목록</t>
        </is>
      </c>
    </row>
    <row r="93" hidden="1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44</v>
      </c>
      <c r="E93" s="10" t="inlineStr">
        <is>
          <t>[사진 3]</t>
        </is>
      </c>
      <c r="F93" s="11" t="inlineStr">
        <is>
          <t>안전교육 기록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n"/>
      <c r="J93" s="11" t="n"/>
      <c r="K93" s="11" t="inlineStr">
        <is>
          <t>2.2.3_사진3</t>
        </is>
      </c>
      <c r="L93" s="13" t="n"/>
      <c r="M93" s="25" t="inlineStr">
        <is>
          <t>안전교육 일지·이수 명단(최근 1년)</t>
        </is>
      </c>
    </row>
    <row r="94" hidden="1" ht="27" customHeight="1">
      <c r="A94" s="10" t="n">
        <v>90</v>
      </c>
      <c r="B94" s="10" t="inlineStr">
        <is>
          <t>2.2.4</t>
        </is>
      </c>
      <c r="C94" s="11" t="inlineStr">
        <is>
          <t>친환경관리(절수, 절전, 폐기물, 재활용, 조명 등)</t>
        </is>
      </c>
      <c r="D94" s="10" t="n">
        <v>45</v>
      </c>
      <c r="E94" s="10" t="inlineStr">
        <is>
          <t>[사진 1]</t>
        </is>
      </c>
      <c r="F94" s="11" t="inlineStr">
        <is>
          <t>친환경 포장재 적용률 실적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2.2.4_사진1</t>
        </is>
      </c>
      <c r="L94" s="13" t="n"/>
      <c r="M94" s="25" t="inlineStr">
        <is>
          <t>[강조] 월별·연도별 친환경 포장재(재사용 박스 등) 적용률 / ※ 실제 집계값</t>
        </is>
      </c>
    </row>
    <row r="95" hidden="1" ht="27" customHeight="1">
      <c r="A95" s="10" t="n">
        <v>91</v>
      </c>
      <c r="B95" s="10" t="inlineStr">
        <is>
          <t>2.2.4</t>
        </is>
      </c>
      <c r="C95" s="11" t="inlineStr">
        <is>
          <t>친환경관리(절수, 절전, 폐기물, 재활용, 조명 등)</t>
        </is>
      </c>
      <c r="D95" s="10" t="n">
        <v>45</v>
      </c>
      <c r="E95" s="10" t="inlineStr">
        <is>
          <t>[사진 2]</t>
        </is>
      </c>
      <c r="F95" s="11" t="inlineStr">
        <is>
          <t>폐기물 재활용 실적</t>
        </is>
      </c>
      <c r="G95" s="12" t="inlineStr">
        <is>
          <t>자료·문서</t>
        </is>
      </c>
      <c r="H95" s="11" t="inlineStr">
        <is>
          <t>관련 부서 보관 자료</t>
        </is>
      </c>
      <c r="I95" s="11" t="n"/>
      <c r="J95" s="11" t="n"/>
      <c r="K95" s="11" t="inlineStr">
        <is>
          <t>2.2.4_사진2</t>
        </is>
      </c>
      <c r="L95" s="13" t="n"/>
      <c r="M95" s="25" t="inlineStr">
        <is>
          <t>[강조] 폐지·비닐 등 재활용 처리량(업체 처리 확인서 등)</t>
        </is>
      </c>
    </row>
    <row r="96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45</v>
      </c>
      <c r="E96" s="10" t="inlineStr">
        <is>
          <t>[사진 3]</t>
        </is>
      </c>
      <c r="F96" s="11" t="inlineStr">
        <is>
          <t>LED 조명 등 설비 사진</t>
        </is>
      </c>
      <c r="G96" s="14" t="inlineStr">
        <is>
          <t>현장사진</t>
        </is>
      </c>
      <c r="H96" s="11" t="inlineStr">
        <is>
          <t>-</t>
        </is>
      </c>
      <c r="I96" s="11" t="n"/>
      <c r="J96" s="11" t="n"/>
      <c r="K96" s="11" t="inlineStr">
        <is>
          <t>2.2.4_사진3</t>
        </is>
      </c>
      <c r="L96" s="13" t="n"/>
      <c r="M96" s="25" t="inlineStr">
        <is>
          <t>실제 있는 설비만: LED 천장 조명(라벨 근접 컷), 분리배출장, 재사용 박스 구역, 전동 지게차 충전소 중 2~3장</t>
        </is>
      </c>
    </row>
    <row r="97" ht="27" customHeight="1">
      <c r="A97" s="10" t="n">
        <v>93</v>
      </c>
      <c r="B97" s="10" t="inlineStr">
        <is>
          <t>2.3.1-1</t>
        </is>
      </c>
      <c r="C97" s="11" t="inlineStr">
        <is>
          <t>수발주시스템/상품분류시스템</t>
        </is>
      </c>
      <c r="D97" s="10" t="n">
        <v>46</v>
      </c>
      <c r="E97" s="10" t="inlineStr">
        <is>
          <t>[사진 1]</t>
        </is>
      </c>
      <c r="F97" s="11" t="inlineStr">
        <is>
          <t>Smartship 주문 수집·검증 화면</t>
        </is>
      </c>
      <c r="G97" s="15" t="inlineStr">
        <is>
          <t>시스템 캡처</t>
        </is>
      </c>
      <c r="H97" s="11" t="inlineStr">
        <is>
          <t>SW / Smartship / TLPS 화면 (4_시스템사용자매뉴얼 화면명 참고)</t>
        </is>
      </c>
      <c r="I97" s="11" t="n"/>
      <c r="J97" s="11" t="n"/>
      <c r="K97" s="11" t="inlineStr">
        <is>
          <t>2.3.1-1_사진1</t>
        </is>
      </c>
      <c r="L97" s="13" t="n"/>
      <c r="M97" s="25" t="inlineStr">
        <is>
          <t>[강조] 수집 채널(엑셀·단건·API·플랫폼), 검증 결과(주소·수량·중복) / [의미] 주문 수집~출하지시 자동 처리</t>
        </is>
      </c>
    </row>
    <row r="98" ht="27" customHeight="1">
      <c r="A98" s="10" t="n">
        <v>94</v>
      </c>
      <c r="B98" s="10" t="inlineStr">
        <is>
          <t>2.3.1-1</t>
        </is>
      </c>
      <c r="C98" s="11" t="inlineStr">
        <is>
          <t>수발주시스템/상품분류시스템</t>
        </is>
      </c>
      <c r="D98" s="10" t="n">
        <v>46</v>
      </c>
      <c r="E98" s="10" t="inlineStr">
        <is>
          <t>[사진 2]</t>
        </is>
      </c>
      <c r="F98" s="11" t="inlineStr">
        <is>
          <t>채널 연동 현황 화면</t>
        </is>
      </c>
      <c r="G98" s="15" t="inlineStr">
        <is>
          <t>시스템 캡처</t>
        </is>
      </c>
      <c r="H98" s="11" t="inlineStr">
        <is>
          <t>SW / Smartship / TLPS 화면 (4_시스템사용자매뉴얼 화면명 참고)</t>
        </is>
      </c>
      <c r="I98" s="11" t="n"/>
      <c r="J98" s="11" t="n"/>
      <c r="K98" s="11" t="inlineStr">
        <is>
          <t>2.3.1-1_사진2</t>
        </is>
      </c>
      <c r="L98" s="13" t="n"/>
      <c r="M98" s="25" t="inlineStr">
        <is>
          <t>[강조] 연동 중인 쇼핑몰·오픈마켓 목록과 연동 상태 / [의미] 외부 채널과 API 연동</t>
        </is>
      </c>
    </row>
    <row r="99" ht="27" customHeight="1">
      <c r="A99" s="10" t="n">
        <v>95</v>
      </c>
      <c r="B99" s="10" t="inlineStr">
        <is>
          <t>2.3.1-2</t>
        </is>
      </c>
      <c r="C99" s="11" t="inlineStr">
        <is>
          <t>입출고 및 배차배송시스템</t>
        </is>
      </c>
      <c r="D99" s="10" t="n">
        <v>47</v>
      </c>
      <c r="E99" s="10" t="inlineStr">
        <is>
          <t>[사진 1]</t>
        </is>
      </c>
      <c r="F99" s="11" t="inlineStr">
        <is>
          <t>입고·출고 화면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n"/>
      <c r="J99" s="11" t="n"/>
      <c r="K99" s="11" t="inlineStr">
        <is>
          <t>2.3.1-2_사진1</t>
        </is>
      </c>
      <c r="L99" s="13" t="n"/>
      <c r="M99" s="25" t="inlineStr">
        <is>
          <t>[강조] 입고 C1~CC 상태, 출고 단계(피킹→검품→DWS→송장) / [의미] 입출고가 시스템에서 단계별 관리</t>
        </is>
      </c>
    </row>
    <row r="100" ht="27" customHeight="1">
      <c r="A100" s="10" t="n">
        <v>96</v>
      </c>
      <c r="B100" s="10" t="inlineStr">
        <is>
          <t>2.3.1-2</t>
        </is>
      </c>
      <c r="C100" s="11" t="inlineStr">
        <is>
          <t>입출고 및 배차배송시스템</t>
        </is>
      </c>
      <c r="D100" s="10" t="n">
        <v>47</v>
      </c>
      <c r="E100" s="10" t="inlineStr">
        <is>
          <t>[사진 2]</t>
        </is>
      </c>
      <c r="F100" s="11" t="inlineStr">
        <is>
          <t>TLPS 운송·인계 화면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n"/>
      <c r="J100" s="11" t="n"/>
      <c r="K100" s="11" t="inlineStr">
        <is>
          <t>2.3.1-2_사진2</t>
        </is>
      </c>
      <c r="L100" s="13" t="n"/>
      <c r="M100" s="25" t="inlineStr">
        <is>
          <t>[강조] 운송·인계 내역(택배사·조업사, MAWB) / [의미] WMS↔TMS 연계로 배송정보 실시간 공유</t>
        </is>
      </c>
    </row>
    <row r="101" ht="27" customHeight="1">
      <c r="A101" s="10" t="n">
        <v>97</v>
      </c>
      <c r="B101" s="10" t="inlineStr">
        <is>
          <t>2.3.1-3</t>
        </is>
      </c>
      <c r="C101" s="11" t="inlineStr">
        <is>
          <t>재고관리시스템</t>
        </is>
      </c>
      <c r="D101" s="10" t="n">
        <v>48</v>
      </c>
      <c r="E101" s="10" t="inlineStr">
        <is>
          <t>[사진 1]</t>
        </is>
      </c>
      <c r="F101" s="11" t="inlineStr">
        <is>
          <t>대시보드·셀 상세·실사·마감리포트 화면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n"/>
      <c r="J101" s="11" t="n"/>
      <c r="K101" s="11" t="inlineStr">
        <is>
          <t>2.3.1-3_사진1</t>
        </is>
      </c>
      <c r="L101" s="13" t="n"/>
      <c r="M101" s="25" t="inlineStr">
        <is>
          <t>대시보드·셀 상세·실사·마감리포트 4개 화면을 한 장에 모아 배치(각 화면 제목 표시)</t>
        </is>
      </c>
    </row>
    <row r="102" ht="27" customHeight="1">
      <c r="A102" s="10" t="n">
        <v>98</v>
      </c>
      <c r="B102" s="10" t="inlineStr">
        <is>
          <t>2.3.1-4</t>
        </is>
      </c>
      <c r="C102" s="11" t="inlineStr">
        <is>
          <t>자원관리시스템</t>
        </is>
      </c>
      <c r="D102" s="10" t="n">
        <v>49</v>
      </c>
      <c r="E102" s="10" t="inlineStr">
        <is>
          <t>[사진 1]</t>
        </is>
      </c>
      <c r="F102" s="11" t="inlineStr">
        <is>
          <t>레이아웃관리·디바이스·작업자 추적 화면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n"/>
      <c r="J102" s="11" t="n"/>
      <c r="K102" s="11" t="inlineStr">
        <is>
          <t>2.3.1-4_사진1</t>
        </is>
      </c>
      <c r="L102" s="13" t="n"/>
      <c r="M102" s="25" t="inlineStr">
        <is>
          <t>레이아웃관리·디바이스 등록·작업자 추적 3개 화면을 한 장에 배치(공간·단말·인력 자원 관리)</t>
        </is>
      </c>
    </row>
    <row r="103" ht="27" customHeight="1">
      <c r="A103" s="10" t="n">
        <v>99</v>
      </c>
      <c r="B103" s="10" t="inlineStr">
        <is>
          <t>2.3.1-5</t>
        </is>
      </c>
      <c r="C103" s="11" t="inlineStr">
        <is>
          <t>물류지원시스템</t>
        </is>
      </c>
      <c r="D103" s="10" t="n">
        <v>50</v>
      </c>
      <c r="E103" s="10" t="inlineStr">
        <is>
          <t>[사진 1]</t>
        </is>
      </c>
      <c r="F103" s="11" t="inlineStr">
        <is>
          <t>풀필먼트 주문관리 대시보드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n"/>
      <c r="J103" s="11" t="n"/>
      <c r="K103" s="11" t="inlineStr">
        <is>
          <t>2.3.1-5_사진1</t>
        </is>
      </c>
      <c r="L103" s="13" t="n"/>
      <c r="M103" s="25" t="inlineStr">
        <is>
          <t>[강조] 주문 상태별(대기·픽킹·팩킹·펜딩·출고·취소) 건수 / [의미] 풀필먼트 주문 통합 관리</t>
        </is>
      </c>
    </row>
    <row r="104" ht="27" customHeight="1">
      <c r="A104" s="10" t="n">
        <v>100</v>
      </c>
      <c r="B104" s="10" t="inlineStr">
        <is>
          <t>2.3.1-5</t>
        </is>
      </c>
      <c r="C104" s="11" t="inlineStr">
        <is>
          <t>물류지원시스템</t>
        </is>
      </c>
      <c r="D104" s="10" t="n">
        <v>50</v>
      </c>
      <c r="E104" s="10" t="inlineStr">
        <is>
          <t>[사진 2]</t>
        </is>
      </c>
      <c r="F104" s="11" t="inlineStr">
        <is>
          <t>반품 출고 관리 화면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n"/>
      <c r="J104" s="11" t="n"/>
      <c r="K104" s="11" t="inlineStr">
        <is>
          <t>2.3.1-5_사진2</t>
        </is>
      </c>
      <c r="L104" s="13" t="n"/>
      <c r="M104" s="25" t="inlineStr">
        <is>
          <t>[강조] 반품 요청 목록·상태·RTV 처리 / [의미] 반품 업무 시스템 처리</t>
        </is>
      </c>
    </row>
    <row r="105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50</v>
      </c>
      <c r="E105" s="10" t="inlineStr">
        <is>
          <t>[사진 3]</t>
        </is>
      </c>
      <c r="F105" s="11" t="inlineStr">
        <is>
          <t>오류화물 관리 화면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n"/>
      <c r="J105" s="11" t="n"/>
      <c r="K105" s="11" t="inlineStr">
        <is>
          <t>2.3.1-5_사진3</t>
        </is>
      </c>
      <c r="L105" s="13" t="n"/>
      <c r="M105" s="25" t="inlineStr">
        <is>
          <t>[강조] 오류화물 목록·사유·처리 상태 / [의미] 예외 화물 관리</t>
        </is>
      </c>
    </row>
    <row r="106" hidden="1" ht="27" customHeight="1">
      <c r="A106" s="10" t="n">
        <v>102</v>
      </c>
      <c r="B106" s="10" t="inlineStr">
        <is>
          <t>2.3.2</t>
        </is>
      </c>
      <c r="C106" s="11" t="inlineStr">
        <is>
          <t>창고제어시스템(WCS, MCS)</t>
        </is>
      </c>
      <c r="D106" s="10" t="n">
        <v>51</v>
      </c>
      <c r="E106" s="10" t="inlineStr">
        <is>
          <t>[사진 1]</t>
        </is>
      </c>
      <c r="F106" s="11" t="inlineStr">
        <is>
          <t>소터 모니터링·슈트 설정 화면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n"/>
      <c r="J106" s="11" t="n"/>
      <c r="K106" s="11" t="inlineStr">
        <is>
          <t>2.3.2_사진1</t>
        </is>
      </c>
      <c r="L106" s="13" t="n"/>
      <c r="M106" s="25" t="inlineStr">
        <is>
          <t>[강조] 소터 모니터링 매트릭스 + 슈트 설정 화면 / [의미] 자동화 설비 전반이 WMS와 실시간 연동(WCS 역할)</t>
        </is>
      </c>
    </row>
    <row r="107">
      <c r="A107" s="10" t="n">
        <v>103</v>
      </c>
      <c r="B107" s="10" t="inlineStr">
        <is>
          <t>2.3.2</t>
        </is>
      </c>
      <c r="C107" s="11" t="inlineStr">
        <is>
          <t>창고제어시스템(WCS, MCS)</t>
        </is>
      </c>
      <c r="D107" s="10" t="n">
        <v>51</v>
      </c>
      <c r="E107" s="10" t="inlineStr">
        <is>
          <t>[사진 2]</t>
        </is>
      </c>
      <c r="F107" s="11" t="inlineStr">
        <is>
          <t>설비 구성도</t>
        </is>
      </c>
      <c r="G107" s="12" t="inlineStr">
        <is>
          <t>자료·문서</t>
        </is>
      </c>
      <c r="H107" s="11" t="inlineStr">
        <is>
          <t>관련 부서 보관 자료</t>
        </is>
      </c>
      <c r="I107" s="11" t="n"/>
      <c r="J107" s="11" t="n"/>
      <c r="K107" s="11" t="inlineStr">
        <is>
          <t>2.3.2_사진2</t>
        </is>
      </c>
      <c r="L107" s="13" t="n"/>
      <c r="M107" s="25" t="inlineStr">
        <is>
          <t>설비(소터·PTL·DWS·오토라벨러 등) ↔ 설비연동모듈 ↔ SW(WMS) ↔ Smartship/TLPS 연결 구성도</t>
        </is>
      </c>
    </row>
    <row r="108"/>
    <row r="109">
      <c r="B109" s="16" t="inlineStr">
        <is>
          <t>집계</t>
        </is>
      </c>
    </row>
    <row r="110">
      <c r="B110" s="17" t="inlineStr">
        <is>
          <t>현장사진</t>
        </is>
      </c>
      <c r="C110" s="17">
        <f>COUNTIF(G5:G107,"현장사진")</f>
        <v/>
      </c>
    </row>
    <row r="111">
      <c r="B111" s="17" t="inlineStr">
        <is>
          <t>시스템 캡처</t>
        </is>
      </c>
      <c r="C111" s="17">
        <f>COUNTIF(G5:G107,"시스템 캡처")</f>
        <v/>
      </c>
    </row>
    <row r="112">
      <c r="B112" s="17" t="inlineStr">
        <is>
          <t>자료·문서</t>
        </is>
      </c>
      <c r="C112" s="17">
        <f>COUNTIF(G5:G107,"자료·문서")</f>
        <v/>
      </c>
    </row>
    <row r="113">
      <c r="B113" s="17" t="inlineStr">
        <is>
          <t>수집 완료</t>
        </is>
      </c>
      <c r="C113" s="17">
        <f>COUNTIF(L5:L107,"O")&amp;" / "&amp;COUNTA(F5:F107)</f>
        <v/>
      </c>
    </row>
  </sheetData>
  <autoFilter ref="A4:M107">
    <filterColumn colId="6" hiddenButton="0" showButton="1">
      <filters>
        <filter val="시스템 캡처"/>
      </filters>
    </filterColumn>
  </autoFilter>
  <dataValidations count="1">
    <dataValidation sqref="L5:L107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2026-10-13T03:14:00Z</dcterms:modified>
  <cp:lastModifiedBy>Jang Yun Jin(장윤진)</cp:lastModifiedBy>
</cp:coreProperties>
</file>