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일반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(#\)"/>
  </numFmts>
  <fonts count="12">
    <font>
      <name val="맑은 고딕"/>
      <charset val="129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2"/>
      <color theme="1"/>
      <sz val="10"/>
    </font>
    <font>
      <name val="Noto Sans CJK SC"/>
      <charset val="1"/>
      <family val="2"/>
      <b val="1"/>
      <color theme="1"/>
      <sz val="16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D6"/>
        <bgColor rgb="FFF8CBAD"/>
      </patternFill>
    </fill>
    <fill>
      <patternFill patternType="solid">
        <fgColor rgb="FFFFFF99"/>
        <bgColor rgb="FFFCE4D6"/>
      </patternFill>
    </fill>
    <fill>
      <patternFill patternType="solid">
        <fgColor theme="5" tint="0.5999"/>
        <bgColor rgb="FFFCE4D6"/>
      </patternFill>
    </fill>
    <fill>
      <patternFill patternType="solid">
        <fgColor theme="4" tint="0.5999"/>
        <bgColor rgb="FFC0C0C0"/>
      </patternFill>
    </fill>
    <fill>
      <patternFill patternType="solid">
        <fgColor theme="4" tint="0.3999"/>
        <bgColor rgb="FFC0C0C0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/>
    </xf>
    <xf numFmtId="1" fontId="4" fillId="0" borderId="0" applyAlignment="1" pivotButton="0" quotePrefix="0" xfId="0">
      <alignment horizontal="general" vertical="center"/>
    </xf>
    <xf numFmtId="0" fontId="6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 wrapText="1"/>
    </xf>
    <xf numFmtId="164" fontId="4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center"/>
    </xf>
    <xf numFmtId="0" fontId="6" fillId="5" borderId="2" applyAlignment="1" pivotButton="0" quotePrefix="0" xfId="0">
      <alignment horizontal="general" vertical="center"/>
    </xf>
    <xf numFmtId="0" fontId="6" fillId="6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11" fillId="4" borderId="2" applyAlignment="1" pivotButton="0" quotePrefix="0" xfId="0">
      <alignment horizontal="center" vertical="center"/>
    </xf>
    <xf numFmtId="1" fontId="4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6" fillId="5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wrapText="1"/>
    </xf>
    <xf numFmtId="164" fontId="4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center"/>
    </xf>
    <xf numFmtId="0" fontId="6" fillId="5" borderId="2" applyAlignment="1" pivotButton="0" quotePrefix="0" xfId="0">
      <alignment horizontal="general" vertical="center"/>
    </xf>
    <xf numFmtId="0" fontId="6" fillId="6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9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18" activeCellId="0" sqref="I18"/>
    </sheetView>
  </sheetViews>
  <sheetFormatPr baseColWidth="8" defaultColWidth="8.87890625" defaultRowHeight="13.5" zeroHeight="0" outlineLevelRow="0"/>
  <cols>
    <col width="11" customWidth="1" style="22" min="1" max="1"/>
    <col width="17.13" customWidth="1" style="22" min="2" max="2"/>
    <col width="35.13" customWidth="1" style="22" min="3" max="3"/>
    <col width="8.880000000000001" customWidth="1" style="23" min="4" max="4"/>
    <col width="13" customWidth="1" style="23" min="5" max="5"/>
    <col width="8.880000000000001" customWidth="1" style="23" min="6" max="6"/>
    <col width="8.880000000000001" customWidth="1" style="22" min="7" max="7"/>
    <col width="6.25" customWidth="1" style="22" min="8" max="8"/>
    <col width="24" customWidth="1" style="22" min="9" max="9"/>
    <col width="8.880000000000001" customWidth="1" style="22" min="10" max="16384"/>
  </cols>
  <sheetData>
    <row r="1" ht="30" customHeight="1" s="24">
      <c r="A1" s="25" t="inlineStr">
        <is>
          <t>스마트물류센터(일반) 인증 평가영역별 자체평가점수표</t>
        </is>
      </c>
      <c r="B1" s="26" t="n"/>
      <c r="C1" s="26" t="n"/>
      <c r="D1" s="26" t="n"/>
      <c r="E1" s="26" t="n"/>
      <c r="F1" s="26" t="n"/>
      <c r="H1" s="25" t="inlineStr">
        <is>
          <t>인증등급별 점수기준</t>
        </is>
      </c>
      <c r="I1" s="26" t="n"/>
      <c r="J1" s="26" t="n"/>
    </row>
    <row r="2" ht="15" customFormat="1" customHeight="1" s="23">
      <c r="A2" s="27" t="inlineStr">
        <is>
          <t>평가영역</t>
        </is>
      </c>
      <c r="B2" s="27" t="inlineStr">
        <is>
          <t>평가항목</t>
        </is>
      </c>
      <c r="C2" s="27" t="inlineStr">
        <is>
          <t>세부항목</t>
        </is>
      </c>
      <c r="D2" s="27" t="inlineStr">
        <is>
          <t>배점</t>
        </is>
      </c>
      <c r="E2" s="27" t="inlineStr">
        <is>
          <t>자체평가(등급)</t>
        </is>
      </c>
      <c r="F2" s="27" t="inlineStr">
        <is>
          <t>득점</t>
        </is>
      </c>
      <c r="H2" s="27" t="inlineStr">
        <is>
          <t>등급</t>
        </is>
      </c>
      <c r="I2" s="27" t="inlineStr">
        <is>
          <t>평가총점</t>
        </is>
      </c>
      <c r="J2" s="27" t="inlineStr">
        <is>
          <t>비고</t>
        </is>
      </c>
      <c r="L2" s="28" t="inlineStr">
        <is>
          <t>기존 등급(참고)</t>
        </is>
      </c>
      <c r="M2" s="28" t="inlineStr">
        <is>
          <t>조정 사유</t>
        </is>
      </c>
    </row>
    <row r="3" ht="15" customHeight="1" s="24">
      <c r="A3" s="29" t="inlineStr">
        <is>
          <t>1. 기능영역</t>
        </is>
      </c>
      <c r="B3" s="30" t="inlineStr">
        <is>
          <t>1. 하차 및 입고</t>
        </is>
      </c>
      <c r="C3" s="31" t="inlineStr">
        <is>
          <t>1. 입고예정정보의 확인</t>
        </is>
      </c>
      <c r="D3" s="30" t="n">
        <v>25</v>
      </c>
      <c r="E3" s="32" t="n">
        <v>3</v>
      </c>
      <c r="F3" s="30">
        <f>(0.5*D3)+((0.5*D3)*(1-(E3-1)/5))</f>
        <v/>
      </c>
      <c r="H3" s="30" t="inlineStr">
        <is>
          <t>1등급</t>
        </is>
      </c>
      <c r="I3" s="30" t="inlineStr">
        <is>
          <t>950점 초과</t>
        </is>
      </c>
      <c r="J3" s="33" t="inlineStr">
        <is>
          <t>1,000점
만점</t>
        </is>
      </c>
      <c r="L3" s="22" t="n">
        <v>2</v>
      </c>
      <c r="M3" s="22" t="inlineStr">
        <is>
          <t>1.1.1: 2→3등급 (입고 시간·도크·인력 배치를 현장에서 처리, 2026.10.06 조정)</t>
        </is>
      </c>
    </row>
    <row r="4" ht="15" customHeight="1" s="24">
      <c r="A4" s="34" t="n"/>
      <c r="B4" s="34" t="n"/>
      <c r="C4" s="31" t="inlineStr">
        <is>
          <t>2. 하역 작업</t>
        </is>
      </c>
      <c r="D4" s="30" t="n">
        <v>20</v>
      </c>
      <c r="E4" s="32" t="n">
        <v>3</v>
      </c>
      <c r="F4" s="30">
        <f>(0.5*D4)+((0.5*D4)*(1-(E4-1)/5))</f>
        <v/>
      </c>
      <c r="H4" s="30" t="inlineStr">
        <is>
          <t>2등급</t>
        </is>
      </c>
      <c r="I4" s="30" t="inlineStr">
        <is>
          <t>850점 초과 950점 이하 득점</t>
        </is>
      </c>
      <c r="J4" s="34" t="n"/>
      <c r="L4" s="22" t="n">
        <v>3</v>
      </c>
      <c r="M4" s="22" t="inlineStr">
        <is>
          <t>1.1.2: 3→2등급(10.06) → 3등급 환원 (QR 작업자 추적 시범 운영 중, 하역 인원·작업시간 실시간 관리 미정착, 2026.10.15 조정)</t>
        </is>
      </c>
    </row>
    <row r="5" ht="15" customHeight="1" s="24">
      <c r="A5" s="34" t="n"/>
      <c r="B5" s="34" t="n"/>
      <c r="C5" s="31" t="inlineStr">
        <is>
          <t>3. 상품 검수/검품/분류</t>
        </is>
      </c>
      <c r="D5" s="30" t="n">
        <v>20</v>
      </c>
      <c r="E5" s="30" t="n">
        <v>4</v>
      </c>
      <c r="F5" s="30">
        <f>(0.5*D5)+((0.5*D5)*(1-(E5-1)/5))</f>
        <v/>
      </c>
      <c r="H5" s="30" t="inlineStr">
        <is>
          <t>3등급</t>
        </is>
      </c>
      <c r="I5" s="30" t="inlineStr">
        <is>
          <t>750점 초과 850점 이하 득점</t>
        </is>
      </c>
      <c r="J5" s="34" t="n"/>
      <c r="L5" s="22" t="n">
        <v>4</v>
      </c>
    </row>
    <row r="6" ht="15" customHeight="1" s="24">
      <c r="A6" s="34" t="n"/>
      <c r="B6" s="34" t="n"/>
      <c r="C6" s="31" t="inlineStr">
        <is>
          <t>4. 제품정보의 인식 및 등록</t>
        </is>
      </c>
      <c r="D6" s="30" t="n">
        <v>20</v>
      </c>
      <c r="E6" s="35" t="n">
        <v>4</v>
      </c>
      <c r="F6" s="30">
        <f>(0.5*D6)+((0.5*D6)*(1-(E6-1)/5))</f>
        <v/>
      </c>
      <c r="H6" s="30" t="inlineStr">
        <is>
          <t>4등급</t>
        </is>
      </c>
      <c r="I6" s="30" t="inlineStr">
        <is>
          <t>650점 초과 750점 이하 득점</t>
        </is>
      </c>
      <c r="J6" s="34" t="n"/>
      <c r="L6" s="22" t="n">
        <v>2</v>
      </c>
      <c r="M6" s="22" t="inlineStr">
        <is>
          <t>1.1.4: 3→4등급 (신규 SKU 등록 시 DWS 미사용, 2026.10.07 조정)</t>
        </is>
      </c>
    </row>
    <row r="7" ht="15" customHeight="1" s="24">
      <c r="A7" s="34" t="n"/>
      <c r="B7" s="34" t="n"/>
      <c r="C7" s="31" t="inlineStr">
        <is>
          <t>5. 입고 처리</t>
        </is>
      </c>
      <c r="D7" s="30" t="n">
        <v>15</v>
      </c>
      <c r="E7" s="30" t="n">
        <v>3</v>
      </c>
      <c r="F7" s="30">
        <f>(0.5*D7)+((0.5*D7)*(1-(E7-1)/5))</f>
        <v/>
      </c>
      <c r="H7" s="30" t="inlineStr">
        <is>
          <t>5등급</t>
        </is>
      </c>
      <c r="I7" s="30" t="inlineStr">
        <is>
          <t>550점 초과 650점 이하 득점</t>
        </is>
      </c>
      <c r="J7" s="36" t="n"/>
      <c r="L7" s="22" t="n">
        <v>3</v>
      </c>
    </row>
    <row r="8" ht="15" customHeight="1" s="24">
      <c r="A8" s="34" t="n"/>
      <c r="B8" s="36" t="n"/>
      <c r="C8" s="37" t="inlineStr">
        <is>
          <t>소계</t>
        </is>
      </c>
      <c r="D8" s="37">
        <f>SUM(D3:D7)</f>
        <v/>
      </c>
      <c r="E8" s="37" t="n"/>
      <c r="F8" s="37">
        <f>SUM(F3:F7)</f>
        <v/>
      </c>
    </row>
    <row r="9" ht="15" customHeight="1" s="24">
      <c r="A9" s="34" t="n"/>
      <c r="B9" s="30" t="inlineStr">
        <is>
          <t>2. 운반 및 적치</t>
        </is>
      </c>
      <c r="C9" s="31" t="inlineStr">
        <is>
          <t>1. 작업정보의 정보제공</t>
        </is>
      </c>
      <c r="D9" s="30" t="n">
        <v>30</v>
      </c>
      <c r="E9" s="32" t="n">
        <v>3</v>
      </c>
      <c r="F9" s="30">
        <f>(0.5*D9)+((0.5*D9)*(1-(E9-1)/5))</f>
        <v/>
      </c>
      <c r="L9" s="22" t="n">
        <v>2</v>
      </c>
      <c r="M9" s="22" t="inlineStr">
        <is>
          <t>1.2.1: 2→3등급 (01 자체평가서 판단근거 참조)</t>
        </is>
      </c>
    </row>
    <row r="10" ht="15" customHeight="1" s="24">
      <c r="A10" s="34" t="n"/>
      <c r="B10" s="34" t="n"/>
      <c r="C10" s="31" t="inlineStr">
        <is>
          <t>2. 적치장소 이동</t>
        </is>
      </c>
      <c r="D10" s="30" t="n">
        <v>30</v>
      </c>
      <c r="E10" s="30" t="n">
        <v>3</v>
      </c>
      <c r="F10" s="30">
        <f>(0.5*D10)+((0.5*D10)*(1-(E10-1)/5))</f>
        <v/>
      </c>
      <c r="H10" s="38" t="n"/>
      <c r="L10" s="22" t="n">
        <v>3</v>
      </c>
    </row>
    <row r="11" ht="15" customHeight="1" s="24">
      <c r="A11" s="34" t="n"/>
      <c r="B11" s="34" t="n"/>
      <c r="C11" s="31" t="inlineStr">
        <is>
          <t>3. 작업경로 관리</t>
        </is>
      </c>
      <c r="D11" s="30" t="n">
        <v>20</v>
      </c>
      <c r="E11" s="32" t="n">
        <v>4</v>
      </c>
      <c r="F11" s="30">
        <f>(0.5*D11)+((0.5*D11)*(1-(E11-1)/5))</f>
        <v/>
      </c>
      <c r="L11" s="22" t="n">
        <v>3</v>
      </c>
      <c r="M11" s="22" t="inlineStr">
        <is>
          <t>1.2.3: 3→4등급 (01 자체평가서 판단근거 참조)</t>
        </is>
      </c>
    </row>
    <row r="12" ht="15" customHeight="1" s="24">
      <c r="A12" s="34" t="n"/>
      <c r="B12" s="34" t="n"/>
      <c r="C12" s="31" t="inlineStr">
        <is>
          <t>4. 적치장소 식별 및 작업</t>
        </is>
      </c>
      <c r="D12" s="30" t="n">
        <v>20</v>
      </c>
      <c r="E12" s="30" t="n">
        <v>3</v>
      </c>
      <c r="F12" s="30">
        <f>(0.5*D12)+((0.5*D12)*(1-(E12-1)/5))</f>
        <v/>
      </c>
      <c r="L12" s="22" t="n">
        <v>3</v>
      </c>
    </row>
    <row r="13" ht="15" customHeight="1" s="24">
      <c r="A13" s="34" t="n"/>
      <c r="B13" s="36" t="n"/>
      <c r="C13" s="37" t="inlineStr">
        <is>
          <t>소계</t>
        </is>
      </c>
      <c r="D13" s="37">
        <f>SUM(D9:D12)</f>
        <v/>
      </c>
      <c r="E13" s="37" t="n"/>
      <c r="F13" s="37">
        <f>SUM(F9:F12)</f>
        <v/>
      </c>
    </row>
    <row r="14" ht="15" customHeight="1" s="24">
      <c r="A14" s="34" t="n"/>
      <c r="B14" s="30" t="inlineStr">
        <is>
          <t>3. 보관 및 재고관리</t>
        </is>
      </c>
      <c r="C14" s="31" t="inlineStr">
        <is>
          <t>1. 재고조사의 수행 및 방법</t>
        </is>
      </c>
      <c r="D14" s="30" t="n">
        <v>30</v>
      </c>
      <c r="E14" s="32" t="n">
        <v>3</v>
      </c>
      <c r="F14" s="30">
        <f>(0.5*D14)+((0.5*D14)*(1-(E14-1)/5))</f>
        <v/>
      </c>
      <c r="L14" s="22" t="n">
        <v>2</v>
      </c>
      <c r="M14" s="22" t="inlineStr">
        <is>
          <t>1.3.1: 2→3등급 (01 자체평가서 판단근거 참조)</t>
        </is>
      </c>
    </row>
    <row r="15" ht="15" customHeight="1" s="24">
      <c r="A15" s="34" t="n"/>
      <c r="B15" s="34" t="n"/>
      <c r="C15" s="31" t="inlineStr">
        <is>
          <t>2. 재고보충정보의 생성 및 지시</t>
        </is>
      </c>
      <c r="D15" s="30" t="n">
        <v>25</v>
      </c>
      <c r="E15" s="32" t="n">
        <v>4</v>
      </c>
      <c r="F15" s="30">
        <f>(0.5*D15)+((0.5*D15)*(1-(E15-1)/5))</f>
        <v/>
      </c>
      <c r="L15" s="22" t="n">
        <v>2</v>
      </c>
      <c r="M15" s="22" t="inlineStr">
        <is>
          <t>1.3.2: 2→4등급 (보관·피킹 겸용 셀 운영, 보충 자동 생성 미운영 – 01 자체평가서 판단근거 참조)</t>
        </is>
      </c>
    </row>
    <row r="16" ht="15" customHeight="1" s="24">
      <c r="A16" s="34" t="n"/>
      <c r="B16" s="34" t="n"/>
      <c r="C16" s="31" t="inlineStr">
        <is>
          <t xml:space="preserve">3. 재고 보관위치의 조정 </t>
        </is>
      </c>
      <c r="D16" s="30" t="n">
        <v>15</v>
      </c>
      <c r="E16" s="32" t="n">
        <v>3</v>
      </c>
      <c r="F16" s="30">
        <f>(0.5*D16)+((0.5*D16)*(1-(E16-1)/5))</f>
        <v/>
      </c>
      <c r="L16" s="22" t="n">
        <v>2</v>
      </c>
      <c r="M16" s="22" t="inlineStr">
        <is>
          <t>1.3.3: 2→3등급 (01 자체평가서 판단근거 참조)</t>
        </is>
      </c>
    </row>
    <row r="17" ht="15" customHeight="1" s="24">
      <c r="A17" s="34" t="n"/>
      <c r="B17" s="34" t="n"/>
      <c r="C17" s="31" t="inlineStr">
        <is>
          <t>4. 보관장소의 모니터링 및 관리</t>
        </is>
      </c>
      <c r="D17" s="30" t="n">
        <v>15</v>
      </c>
      <c r="E17" s="30" t="n">
        <v>2</v>
      </c>
      <c r="F17" s="30">
        <f>(0.5*D17)+((0.5*D17)*(1-(E17-1)/5))</f>
        <v/>
      </c>
      <c r="L17" s="22" t="n">
        <v>2</v>
      </c>
    </row>
    <row r="18" ht="15" customHeight="1" s="24">
      <c r="A18" s="34" t="n"/>
      <c r="B18" s="34" t="n"/>
      <c r="C18" s="31" t="inlineStr">
        <is>
          <t>5. 재고의 이력(선입선출 등) 및 품질관리</t>
        </is>
      </c>
      <c r="D18" s="30" t="n">
        <v>15</v>
      </c>
      <c r="E18" s="32" t="n">
        <v>3</v>
      </c>
      <c r="F18" s="30">
        <f>(0.5*D18)+((0.5*D18)*(1-(E18-1)/5))</f>
        <v/>
      </c>
      <c r="L18" s="22" t="n">
        <v>2</v>
      </c>
      <c r="M18" s="22" t="inlineStr">
        <is>
          <t>1.3.5: 2→3등급 (01 자체평가서 판단근거 참조)</t>
        </is>
      </c>
    </row>
    <row r="19" ht="15" customHeight="1" s="24">
      <c r="A19" s="34" t="n"/>
      <c r="B19" s="36" t="n"/>
      <c r="C19" s="37" t="inlineStr">
        <is>
          <t>소계</t>
        </is>
      </c>
      <c r="D19" s="37">
        <f>SUM(D14:D18)</f>
        <v/>
      </c>
      <c r="E19" s="37" t="n"/>
      <c r="F19" s="37">
        <f>SUM(F14:F18)</f>
        <v/>
      </c>
    </row>
    <row r="20" ht="15" customHeight="1" s="24">
      <c r="A20" s="34" t="n"/>
      <c r="B20" s="30" t="inlineStr">
        <is>
          <t>4. 피킹 및 분류</t>
        </is>
      </c>
      <c r="C20" s="31" t="inlineStr">
        <is>
          <t>1. 작업정보의 생성 및 지시</t>
        </is>
      </c>
      <c r="D20" s="30" t="n">
        <v>20</v>
      </c>
      <c r="E20" s="35" t="n">
        <v>2</v>
      </c>
      <c r="F20" s="30">
        <f>(0.5*D20)+((0.5*D20)*(1-(E20-1)/5))</f>
        <v/>
      </c>
      <c r="L20" s="22" t="n">
        <v>3</v>
      </c>
      <c r="M20" s="0" t="inlineStr">
        <is>
          <t>1.4.1: 3→2등급 (피킹 방식 자동 결정 로직 있음, 2026.10.07 조정)</t>
        </is>
      </c>
    </row>
    <row r="21" ht="15" customHeight="1" s="24">
      <c r="A21" s="34" t="n"/>
      <c r="B21" s="34" t="n"/>
      <c r="C21" s="31" t="inlineStr">
        <is>
          <t>2. 작업정보의 확인 방법</t>
        </is>
      </c>
      <c r="D21" s="30" t="n">
        <v>10</v>
      </c>
      <c r="E21" s="30" t="n">
        <v>3</v>
      </c>
      <c r="F21" s="30">
        <f>(0.5*D21)+((0.5*D21)*(1-(E21-1)/5))</f>
        <v/>
      </c>
      <c r="L21" s="22" t="n">
        <v>3</v>
      </c>
    </row>
    <row r="22" ht="15" customHeight="1" s="24">
      <c r="A22" s="34" t="n"/>
      <c r="B22" s="34" t="n"/>
      <c r="C22" s="31" t="inlineStr">
        <is>
          <t>3. 작업경로의 실시간 관리</t>
        </is>
      </c>
      <c r="D22" s="30" t="n">
        <v>10</v>
      </c>
      <c r="E22" s="35" t="n">
        <v>3</v>
      </c>
      <c r="F22" s="30">
        <f>(0.5*D22)+((0.5*D22)*(1-(E22-1)/5))</f>
        <v/>
      </c>
      <c r="L22" s="22" t="n">
        <v>3</v>
      </c>
      <c r="M22" s="22" t="inlineStr">
        <is>
          <t>1.4.3: 4→3등급 (픽킹 리스트 로케이션 순 자동 정렬, 2026.10.07 조정)</t>
        </is>
      </c>
    </row>
    <row r="23" ht="15" customHeight="1" s="24">
      <c r="A23" s="34" t="n"/>
      <c r="B23" s="34" t="n"/>
      <c r="C23" s="31" t="inlineStr">
        <is>
          <t>4. 피킹 장소의 확인 및 작업 방법</t>
        </is>
      </c>
      <c r="D23" s="30" t="n">
        <v>20</v>
      </c>
      <c r="E23" s="30" t="n">
        <v>3</v>
      </c>
      <c r="F23" s="30">
        <f>(0.5*D23)+((0.5*D23)*(1-(E23-1)/5))</f>
        <v/>
      </c>
      <c r="L23" s="22" t="n">
        <v>3</v>
      </c>
    </row>
    <row r="24" ht="15" customHeight="1" s="24">
      <c r="A24" s="34" t="n"/>
      <c r="B24" s="34" t="n"/>
      <c r="C24" s="31" t="inlineStr">
        <is>
          <t>5. 분류정보의 생성 및 지시</t>
        </is>
      </c>
      <c r="D24" s="30" t="n">
        <v>20</v>
      </c>
      <c r="E24" s="30" t="n">
        <v>3</v>
      </c>
      <c r="F24" s="30">
        <f>(0.5*D24)+((0.5*D24)*(1-(E24-1)/5))</f>
        <v/>
      </c>
      <c r="L24" s="22" t="n">
        <v>3</v>
      </c>
    </row>
    <row r="25" ht="15" customHeight="1" s="24">
      <c r="A25" s="34" t="n"/>
      <c r="B25" s="34" t="n"/>
      <c r="C25" s="31" t="inlineStr">
        <is>
          <t>6. 분류 작업</t>
        </is>
      </c>
      <c r="D25" s="30" t="n">
        <v>20</v>
      </c>
      <c r="E25" s="30" t="n">
        <v>3</v>
      </c>
      <c r="F25" s="30">
        <f>(0.5*D25)+((0.5*D25)*(1-(E25-1)/5))</f>
        <v/>
      </c>
      <c r="L25" s="22" t="n">
        <v>3</v>
      </c>
    </row>
    <row r="26" ht="15" customHeight="1" s="24">
      <c r="A26" s="34" t="n"/>
      <c r="B26" s="36" t="n"/>
      <c r="C26" s="37" t="inlineStr">
        <is>
          <t>소계</t>
        </is>
      </c>
      <c r="D26" s="37">
        <f>SUM(D20:D25)</f>
        <v/>
      </c>
      <c r="E26" s="37" t="n"/>
      <c r="F26" s="37">
        <f>SUM(F20:F25)</f>
        <v/>
      </c>
    </row>
    <row r="27" ht="15" customHeight="1" s="24">
      <c r="A27" s="34" t="n"/>
      <c r="B27" s="30" t="inlineStr">
        <is>
          <t>5. 검품·검수 및 포장</t>
        </is>
      </c>
      <c r="C27" s="31" t="inlineStr">
        <is>
          <t xml:space="preserve">1. 포장장소로의 정보 제공 및 이동 </t>
        </is>
      </c>
      <c r="D27" s="30" t="n">
        <v>20</v>
      </c>
      <c r="E27" s="32" t="n">
        <v>3</v>
      </c>
      <c r="F27" s="30">
        <f>(0.5*D27)+((0.5*D27)*(1-(E27-1)/5))</f>
        <v/>
      </c>
      <c r="L27" s="22" t="n">
        <v>2</v>
      </c>
      <c r="M27" s="22" t="inlineStr">
        <is>
          <t>1.5.1: 2→3등급 (01 자체평가서 판단근거 참조)</t>
        </is>
      </c>
    </row>
    <row r="28" ht="15" customHeight="1" s="24">
      <c r="A28" s="34" t="n"/>
      <c r="B28" s="34" t="n"/>
      <c r="C28" s="31" t="inlineStr">
        <is>
          <t>2. 포장재 및 포장물품 관리</t>
        </is>
      </c>
      <c r="D28" s="30" t="n">
        <v>15</v>
      </c>
      <c r="E28" s="35" t="n">
        <v>3</v>
      </c>
      <c r="F28" s="30">
        <f>(0.5*D28)+((0.5*D28)*(1-(E28-1)/5))</f>
        <v/>
      </c>
      <c r="L28" s="22" t="n">
        <v>2</v>
      </c>
      <c r="M28" s="22" t="inlineStr">
        <is>
          <t>1.5.2: 4→3등급 (포장재 재고관리 시스템 있음, 2026.10.07 조정)</t>
        </is>
      </c>
    </row>
    <row r="29" ht="15" customHeight="1" s="24">
      <c r="A29" s="34" t="n"/>
      <c r="B29" s="34" t="n"/>
      <c r="C29" s="31" t="inlineStr">
        <is>
          <t>3. 검품/검수 및 오류관리(인식 및 처리)</t>
        </is>
      </c>
      <c r="D29" s="30" t="n">
        <v>25</v>
      </c>
      <c r="E29" s="32" t="n">
        <v>3</v>
      </c>
      <c r="F29" s="30">
        <f>(0.5*D29)+((0.5*D29)*(1-(E29-1)/5))</f>
        <v/>
      </c>
      <c r="L29" s="22" t="n">
        <v>2</v>
      </c>
      <c r="M29" s="22" t="inlineStr">
        <is>
          <t>1.5.3: 2→3등급 (01 자체평가서 판단근거 참조)</t>
        </is>
      </c>
    </row>
    <row r="30" ht="15" customHeight="1" s="24">
      <c r="A30" s="34" t="n"/>
      <c r="B30" s="34" t="n"/>
      <c r="C30" s="31" t="inlineStr">
        <is>
          <t>4. 포장 작업</t>
        </is>
      </c>
      <c r="D30" s="30" t="n">
        <v>20</v>
      </c>
      <c r="E30" s="32" t="n">
        <v>4</v>
      </c>
      <c r="F30" s="30">
        <f>(0.5*D30)+((0.5*D30)*(1-(E30-1)/5))</f>
        <v/>
      </c>
      <c r="L30" s="22" t="n">
        <v>2</v>
      </c>
      <c r="M30" s="22" t="inlineStr">
        <is>
          <t>1.5.4: 2→4등급 (01 자체평가서 판단근거 참조)</t>
        </is>
      </c>
    </row>
    <row r="31" ht="15" customHeight="1" s="24">
      <c r="A31" s="34" t="n"/>
      <c r="B31" s="34" t="n"/>
      <c r="C31" s="31" t="inlineStr">
        <is>
          <t>5. 배송정보 표시(라벨) 및 부착</t>
        </is>
      </c>
      <c r="D31" s="30" t="n">
        <v>20</v>
      </c>
      <c r="E31" s="32" t="n">
        <v>3</v>
      </c>
      <c r="F31" s="30">
        <f>(0.5*D31)+((0.5*D31)*(1-(E31-1)/5))</f>
        <v/>
      </c>
      <c r="L31" s="22" t="n">
        <v>2</v>
      </c>
      <c r="M31" s="22" t="inlineStr">
        <is>
          <t>1.5.5: 2→3등급 (01 자체평가서 판단근거 참조)</t>
        </is>
      </c>
    </row>
    <row r="32" ht="15" customHeight="1" s="24">
      <c r="A32" s="34" t="n"/>
      <c r="B32" s="36" t="n"/>
      <c r="C32" s="37" t="inlineStr">
        <is>
          <t>소계</t>
        </is>
      </c>
      <c r="D32" s="37">
        <f>SUM(D27:D31)</f>
        <v/>
      </c>
      <c r="E32" s="37" t="n"/>
      <c r="F32" s="37">
        <f>SUM(F27:F31)</f>
        <v/>
      </c>
    </row>
    <row r="33" ht="15" customHeight="1" s="24">
      <c r="A33" s="34" t="n"/>
      <c r="B33" s="30" t="inlineStr">
        <is>
          <t>6. 상차 및 출고</t>
        </is>
      </c>
      <c r="C33" s="31" t="inlineStr">
        <is>
          <t xml:space="preserve">1. 발주처별 분류 </t>
        </is>
      </c>
      <c r="D33" s="30" t="n">
        <v>30</v>
      </c>
      <c r="E33" s="30" t="n">
        <v>3</v>
      </c>
      <c r="F33" s="30">
        <f>(0.5*D33)+((0.5*D33)*(1-(E33-1)/5))</f>
        <v/>
      </c>
      <c r="L33" s="22" t="n">
        <v>3</v>
      </c>
    </row>
    <row r="34" ht="15" customHeight="1" s="24">
      <c r="A34" s="34" t="n"/>
      <c r="B34" s="34" t="n"/>
      <c r="C34" s="31" t="inlineStr">
        <is>
          <t>2. 차량입차정보의 인식</t>
        </is>
      </c>
      <c r="D34" s="30" t="n">
        <v>20</v>
      </c>
      <c r="E34" s="32" t="n">
        <v>5</v>
      </c>
      <c r="F34" s="30">
        <f>(0.5*D34)+((0.5*D34)*(1-(E34-1)/5))</f>
        <v/>
      </c>
      <c r="L34" s="22" t="n">
        <v>3</v>
      </c>
      <c r="M34" s="22" t="inlineStr">
        <is>
          <t>1.6.2: 3→5등급 (01 자체평가서 판단근거 참조)</t>
        </is>
      </c>
    </row>
    <row r="35" ht="15" customHeight="1" s="24">
      <c r="A35" s="34" t="n"/>
      <c r="B35" s="34" t="n"/>
      <c r="C35" s="31" t="inlineStr">
        <is>
          <t>3. 상차순서 관리 및 작업</t>
        </is>
      </c>
      <c r="D35" s="30" t="n">
        <v>20</v>
      </c>
      <c r="E35" s="32" t="n">
        <v>4</v>
      </c>
      <c r="F35" s="30">
        <f>(0.5*D35)+((0.5*D35)*(1-(E35-1)/5))</f>
        <v/>
      </c>
      <c r="L35" s="22" t="n">
        <v>3</v>
      </c>
      <c r="M35" s="22" t="inlineStr">
        <is>
          <t>1.6.3: 3→4등급 (01 자체평가서 판단근거 참조)</t>
        </is>
      </c>
    </row>
    <row r="36" ht="15" customHeight="1" s="24">
      <c r="A36" s="34" t="n"/>
      <c r="B36" s="34" t="n"/>
      <c r="C36" s="31" t="inlineStr">
        <is>
          <t>4. 출고정보의 전달</t>
        </is>
      </c>
      <c r="D36" s="30" t="n">
        <v>30</v>
      </c>
      <c r="E36" s="30" t="n">
        <v>3</v>
      </c>
      <c r="F36" s="30">
        <f>(0.5*D36)+((0.5*D36)*(1-(E36-1)/5))</f>
        <v/>
      </c>
      <c r="L36" s="22" t="n">
        <v>3</v>
      </c>
    </row>
    <row r="37" ht="13.5" customHeight="1" s="24">
      <c r="A37" s="36" t="n"/>
      <c r="B37" s="36" t="n"/>
      <c r="C37" s="37" t="inlineStr">
        <is>
          <t>소계</t>
        </is>
      </c>
      <c r="D37" s="37">
        <f>SUM(D33:D36)</f>
        <v/>
      </c>
      <c r="E37" s="37" t="n"/>
      <c r="F37" s="37">
        <f>SUM(F33:F36)</f>
        <v/>
      </c>
    </row>
    <row r="38" ht="17.25" customFormat="1" customHeight="1" s="39">
      <c r="A38" s="40" t="inlineStr">
        <is>
          <t>기능영역 소계</t>
        </is>
      </c>
      <c r="B38" s="41" t="n"/>
      <c r="C38" s="42" t="n"/>
      <c r="D38" s="43">
        <f>SUM(D37,D32,D26,D19,D13,D8)</f>
        <v/>
      </c>
      <c r="E38" s="43" t="n"/>
      <c r="F38" s="43">
        <f>SUM(F37,F32,F26,F19,F13,F8)</f>
        <v/>
      </c>
    </row>
    <row r="39" ht="15" customHeight="1" s="24">
      <c r="A39" s="29" t="inlineStr">
        <is>
          <t>2. 기반영역</t>
        </is>
      </c>
      <c r="B39" s="30" t="inlineStr">
        <is>
          <t>1. 구조적 성능</t>
        </is>
      </c>
      <c r="C39" s="31" t="inlineStr">
        <is>
          <t>1. 도크 및 바닥성능(재질, 평탄도 및 하중)</t>
        </is>
      </c>
      <c r="D39" s="30" t="n">
        <v>20</v>
      </c>
      <c r="E39" s="32" t="n">
        <v>3</v>
      </c>
      <c r="F39" s="30">
        <f>(0.5*D39)+((0.5*D39)*(1-(E39-1)/5))</f>
        <v/>
      </c>
      <c r="L39" s="22" t="n">
        <v>2</v>
      </c>
      <c r="M39" s="22" t="inlineStr">
        <is>
          <t>2.1.1: 2→3등급 (01 자체평가서 판단근거 참조)</t>
        </is>
      </c>
    </row>
    <row r="40" ht="15" customHeight="1" s="24">
      <c r="A40" s="34" t="n"/>
      <c r="B40" s="34" t="n"/>
      <c r="C40" s="31" t="inlineStr">
        <is>
          <t>2. 내부구조(층고 및 기둥의 배치구조)</t>
        </is>
      </c>
      <c r="D40" s="30" t="n">
        <v>20</v>
      </c>
      <c r="E40" s="35" t="n">
        <v>1</v>
      </c>
      <c r="F40" s="30">
        <f>(0.5*D40)+((0.5*D40)*(1-(E40-1)/5))</f>
        <v/>
      </c>
      <c r="L40" s="22" t="n">
        <v>2</v>
      </c>
      <c r="M40" s="0" t="inlineStr">
        <is>
          <t>2.1.2: 2→1등급 (주 통로 내 기둥 없음, 10개 요소 모두 적용, 2026.10.07)</t>
        </is>
      </c>
    </row>
    <row r="41" ht="15" customHeight="1" s="24">
      <c r="A41" s="34" t="n"/>
      <c r="B41" s="34" t="n"/>
      <c r="C41" s="31" t="inlineStr">
        <is>
          <t>3. 배치 및 동선 관리</t>
        </is>
      </c>
      <c r="D41" s="30" t="n">
        <v>10</v>
      </c>
      <c r="E41" s="32" t="n">
        <v>3</v>
      </c>
      <c r="F41" s="30">
        <f>(0.5*D41)+((0.5*D41)*(1-(E41-1)/5))</f>
        <v/>
      </c>
      <c r="L41" s="22" t="n">
        <v>2</v>
      </c>
      <c r="M41" s="22" t="inlineStr">
        <is>
          <t>2.1.3: 2→3등급 (01 자체평가서 판단근거 참조)</t>
        </is>
      </c>
    </row>
    <row r="42" ht="15" customHeight="1" s="24">
      <c r="A42" s="34" t="n"/>
      <c r="B42" s="34" t="n"/>
      <c r="C42" s="31" t="inlineStr">
        <is>
          <t>4. 작업환경 관리(공조, 온도, 습도 등)</t>
        </is>
      </c>
      <c r="D42" s="30" t="n">
        <v>20</v>
      </c>
      <c r="E42" s="32" t="n">
        <v>3</v>
      </c>
      <c r="F42" s="30">
        <f>(0.5*D42)+((0.5*D42)*(1-(E42-1)/5))</f>
        <v/>
      </c>
      <c r="L42" s="22" t="n">
        <v>2</v>
      </c>
      <c r="M42" s="22" t="inlineStr">
        <is>
          <t>2.1.4: 2→3등급 (01 자체평가서 판단근거 참조)</t>
        </is>
      </c>
    </row>
    <row r="43" ht="27" customHeight="1" s="24">
      <c r="A43" s="34" t="n"/>
      <c r="B43" s="34" t="n"/>
      <c r="C43" s="44" t="inlineStr">
        <is>
          <t>5. 재해 및 안전관리
(방화, 내진, 소방·대피시설, 안전사고관리 등)</t>
        </is>
      </c>
      <c r="D43" s="30" t="n">
        <v>30</v>
      </c>
      <c r="E43" s="32" t="n">
        <v>3</v>
      </c>
      <c r="F43" s="30">
        <f>(0.5*D43)+((0.5*D43)*(1-(E43-1)/5))</f>
        <v/>
      </c>
      <c r="L43" s="22" t="n">
        <v>2</v>
      </c>
      <c r="M43" s="22" t="inlineStr">
        <is>
          <t>2.1.5: 2→3등급 (01 자체평가서 판단근거 참조)</t>
        </is>
      </c>
    </row>
    <row r="44" ht="13.5" customHeight="1" s="24">
      <c r="A44" s="34" t="n"/>
      <c r="B44" s="36" t="n"/>
      <c r="C44" s="37" t="inlineStr">
        <is>
          <t>소계</t>
        </is>
      </c>
      <c r="D44" s="37">
        <f>SUM(D39:D43)</f>
        <v/>
      </c>
      <c r="E44" s="37" t="n"/>
      <c r="F44" s="37">
        <f>SUM(F39:F43)</f>
        <v/>
      </c>
    </row>
    <row r="45" ht="15" customHeight="1" s="24">
      <c r="A45" s="34" t="n"/>
      <c r="B45" s="30" t="inlineStr">
        <is>
          <t>2. 성과관리</t>
        </is>
      </c>
      <c r="C45" s="31" t="inlineStr">
        <is>
          <t>1. 비용 절감</t>
        </is>
      </c>
      <c r="D45" s="30" t="n">
        <v>30</v>
      </c>
      <c r="E45" s="30" t="n">
        <v>3</v>
      </c>
      <c r="F45" s="30">
        <f>(0.5*D45)+((0.5*D45)*(1-(E45-1)/5))</f>
        <v/>
      </c>
      <c r="L45" s="22" t="n">
        <v>3</v>
      </c>
    </row>
    <row r="46" ht="15" customHeight="1" s="24">
      <c r="A46" s="34" t="n"/>
      <c r="B46" s="34" t="n"/>
      <c r="C46" s="31" t="inlineStr">
        <is>
          <t>2. 생산성 향상</t>
        </is>
      </c>
      <c r="D46" s="30" t="n">
        <v>30</v>
      </c>
      <c r="E46" s="30" t="n">
        <v>3</v>
      </c>
      <c r="F46" s="30">
        <f>(0.5*D46)+((0.5*D46)*(1-(E46-1)/5))</f>
        <v/>
      </c>
      <c r="L46" s="22" t="n">
        <v>3</v>
      </c>
    </row>
    <row r="47" ht="15" customHeight="1" s="24">
      <c r="A47" s="34" t="n"/>
      <c r="B47" s="34" t="n"/>
      <c r="C47" s="31" t="inlineStr">
        <is>
          <t xml:space="preserve">3. 품질 및 안전관리 </t>
        </is>
      </c>
      <c r="D47" s="30" t="n">
        <v>20</v>
      </c>
      <c r="E47" s="30" t="n">
        <v>3</v>
      </c>
      <c r="F47" s="30">
        <f>(0.5*D47)+((0.5*D47)*(1-(E47-1)/5))</f>
        <v/>
      </c>
      <c r="L47" s="22" t="n">
        <v>3</v>
      </c>
    </row>
    <row r="48" ht="27" customHeight="1" s="24">
      <c r="A48" s="34" t="n"/>
      <c r="B48" s="34" t="n"/>
      <c r="C48" s="44" t="inlineStr">
        <is>
          <t>4. 친환경관리
(절수, 절전, 폐기물, 재활용, 조명 등)</t>
        </is>
      </c>
      <c r="D48" s="30" t="n">
        <v>20</v>
      </c>
      <c r="E48" s="32" t="n">
        <v>4</v>
      </c>
      <c r="F48" s="30">
        <f>(0.5*D48)+((0.5*D48)*(1-(E48-1)/5))</f>
        <v/>
      </c>
      <c r="L48" s="22" t="n">
        <v>3</v>
      </c>
      <c r="M48" s="22" t="inlineStr">
        <is>
          <t>2.2.4: 3→4등급 (01 자체평가서 판단근거 참조)</t>
        </is>
      </c>
    </row>
    <row r="49" ht="13.5" customHeight="1" s="24">
      <c r="A49" s="34" t="n"/>
      <c r="B49" s="36" t="n"/>
      <c r="C49" s="37" t="inlineStr">
        <is>
          <t>소계</t>
        </is>
      </c>
      <c r="D49" s="37">
        <f>SUM(D45:D48)</f>
        <v/>
      </c>
      <c r="E49" s="37" t="n"/>
      <c r="F49" s="37">
        <f>SUM(F45:F48)</f>
        <v/>
      </c>
    </row>
    <row r="50" ht="15" customHeight="1" s="24">
      <c r="A50" s="34" t="n"/>
      <c r="B50" s="30" t="inlineStr">
        <is>
          <t>3. 정보시스템</t>
        </is>
      </c>
      <c r="C50" s="31" t="inlineStr">
        <is>
          <t xml:space="preserve">1. 창고관리시스템(WMS*) </t>
        </is>
      </c>
      <c r="D50" s="30" t="n">
        <v>150</v>
      </c>
      <c r="E50" s="30" t="n"/>
      <c r="F50" s="30">
        <f>SUM(F51:F55)</f>
        <v/>
      </c>
    </row>
    <row r="51" ht="15" customHeight="1" s="24">
      <c r="A51" s="34" t="n"/>
      <c r="B51" s="34" t="n"/>
      <c r="C51" s="31" t="inlineStr">
        <is>
          <t xml:space="preserve">   1-1 수발주시스템/상품분류시스템</t>
        </is>
      </c>
      <c r="D51" s="45" t="n">
        <v>20</v>
      </c>
      <c r="E51" s="32" t="n">
        <v>3</v>
      </c>
      <c r="F51" s="30">
        <f>(0.5*D51)+((0.5*D51)*(1-(E51-1)/5))</f>
        <v/>
      </c>
      <c r="L51" s="22" t="n">
        <v>2</v>
      </c>
      <c r="M51" s="22" t="inlineStr">
        <is>
          <t>2.3.1-1: 2→3등급 (01 자체평가서 판단근거 참조)</t>
        </is>
      </c>
    </row>
    <row r="52" ht="15" customHeight="1" s="24">
      <c r="A52" s="34" t="n"/>
      <c r="B52" s="34" t="n"/>
      <c r="C52" s="31" t="inlineStr">
        <is>
          <t xml:space="preserve">   1-2 입출고 및 배차배송시스템 </t>
        </is>
      </c>
      <c r="D52" s="45" t="n">
        <v>30</v>
      </c>
      <c r="E52" s="32" t="n">
        <v>3</v>
      </c>
      <c r="F52" s="30">
        <f>(0.5*D52)+((0.5*D52)*(1-(E52-1)/5))</f>
        <v/>
      </c>
      <c r="L52" s="22" t="n">
        <v>2</v>
      </c>
      <c r="M52" s="22" t="inlineStr">
        <is>
          <t>2.3.1-2: 2→3등급 (01 자체평가서 판단근거 참조)</t>
        </is>
      </c>
    </row>
    <row r="53" ht="15" customHeight="1" s="24">
      <c r="A53" s="34" t="n"/>
      <c r="B53" s="34" t="n"/>
      <c r="C53" s="31" t="inlineStr">
        <is>
          <t xml:space="preserve">   1-3 재고관리시스템</t>
        </is>
      </c>
      <c r="D53" s="45" t="n">
        <v>30</v>
      </c>
      <c r="E53" s="30" t="n">
        <v>2</v>
      </c>
      <c r="F53" s="30">
        <f>(0.5*D53)+((0.5*D53)*(1-(E53-1)/5))</f>
        <v/>
      </c>
      <c r="L53" s="22" t="n">
        <v>2</v>
      </c>
    </row>
    <row r="54" ht="15" customHeight="1" s="24">
      <c r="A54" s="34" t="n"/>
      <c r="B54" s="34" t="n"/>
      <c r="C54" s="31" t="inlineStr">
        <is>
          <t xml:space="preserve">   1-4 자원관리시스템</t>
        </is>
      </c>
      <c r="D54" s="45" t="n">
        <v>20</v>
      </c>
      <c r="E54" s="32" t="n">
        <v>3</v>
      </c>
      <c r="F54" s="30">
        <f>(0.5*D54)+((0.5*D54)*(1-(E54-1)/5))</f>
        <v/>
      </c>
      <c r="L54" s="22" t="n">
        <v>2</v>
      </c>
      <c r="M54" s="22" t="inlineStr">
        <is>
          <t>2.3.1-4: 2→3등급 (01 자체평가서 판단근거 참조)</t>
        </is>
      </c>
    </row>
    <row r="55" ht="15" customHeight="1" s="24">
      <c r="A55" s="34" t="n"/>
      <c r="B55" s="34" t="n"/>
      <c r="C55" s="31" t="inlineStr">
        <is>
          <t xml:space="preserve">   1-5 물류지원시스템</t>
        </is>
      </c>
      <c r="D55" s="45" t="n">
        <v>50</v>
      </c>
      <c r="E55" s="32" t="n">
        <v>3</v>
      </c>
      <c r="F55" s="30">
        <f>(0.5*D55)+((0.5*D55)*(1-(E55-1)/5))</f>
        <v/>
      </c>
      <c r="L55" s="22" t="n">
        <v>2</v>
      </c>
      <c r="M55" s="22" t="inlineStr">
        <is>
          <t>2.3.1-5: 2→3등급 (01 자체평가서 판단근거 참조)</t>
        </is>
      </c>
    </row>
    <row r="56" ht="15" customHeight="1" s="24">
      <c r="A56" s="34" t="n"/>
      <c r="B56" s="34" t="n"/>
      <c r="C56" s="31" t="inlineStr">
        <is>
          <t>2. 창고제어시스템(WCS**, MCS***)</t>
        </is>
      </c>
      <c r="D56" s="30" t="n">
        <v>50</v>
      </c>
      <c r="E56" s="32" t="n">
        <v>4</v>
      </c>
      <c r="F56" s="30">
        <f>(0.5*D56)+((0.5*D56)*(1-(E56-1)/5))</f>
        <v/>
      </c>
      <c r="L56" s="22" t="n">
        <v>2</v>
      </c>
      <c r="M56" s="22" t="inlineStr">
        <is>
          <t>2.3.2: 2→4등급 (01 자체평가서 판단근거 참조)</t>
        </is>
      </c>
    </row>
    <row r="57" ht="13.5" customHeight="1" s="24">
      <c r="A57" s="36" t="n"/>
      <c r="B57" s="36" t="n"/>
      <c r="C57" s="37" t="inlineStr">
        <is>
          <t>소계</t>
        </is>
      </c>
      <c r="D57" s="37">
        <f>SUM(D51:D56)</f>
        <v/>
      </c>
      <c r="E57" s="37" t="n"/>
      <c r="F57" s="37">
        <f>SUM(F51:F56)</f>
        <v/>
      </c>
    </row>
    <row r="58" ht="13.5" customFormat="1" customHeight="1" s="39">
      <c r="A58" s="46" t="n"/>
      <c r="B58" s="46" t="n"/>
      <c r="C58" s="47" t="inlineStr">
        <is>
          <t>기반영역 소계</t>
        </is>
      </c>
      <c r="D58" s="43">
        <f>SUM(D44,D49,D57)</f>
        <v/>
      </c>
      <c r="E58" s="43" t="n"/>
      <c r="F58" s="43">
        <f>SUM(F44,F49,F57)</f>
        <v/>
      </c>
    </row>
    <row r="59" ht="17.25" customFormat="1" customHeight="1" s="39">
      <c r="A59" s="48" t="inlineStr">
        <is>
          <t>평가총점</t>
        </is>
      </c>
      <c r="B59" s="41" t="n"/>
      <c r="C59" s="42" t="n"/>
      <c r="D59" s="49">
        <f>SUM(D58,D38)</f>
        <v/>
      </c>
      <c r="E59" s="49" t="n"/>
      <c r="F59" s="49">
        <f>SUM(F58,F38)</f>
        <v/>
      </c>
    </row>
  </sheetData>
  <mergeCells count="16">
    <mergeCell ref="H1:J1"/>
    <mergeCell ref="A39:A57"/>
    <mergeCell ref="B3:B8"/>
    <mergeCell ref="B9:B13"/>
    <mergeCell ref="B33:B37"/>
    <mergeCell ref="A1:F1"/>
    <mergeCell ref="A3:A37"/>
    <mergeCell ref="B39:B44"/>
    <mergeCell ref="B45:B49"/>
    <mergeCell ref="J3:J7"/>
    <mergeCell ref="B20:B26"/>
    <mergeCell ref="A59:C59"/>
    <mergeCell ref="B14:B19"/>
    <mergeCell ref="A38:C38"/>
    <mergeCell ref="B27:B32"/>
    <mergeCell ref="B50:B5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leech</dc:creator>
  <dc:language xmlns:dc="http://purl.org/dc/elements/1.1/">en-US</dc:language>
  <dcterms:created xmlns:dcterms="http://purl.org/dc/terms/" xmlns:xsi="http://www.w3.org/2001/XMLSchema-instance" xsi:type="dcterms:W3CDTF">2021-06-23T12:32:59Z</dcterms:created>
  <dcterms:modified xmlns:dcterms="http://purl.org/dc/terms/" xmlns:xsi="http://www.w3.org/2001/XMLSchema-instance" xsi:type="dcterms:W3CDTF">2026-10-15T04:55:41Z</dcterms:modified>
  <cp:lastModifiedBy>KOTI</cp:lastModifiedBy>
  <cp:revision>0</cp:revision>
</cp:coreProperties>
</file>