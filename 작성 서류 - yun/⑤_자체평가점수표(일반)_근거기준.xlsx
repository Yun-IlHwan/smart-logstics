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일반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<sst xmlns="http://schemas.openxmlformats.org/spreadsheetml/2006/main" count="117" uniqueCount="108">
  <si>
    <r>
      <rPr>
        <b val="true"/>
        <sz val="16"/>
        <color theme="1"/>
        <rFont val="Noto Sans CJK SC"/>
        <family val="2"/>
      </rPr>
      <t xml:space="preserve">스마트물류센터</t>
    </r>
    <r>
      <rPr>
        <b val="true"/>
        <sz val="16"/>
        <color theme="1"/>
        <rFont val="맑은 고딕"/>
        <family val="3"/>
        <charset val="129"/>
      </rPr>
      <t xml:space="preserve">(</t>
    </r>
    <r>
      <rPr>
        <b val="true"/>
        <sz val="16"/>
        <color theme="1"/>
        <rFont val="Noto Sans CJK SC"/>
        <family val="2"/>
      </rPr>
      <t xml:space="preserve">일반</t>
    </r>
    <r>
      <rPr>
        <b val="true"/>
        <sz val="16"/>
        <color theme="1"/>
        <rFont val="맑은 고딕"/>
        <family val="3"/>
        <charset val="129"/>
      </rPr>
      <t xml:space="preserve">) </t>
    </r>
    <r>
      <rPr>
        <b val="true"/>
        <sz val="16"/>
        <color theme="1"/>
        <rFont val="Noto Sans CJK SC"/>
        <family val="2"/>
      </rPr>
      <t xml:space="preserve">인증 평가영역별 자체평가점수표</t>
    </r>
  </si>
  <si>
    <t xml:space="preserve">인증등급별 점수기준</t>
  </si>
  <si>
    <t xml:space="preserve">평가영역</t>
  </si>
  <si>
    <t xml:space="preserve">평가항목</t>
  </si>
  <si>
    <t xml:space="preserve">세부항목</t>
  </si>
  <si>
    <t xml:space="preserve">배점</t>
  </si>
  <si>
    <r>
      <rPr>
        <b val="true"/>
        <sz val="10"/>
        <color theme="1"/>
        <rFont val="Noto Sans CJK SC"/>
        <family val="2"/>
      </rPr>
      <t xml:space="preserve">자체평가</t>
    </r>
    <r>
      <rPr>
        <b val="true"/>
        <sz val="10"/>
        <color theme="1"/>
        <rFont val="맑은 고딕"/>
        <family val="3"/>
        <charset val="129"/>
      </rPr>
      <t xml:space="preserve">(</t>
    </r>
    <r>
      <rPr>
        <b val="true"/>
        <sz val="10"/>
        <color theme="1"/>
        <rFont val="Noto Sans CJK SC"/>
        <family val="2"/>
      </rPr>
      <t xml:space="preserve">등급</t>
    </r>
    <r>
      <rPr>
        <b val="true"/>
        <sz val="10"/>
        <color theme="1"/>
        <rFont val="맑은 고딕"/>
        <family val="3"/>
        <charset val="129"/>
      </rPr>
      <t xml:space="preserve">)</t>
    </r>
  </si>
  <si>
    <t xml:space="preserve">득점</t>
  </si>
  <si>
    <t xml:space="preserve">등급</t>
  </si>
  <si>
    <t xml:space="preserve">평가총점</t>
  </si>
  <si>
    <t xml:space="preserve">비고</t>
  </si>
  <si>
    <r>
      <rPr>
        <b val="true"/>
        <sz val="11"/>
        <rFont val="Noto Sans CJK SC"/>
        <family val="2"/>
      </rPr>
      <t xml:space="preserve">기존 등급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참고</t>
    </r>
    <r>
      <rPr>
        <b val="true"/>
        <sz val="11"/>
        <rFont val="Cambria"/>
        <family val="0"/>
        <charset val="1"/>
      </rPr>
      <t xml:space="preserve">)</t>
    </r>
  </si>
  <si>
    <t xml:space="preserve">조정 사유</t>
  </si>
  <si>
    <r>
      <rPr>
        <b val="true"/>
        <sz val="10"/>
        <color theme="1"/>
        <rFont val="맑은 고딕"/>
        <family val="3"/>
        <charset val="129"/>
      </rPr>
      <t xml:space="preserve">1. </t>
    </r>
    <r>
      <rPr>
        <b val="true"/>
        <sz val="10"/>
        <color theme="1"/>
        <rFont val="Noto Sans CJK SC"/>
        <family val="2"/>
      </rPr>
      <t xml:space="preserve">기능영역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</si>
  <si>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하차 및 입고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</si>
  <si>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입고예정정보의 확인</t>
    </r>
  </si>
  <si>
    <r>
      <rPr>
        <sz val="10"/>
        <color theme="1"/>
        <rFont val="맑은 고딕"/>
        <family val="2"/>
        <charset val="129"/>
      </rPr>
      <t xml:space="preserve">1</t>
    </r>
    <r>
      <rPr>
        <sz val="10"/>
        <color theme="1"/>
        <rFont val="Noto Sans CJK SC"/>
        <family val="2"/>
      </rPr>
      <t xml:space="preserve">등급</t>
    </r>
  </si>
  <si>
    <r>
      <rPr>
        <sz val="10"/>
        <color theme="1"/>
        <rFont val="맑은 고딕"/>
        <family val="2"/>
        <charset val="129"/>
      </rPr>
      <t xml:space="preserve">950</t>
    </r>
    <r>
      <rPr>
        <sz val="10"/>
        <color theme="1"/>
        <rFont val="Noto Sans CJK SC"/>
        <family val="2"/>
      </rPr>
      <t xml:space="preserve">점 초과</t>
    </r>
  </si>
  <si>
    <r>
      <rPr>
        <sz val="10"/>
        <color theme="1"/>
        <rFont val="맑은 고딕"/>
        <family val="2"/>
        <charset val="129"/>
      </rPr>
      <t xml:space="preserve">1,000</t>
    </r>
    <r>
      <rPr>
        <sz val="10"/>
        <color theme="1"/>
        <rFont val="Noto Sans CJK SC"/>
        <family val="2"/>
      </rPr>
      <t xml:space="preserve">점
만점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</si>
  <si>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하역 작업</t>
    </r>
  </si>
  <si>
    <r>
      <rPr>
        <sz val="10"/>
        <color theme="1"/>
        <rFont val="맑은 고딕"/>
        <family val="2"/>
        <charset val="129"/>
      </rPr>
      <t xml:space="preserve">2</t>
    </r>
    <r>
      <rPr>
        <sz val="10"/>
        <color theme="1"/>
        <rFont val="Noto Sans CJK SC"/>
        <family val="2"/>
      </rPr>
      <t xml:space="preserve">등급</t>
    </r>
  </si>
  <si>
    <r>
      <rPr>
        <sz val="10"/>
        <color theme="1"/>
        <rFont val="맑은 고딕"/>
        <family val="2"/>
        <charset val="129"/>
      </rPr>
      <t xml:space="preserve">850</t>
    </r>
    <r>
      <rPr>
        <sz val="10"/>
        <color theme="1"/>
        <rFont val="Noto Sans CJK SC"/>
        <family val="2"/>
      </rPr>
      <t xml:space="preserve">점 초과 </t>
    </r>
    <r>
      <rPr>
        <sz val="10"/>
        <color theme="1"/>
        <rFont val="맑은 고딕"/>
        <family val="2"/>
        <charset val="129"/>
      </rPr>
      <t xml:space="preserve">950</t>
    </r>
    <r>
      <rPr>
        <sz val="10"/>
        <color theme="1"/>
        <rFont val="Noto Sans CJK SC"/>
        <family val="2"/>
      </rPr>
      <t xml:space="preserve">점 이하 득점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</si>
  <si>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상품 검수</t>
    </r>
    <r>
      <rPr>
        <sz val="10"/>
        <color theme="1"/>
        <rFont val="맑은 고딕"/>
        <family val="2"/>
        <charset val="129"/>
      </rPr>
      <t xml:space="preserve">/</t>
    </r>
    <r>
      <rPr>
        <sz val="10"/>
        <color theme="1"/>
        <rFont val="Noto Sans CJK SC"/>
        <family val="2"/>
      </rPr>
      <t xml:space="preserve">검품</t>
    </r>
    <r>
      <rPr>
        <sz val="10"/>
        <color theme="1"/>
        <rFont val="맑은 고딕"/>
        <family val="2"/>
        <charset val="129"/>
      </rPr>
      <t xml:space="preserve">/</t>
    </r>
    <r>
      <rPr>
        <sz val="10"/>
        <color theme="1"/>
        <rFont val="Noto Sans CJK SC"/>
        <family val="2"/>
      </rPr>
      <t xml:space="preserve">분류</t>
    </r>
  </si>
  <si>
    <r>
      <rPr>
        <sz val="10"/>
        <color theme="1"/>
        <rFont val="맑은 고딕"/>
        <family val="2"/>
        <charset val="129"/>
      </rPr>
      <t xml:space="preserve">3</t>
    </r>
    <r>
      <rPr>
        <sz val="10"/>
        <color theme="1"/>
        <rFont val="Noto Sans CJK SC"/>
        <family val="2"/>
      </rPr>
      <t xml:space="preserve">등급</t>
    </r>
  </si>
  <si>
    <r>
      <rPr>
        <sz val="10"/>
        <color theme="1"/>
        <rFont val="맑은 고딕"/>
        <family val="2"/>
        <charset val="129"/>
      </rPr>
      <t xml:space="preserve">750</t>
    </r>
    <r>
      <rPr>
        <sz val="10"/>
        <color theme="1"/>
        <rFont val="Noto Sans CJK SC"/>
        <family val="2"/>
      </rPr>
      <t xml:space="preserve">점 초과 </t>
    </r>
    <r>
      <rPr>
        <sz val="10"/>
        <color theme="1"/>
        <rFont val="맑은 고딕"/>
        <family val="2"/>
        <charset val="129"/>
      </rPr>
      <t xml:space="preserve">850</t>
    </r>
    <r>
      <rPr>
        <sz val="10"/>
        <color theme="1"/>
        <rFont val="Noto Sans CJK SC"/>
        <family val="2"/>
      </rPr>
      <t xml:space="preserve">점 이하 득점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</si>
  <si>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제품정보의 인식 및 등록</t>
    </r>
  </si>
  <si>
    <r>
      <rPr>
        <sz val="10"/>
        <color theme="1"/>
        <rFont val="맑은 고딕"/>
        <family val="2"/>
        <charset val="129"/>
      </rPr>
      <t xml:space="preserve">4</t>
    </r>
    <r>
      <rPr>
        <sz val="10"/>
        <color theme="1"/>
        <rFont val="Noto Sans CJK SC"/>
        <family val="2"/>
      </rPr>
      <t xml:space="preserve">등급</t>
    </r>
  </si>
  <si>
    <r>
      <rPr>
        <sz val="10"/>
        <color theme="1"/>
        <rFont val="맑은 고딕"/>
        <family val="2"/>
        <charset val="129"/>
      </rPr>
      <t xml:space="preserve">650</t>
    </r>
    <r>
      <rPr>
        <sz val="10"/>
        <color theme="1"/>
        <rFont val="Noto Sans CJK SC"/>
        <family val="2"/>
      </rPr>
      <t xml:space="preserve">점 초과 </t>
    </r>
    <r>
      <rPr>
        <sz val="10"/>
        <color theme="1"/>
        <rFont val="맑은 고딕"/>
        <family val="2"/>
        <charset val="129"/>
      </rPr>
      <t xml:space="preserve">750</t>
    </r>
    <r>
      <rPr>
        <sz val="10"/>
        <color theme="1"/>
        <rFont val="Noto Sans CJK SC"/>
        <family val="2"/>
      </rPr>
      <t xml:space="preserve">점 이하 득점</t>
    </r>
  </si>
  <si>
    <r>
      <rPr>
        <sz val="10"/>
        <color theme="1"/>
        <rFont val="맑은 고딕"/>
        <family val="2"/>
        <charset val="129"/>
      </rPr>
      <t xml:space="preserve">1.1.4: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</si>
  <si>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5. </t>
    </r>
    <r>
      <rPr>
        <sz val="10"/>
        <color theme="1"/>
        <rFont val="Noto Sans CJK SC"/>
        <family val="2"/>
      </rPr>
      <t xml:space="preserve">입고 처리</t>
    </r>
  </si>
  <si>
    <r>
      <rPr>
        <sz val="10"/>
        <color theme="1"/>
        <rFont val="맑은 고딕"/>
        <family val="2"/>
        <charset val="129"/>
      </rPr>
      <t xml:space="preserve">5</t>
    </r>
    <r>
      <rPr>
        <sz val="10"/>
        <color theme="1"/>
        <rFont val="Noto Sans CJK SC"/>
        <family val="2"/>
      </rPr>
      <t xml:space="preserve">등급</t>
    </r>
  </si>
  <si>
    <r>
      <rPr>
        <sz val="10"/>
        <color theme="1"/>
        <rFont val="맑은 고딕"/>
        <family val="2"/>
        <charset val="129"/>
      </rPr>
      <t xml:space="preserve">550</t>
    </r>
    <r>
      <rPr>
        <sz val="10"/>
        <color theme="1"/>
        <rFont val="Noto Sans CJK SC"/>
        <family val="2"/>
      </rPr>
      <t xml:space="preserve">점 초과 </t>
    </r>
    <r>
      <rPr>
        <sz val="10"/>
        <color theme="1"/>
        <rFont val="맑은 고딕"/>
        <family val="2"/>
        <charset val="129"/>
      </rPr>
      <t xml:space="preserve">650</t>
    </r>
    <r>
      <rPr>
        <sz val="10"/>
        <color theme="1"/>
        <rFont val="Noto Sans CJK SC"/>
        <family val="2"/>
      </rPr>
      <t xml:space="preserve">점 이하 득점</t>
    </r>
  </si>
  <si>
    <t xml:space="preserve">소계</t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</si>
  <si>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운반 및 적치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</si>
  <si>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작업정보의 정보제공</t>
    </r>
  </si>
  <si>
    <r>
      <rPr>
        <sz val="10"/>
        <color theme="1"/>
        <rFont val="맑은 고딕"/>
        <family val="2"/>
        <charset val="129"/>
      </rPr>
      <t xml:space="preserve">1.2.1: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</si>
  <si>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적치장소 이동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</si>
  <si>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작업경로 관리</t>
    </r>
  </si>
  <si>
    <r>
      <rPr>
        <sz val="10"/>
        <color theme="1"/>
        <rFont val="맑은 고딕"/>
        <family val="2"/>
        <charset val="129"/>
      </rPr>
      <t xml:space="preserve">1.2.3: 3→4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</si>
  <si>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적치장소 식별 및 작업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</si>
  <si>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보관 및 재고관리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</si>
  <si>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재고조사의 수행 및 방법</t>
    </r>
  </si>
  <si>
    <r>
      <rPr>
        <sz val="10"/>
        <color theme="1"/>
        <rFont val="맑은 고딕"/>
        <family val="2"/>
        <charset val="129"/>
      </rPr>
      <t xml:space="preserve">1.3.1: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</si>
  <si>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재고보충정보의 생성 및 지시</t>
    </r>
  </si>
  <si>
    <r>
      <rPr>
        <sz val="10"/>
        <color theme="1"/>
        <rFont val="맑은 고딕"/>
        <family val="2"/>
        <charset val="129"/>
      </rPr>
      <t xml:space="preserve">1.3.2: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</si>
  <si>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재고 보관위치의 조정 </t>
    </r>
  </si>
  <si>
    <r>
      <rPr>
        <sz val="10"/>
        <color theme="1"/>
        <rFont val="맑은 고딕"/>
        <family val="2"/>
        <charset val="129"/>
      </rPr>
      <t xml:space="preserve">1.3.3: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</si>
  <si>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보관장소의 모니터링 및 관리</t>
    </r>
  </si>
  <si>
    <r>
      <rPr>
        <sz val="10"/>
        <color theme="1"/>
        <rFont val="맑은 고딕"/>
        <family val="2"/>
        <charset val="129"/>
      </rPr>
      <t xml:space="preserve">5. </t>
    </r>
    <r>
      <rPr>
        <sz val="10"/>
        <color theme="1"/>
        <rFont val="Noto Sans CJK SC"/>
        <family val="2"/>
      </rPr>
      <t xml:space="preserve">재고의 이력</t>
    </r>
    <r>
      <rPr>
        <sz val="10"/>
        <color theme="1"/>
        <rFont val="맑은 고딕"/>
        <family val="2"/>
        <charset val="129"/>
      </rPr>
      <t xml:space="preserve">(</t>
    </r>
    <r>
      <rPr>
        <sz val="10"/>
        <color theme="1"/>
        <rFont val="Noto Sans CJK SC"/>
        <family val="2"/>
      </rPr>
      <t xml:space="preserve">선입선출 등</t>
    </r>
    <r>
      <rPr>
        <sz val="10"/>
        <color theme="1"/>
        <rFont val="맑은 고딕"/>
        <family val="2"/>
        <charset val="129"/>
      </rPr>
      <t xml:space="preserve">) </t>
    </r>
    <r>
      <rPr>
        <sz val="10"/>
        <color theme="1"/>
        <rFont val="Noto Sans CJK SC"/>
        <family val="2"/>
      </rPr>
      <t xml:space="preserve">및 품질관리</t>
    </r>
  </si>
  <si>
    <r>
      <rPr>
        <sz val="10"/>
        <color theme="1"/>
        <rFont val="맑은 고딕"/>
        <family val="2"/>
        <charset val="129"/>
      </rPr>
      <t xml:space="preserve">1.3.5: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</si>
  <si>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피킹 및 분류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</si>
  <si>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작업정보의 생성 및 지시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</si>
  <si>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작업정보의 확인 방법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</si>
  <si>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작업경로의 실시간 관리</t>
    </r>
  </si>
  <si>
    <r>
      <rPr>
        <sz val="10"/>
        <color theme="1"/>
        <rFont val="맑은 고딕"/>
        <family val="2"/>
        <charset val="129"/>
      </rPr>
      <t xml:space="preserve">1.4.3: 3→4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</si>
  <si>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피킹 장소의 확인 및 작업 방법</t>
    </r>
  </si>
  <si>
    <r>
      <rPr>
        <sz val="10"/>
        <color theme="1"/>
        <rFont val="맑은 고딕"/>
        <family val="2"/>
        <charset val="129"/>
      </rPr>
      <t xml:space="preserve">5. </t>
    </r>
    <r>
      <rPr>
        <sz val="10"/>
        <color theme="1"/>
        <rFont val="Noto Sans CJK SC"/>
        <family val="2"/>
      </rPr>
      <t xml:space="preserve">분류정보의 생성 및 지시</t>
    </r>
  </si>
  <si>
    <r>
      <rPr>
        <sz val="10"/>
        <color theme="1"/>
        <rFont val="맑은 고딕"/>
        <family val="2"/>
        <charset val="129"/>
      </rPr>
      <t xml:space="preserve">6. </t>
    </r>
    <r>
      <rPr>
        <sz val="10"/>
        <color theme="1"/>
        <rFont val="Noto Sans CJK SC"/>
        <family val="2"/>
      </rPr>
      <t xml:space="preserve">분류 작업</t>
    </r>
  </si>
  <si>
    <r>
      <rPr>
        <sz val="10"/>
        <color theme="1"/>
        <rFont val="맑은 고딕"/>
        <family val="2"/>
        <charset val="129"/>
      </rPr>
      <t xml:space="preserve">5. </t>
    </r>
    <r>
      <rPr>
        <sz val="10"/>
        <color theme="1"/>
        <rFont val="Noto Sans CJK SC"/>
        <family val="2"/>
      </rPr>
      <t xml:space="preserve">검품</t>
    </r>
    <r>
      <rPr>
        <sz val="10"/>
        <color theme="1"/>
        <rFont val="맑은 고딕"/>
        <family val="2"/>
        <charset val="129"/>
      </rPr>
      <t xml:space="preserve">·</t>
    </r>
    <r>
      <rPr>
        <sz val="10"/>
        <color theme="1"/>
        <rFont val="Noto Sans CJK SC"/>
        <family val="2"/>
      </rPr>
      <t xml:space="preserve">검수 및 포장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</si>
  <si>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포장장소로의 정보 제공 및 이동 </t>
    </r>
  </si>
  <si>
    <r>
      <rPr>
        <sz val="10"/>
        <color theme="1"/>
        <rFont val="맑은 고딕"/>
        <family val="2"/>
        <charset val="129"/>
      </rPr>
      <t xml:space="preserve">1.5.1: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</si>
  <si>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포장재 및 포장물품 관리</t>
    </r>
  </si>
  <si>
    <r>
      <rPr>
        <sz val="10"/>
        <color theme="1"/>
        <rFont val="맑은 고딕"/>
        <family val="2"/>
        <charset val="129"/>
      </rPr>
      <t xml:space="preserve">1.5.2: 2→4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</si>
  <si>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검품</t>
    </r>
    <r>
      <rPr>
        <sz val="10"/>
        <color theme="1"/>
        <rFont val="맑은 고딕"/>
        <family val="2"/>
        <charset val="129"/>
      </rPr>
      <t xml:space="preserve">/</t>
    </r>
    <r>
      <rPr>
        <sz val="10"/>
        <color theme="1"/>
        <rFont val="Noto Sans CJK SC"/>
        <family val="2"/>
      </rPr>
      <t xml:space="preserve">검수 및 오류관리</t>
    </r>
    <r>
      <rPr>
        <sz val="10"/>
        <color theme="1"/>
        <rFont val="맑은 고딕"/>
        <family val="2"/>
        <charset val="129"/>
      </rPr>
      <t xml:space="preserve">(</t>
    </r>
    <r>
      <rPr>
        <sz val="10"/>
        <color theme="1"/>
        <rFont val="Noto Sans CJK SC"/>
        <family val="2"/>
      </rPr>
      <t xml:space="preserve">인식 및 처리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</si>
  <si>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1.5.3: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</si>
  <si>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포장 작업</t>
    </r>
  </si>
  <si>
    <r>
      <rPr>
        <sz val="10"/>
        <color theme="1"/>
        <rFont val="맑은 고딕"/>
        <family val="2"/>
        <charset val="129"/>
      </rPr>
      <t xml:space="preserve">1.5.4: 2→4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</si>
  <si>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5. </t>
    </r>
    <r>
      <rPr>
        <sz val="10"/>
        <color theme="1"/>
        <rFont val="Noto Sans CJK SC"/>
        <family val="2"/>
      </rPr>
      <t xml:space="preserve">배송정보 표시</t>
    </r>
    <r>
      <rPr>
        <sz val="10"/>
        <color theme="1"/>
        <rFont val="맑은 고딕"/>
        <family val="2"/>
        <charset val="129"/>
      </rPr>
      <t xml:space="preserve">(</t>
    </r>
    <r>
      <rPr>
        <sz val="10"/>
        <color theme="1"/>
        <rFont val="Noto Sans CJK SC"/>
        <family val="2"/>
      </rPr>
      <t xml:space="preserve">라벨</t>
    </r>
    <r>
      <rPr>
        <sz val="10"/>
        <color theme="1"/>
        <rFont val="맑은 고딕"/>
        <family val="2"/>
        <charset val="129"/>
      </rPr>
      <t xml:space="preserve">) </t>
    </r>
    <r>
      <rPr>
        <sz val="10"/>
        <color theme="1"/>
        <rFont val="Noto Sans CJK SC"/>
        <family val="2"/>
      </rPr>
      <t xml:space="preserve">및 부착</t>
    </r>
  </si>
  <si>
    <r>
      <rPr>
        <sz val="10"/>
        <color theme="1"/>
        <rFont val="맑은 고딕"/>
        <family val="2"/>
        <charset val="129"/>
      </rPr>
      <t xml:space="preserve">1.5.5: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</si>
  <si>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6. </t>
    </r>
    <r>
      <rPr>
        <sz val="10"/>
        <color theme="1"/>
        <rFont val="Noto Sans CJK SC"/>
        <family val="2"/>
      </rPr>
      <t xml:space="preserve">상차 및 출고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</si>
  <si>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발주처별 분류 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</si>
  <si>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차량입차정보의 인식</t>
    </r>
  </si>
  <si>
    <r>
      <rPr>
        <sz val="10"/>
        <color theme="1"/>
        <rFont val="맑은 고딕"/>
        <family val="2"/>
        <charset val="129"/>
      </rPr>
      <t xml:space="preserve">1.6.2: 3→5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</si>
  <si>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상차순서 관리 및 작업</t>
    </r>
  </si>
  <si>
    <r>
      <rPr>
        <sz val="10"/>
        <color theme="1"/>
        <rFont val="맑은 고딕"/>
        <family val="2"/>
        <charset val="129"/>
      </rPr>
      <t xml:space="preserve">1.6.3: 3→4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</si>
  <si>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출고정보의 전달</t>
    </r>
  </si>
  <si>
    <t xml:space="preserve">기능영역 소계</t>
  </si>
  <si>
    <r>
      <rPr>
        <b val="true"/>
        <sz val="10"/>
        <color theme="1"/>
        <rFont val="맑은 고딕"/>
        <family val="3"/>
        <charset val="129"/>
      </rPr>
      <t xml:space="preserve">2. </t>
    </r>
    <r>
      <rPr>
        <b val="true"/>
        <sz val="10"/>
        <color theme="1"/>
        <rFont val="Noto Sans CJK SC"/>
        <family val="2"/>
      </rPr>
      <t xml:space="preserve">기반영역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</si>
  <si>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구조적 성능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</si>
  <si>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도크 및 바닥성능</t>
    </r>
    <r>
      <rPr>
        <sz val="10"/>
        <color theme="1"/>
        <rFont val="맑은 고딕"/>
        <family val="2"/>
        <charset val="129"/>
      </rPr>
      <t xml:space="preserve">(</t>
    </r>
    <r>
      <rPr>
        <sz val="10"/>
        <color theme="1"/>
        <rFont val="Noto Sans CJK SC"/>
        <family val="2"/>
      </rPr>
      <t xml:space="preserve">재질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평탄도 및 하중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</si>
  <si>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2.1.1: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</si>
  <si>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내부구조</t>
    </r>
    <r>
      <rPr>
        <sz val="10"/>
        <color theme="1"/>
        <rFont val="맑은 고딕"/>
        <family val="2"/>
        <charset val="129"/>
      </rPr>
      <t xml:space="preserve">(</t>
    </r>
    <r>
      <rPr>
        <sz val="10"/>
        <color theme="1"/>
        <rFont val="Noto Sans CJK SC"/>
        <family val="2"/>
      </rPr>
      <t xml:space="preserve">층고 및 기둥의 배치구조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</si>
  <si>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배치 및 동선 관리</t>
    </r>
  </si>
  <si>
    <r>
      <rPr>
        <sz val="10"/>
        <color theme="1"/>
        <rFont val="맑은 고딕"/>
        <family val="2"/>
        <charset val="129"/>
      </rPr>
      <t xml:space="preserve">2.1.3: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</si>
  <si>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작업환경 관리</t>
    </r>
    <r>
      <rPr>
        <sz val="10"/>
        <color theme="1"/>
        <rFont val="맑은 고딕"/>
        <family val="2"/>
        <charset val="129"/>
      </rPr>
      <t xml:space="preserve">(</t>
    </r>
    <r>
      <rPr>
        <sz val="10"/>
        <color theme="1"/>
        <rFont val="Noto Sans CJK SC"/>
        <family val="2"/>
      </rPr>
      <t xml:space="preserve">공조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온도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습도 등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</si>
  <si>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2.1.4: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</si>
  <si>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5. </t>
    </r>
    <r>
      <rPr>
        <sz val="10"/>
        <color theme="1"/>
        <rFont val="Noto Sans CJK SC"/>
        <family val="2"/>
      </rPr>
      <t xml:space="preserve">재해 및 안전관리
</t>
    </r>
    <r>
      <rPr>
        <sz val="10"/>
        <color theme="1"/>
        <rFont val="맑은 고딕"/>
        <family val="2"/>
        <charset val="129"/>
      </rPr>
      <t xml:space="preserve">(</t>
    </r>
    <r>
      <rPr>
        <sz val="10"/>
        <color theme="1"/>
        <rFont val="Noto Sans CJK SC"/>
        <family val="2"/>
      </rPr>
      <t xml:space="preserve">방화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내진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소방</t>
    </r>
    <r>
      <rPr>
        <sz val="10"/>
        <color theme="1"/>
        <rFont val="맑은 고딕"/>
        <family val="2"/>
        <charset val="129"/>
      </rPr>
      <t xml:space="preserve">·</t>
    </r>
    <r>
      <rPr>
        <sz val="10"/>
        <color theme="1"/>
        <rFont val="Noto Sans CJK SC"/>
        <family val="2"/>
      </rPr>
      <t xml:space="preserve">대피시설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안전사고관리 등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</si>
  <si>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2.1.5: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</si>
  <si>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성과관리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</si>
  <si>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비용 절감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</si>
  <si>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생산성 향상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</si>
  <si>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품질 및 안전관리 </t>
    </r>
  </si>
  <si>
    <r>
      <rPr>
        <sz val="10"/>
        <color theme="1"/>
        <rFont val="맑은 고딕"/>
        <family val="2"/>
        <charset val="129"/>
      </rPr>
      <t xml:space="preserve">4. </t>
    </r>
    <r>
      <rPr>
        <sz val="10"/>
        <color theme="1"/>
        <rFont val="Noto Sans CJK SC"/>
        <family val="2"/>
      </rPr>
      <t xml:space="preserve">친환경관리
</t>
    </r>
    <r>
      <rPr>
        <sz val="10"/>
        <color theme="1"/>
        <rFont val="맑은 고딕"/>
        <family val="2"/>
        <charset val="129"/>
      </rPr>
      <t xml:space="preserve">(</t>
    </r>
    <r>
      <rPr>
        <sz val="10"/>
        <color theme="1"/>
        <rFont val="Noto Sans CJK SC"/>
        <family val="2"/>
      </rPr>
      <t xml:space="preserve">절수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절전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폐기물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재활용</t>
    </r>
    <r>
      <rPr>
        <sz val="10"/>
        <color theme="1"/>
        <rFont val="맑은 고딕"/>
        <family val="2"/>
        <charset val="129"/>
      </rPr>
      <t xml:space="preserve">, </t>
    </r>
    <r>
      <rPr>
        <sz val="10"/>
        <color theme="1"/>
        <rFont val="Noto Sans CJK SC"/>
        <family val="2"/>
      </rPr>
      <t xml:space="preserve">조명 등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</si>
  <si>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2.2.4: 3→4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</si>
  <si>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3. </t>
    </r>
    <r>
      <rPr>
        <sz val="10"/>
        <color theme="1"/>
        <rFont val="Noto Sans CJK SC"/>
        <family val="2"/>
      </rPr>
      <t xml:space="preserve">정보시스템</t>
    </r>
  </si>
  <si>
    <r>
      <rPr>
        <sz val="10"/>
        <color theme="1"/>
        <rFont val="맑은 고딕"/>
        <family val="2"/>
        <charset val="129"/>
      </rPr>
      <t xml:space="preserve">1. </t>
    </r>
    <r>
      <rPr>
        <sz val="10"/>
        <color theme="1"/>
        <rFont val="Noto Sans CJK SC"/>
        <family val="2"/>
      </rPr>
      <t xml:space="preserve">창고관리시스템</t>
    </r>
    <r>
      <rPr>
        <sz val="10"/>
        <color theme="1"/>
        <rFont val="맑은 고딕"/>
        <family val="2"/>
        <charset val="129"/>
      </rPr>
      <t xml:space="preserve">(WMS*) </t>
    </r>
  </si>
  <si>
    <r>
      <rPr>
        <sz val="10"/>
        <color theme="1"/>
        <rFont val="맑은 고딕"/>
        <family val="2"/>
        <charset val="129"/>
      </rPr>
      <t xml:space="preserve">   1-1 </t>
    </r>
    <r>
      <rPr>
        <sz val="10"/>
        <color theme="1"/>
        <rFont val="Noto Sans CJK SC"/>
        <family val="2"/>
      </rPr>
      <t xml:space="preserve">수발주시스템</t>
    </r>
    <r>
      <rPr>
        <sz val="10"/>
        <color theme="1"/>
        <rFont val="맑은 고딕"/>
        <family val="2"/>
        <charset val="129"/>
      </rPr>
      <t xml:space="preserve">/</t>
    </r>
    <r>
      <rPr>
        <sz val="10"/>
        <color theme="1"/>
        <rFont val="Noto Sans CJK SC"/>
        <family val="2"/>
      </rPr>
      <t xml:space="preserve">상품분류시스템</t>
    </r>
  </si>
  <si>
    <r>
      <rPr>
        <sz val="10"/>
        <color theme="1"/>
        <rFont val="맑은 고딕"/>
        <family val="2"/>
        <charset val="129"/>
      </rPr>
      <t xml:space="preserve">2.3.1-1: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</si>
  <si>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   1-2 </t>
    </r>
    <r>
      <rPr>
        <sz val="10"/>
        <color theme="1"/>
        <rFont val="Noto Sans CJK SC"/>
        <family val="2"/>
      </rPr>
      <t xml:space="preserve">입출고 및 배차배송시스템 </t>
    </r>
  </si>
  <si>
    <r>
      <rPr>
        <sz val="10"/>
        <color theme="1"/>
        <rFont val="맑은 고딕"/>
        <family val="2"/>
        <charset val="129"/>
      </rPr>
      <t xml:space="preserve">2.3.1-2: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</si>
  <si>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   1-3 </t>
    </r>
    <r>
      <rPr>
        <sz val="10"/>
        <color theme="1"/>
        <rFont val="Noto Sans CJK SC"/>
        <family val="2"/>
      </rPr>
      <t xml:space="preserve">재고관리시스템</t>
    </r>
  </si>
  <si>
    <r>
      <rPr>
        <sz val="10"/>
        <color theme="1"/>
        <rFont val="맑은 고딕"/>
        <family val="2"/>
        <charset val="129"/>
      </rPr>
      <t xml:space="preserve">   1-4 </t>
    </r>
    <r>
      <rPr>
        <sz val="10"/>
        <color theme="1"/>
        <rFont val="Noto Sans CJK SC"/>
        <family val="2"/>
      </rPr>
      <t xml:space="preserve">자원관리시스템</t>
    </r>
  </si>
  <si>
    <r>
      <rPr>
        <sz val="10"/>
        <color theme="1"/>
        <rFont val="맑은 고딕"/>
        <family val="2"/>
        <charset val="129"/>
      </rPr>
      <t xml:space="preserve">2.3.1-4: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</si>
  <si>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   1-5 </t>
    </r>
    <r>
      <rPr>
        <sz val="10"/>
        <color theme="1"/>
        <rFont val="Noto Sans CJK SC"/>
        <family val="2"/>
      </rPr>
      <t xml:space="preserve">물류지원시스템</t>
    </r>
  </si>
  <si>
    <r>
      <rPr>
        <sz val="10"/>
        <color theme="1"/>
        <rFont val="맑은 고딕"/>
        <family val="2"/>
        <charset val="129"/>
      </rPr>
      <t xml:space="preserve">2.3.1-5: 2→3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</si>
  <si>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r>
      <rPr>
        <sz val="10"/>
        <color theme="1"/>
        <rFont val="맑은 고딕"/>
        <family val="2"/>
        <charset val="129"/>
      </rPr>
      <t xml:space="preserve">2. </t>
    </r>
    <r>
      <rPr>
        <sz val="10"/>
        <color theme="1"/>
        <rFont val="Noto Sans CJK SC"/>
        <family val="2"/>
      </rPr>
      <t xml:space="preserve">창고제어시스템</t>
    </r>
    <r>
      <rPr>
        <sz val="10"/>
        <color theme="1"/>
        <rFont val="맑은 고딕"/>
        <family val="2"/>
        <charset val="129"/>
      </rPr>
      <t xml:space="preserve">(WCS**, MCS***)</t>
    </r>
  </si>
  <si>
    <r>
      <rPr>
        <sz val="10"/>
        <color theme="1"/>
        <rFont val="맑은 고딕"/>
        <family val="2"/>
        <charset val="129"/>
      </rPr>
      <t xml:space="preserve">2.3.2: 2→4</t>
    </r>
    <r>
      <rPr>
        <sz val="10"/>
        <color theme="1"/>
        <rFont val="Noto Sans CJK SC"/>
        <family val="2"/>
      </rPr>
      <t xml:space="preserve">등급 </t>
    </r>
    <r>
      <rPr>
        <sz val="10"/>
        <color theme="1"/>
        <rFont val="맑은 고딕"/>
        <family val="2"/>
        <charset val="129"/>
      </rPr>
      <t xml:space="preserve">(01 </t>
    </r>
    <r>
      <rPr>
        <sz val="10"/>
        <color theme="1"/>
        <rFont val="Noto Sans CJK SC"/>
        <family val="2"/>
      </rPr>
      <t xml:space="preserve">자체평가서 판단근거 참조</t>
    </r>
    <r>
      <rPr>
        <sz val="10"/>
        <color theme="1"/>
        <rFont val="맑은 고딕"/>
        <family val="2"/>
        <charset val="129"/>
      </rPr>
      <t xml:space="preserve">)</t>
    </r>
  </si>
  <si>
    <t xml:space="preserve">기반영역 소계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</si>
</sst>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General"/>
    <numFmt numFmtId="167" formatCode="\(#\)"/>
    <numFmt numFmtId="168" formatCode="#,##0"/>
  </numFmts>
  <fonts count="12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맑은 고딕"/>
      <family val="2"/>
      <charset val="129"/>
    </font>
    <font>
      <b val="true"/>
      <sz val="16"/>
      <color theme="1"/>
      <name val="Noto Sans CJK SC"/>
      <family val="2"/>
    </font>
    <font>
      <b val="true"/>
      <sz val="16"/>
      <color theme="1"/>
      <name val="맑은 고딕"/>
      <family val="3"/>
      <charset val="129"/>
    </font>
    <font>
      <b val="true"/>
      <sz val="10"/>
      <color theme="1"/>
      <name val="Noto Sans CJK SC"/>
      <family val="2"/>
    </font>
    <font>
      <b val="true"/>
      <sz val="10"/>
      <color theme="1"/>
      <name val="맑은 고딕"/>
      <family val="3"/>
      <charset val="129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0"/>
      <color theme="1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D6"/>
        <bgColor rgb="FFF8CBAD"/>
      </patternFill>
    </fill>
    <fill>
      <patternFill patternType="solid">
        <fgColor rgb="FFFFFF99"/>
        <bgColor rgb="FFFCE4D6"/>
      </patternFill>
    </fill>
    <fill>
      <patternFill patternType="solid">
        <fgColor theme="5" tint="0.5999"/>
        <bgColor rgb="FFFCE4D6"/>
      </patternFill>
    </fill>
    <fill>
      <patternFill patternType="solid">
        <fgColor theme="4" tint="0.5999"/>
        <bgColor rgb="FFC0C0C0"/>
      </patternFill>
    </fill>
    <fill>
      <patternFill patternType="solid">
        <fgColor theme="4" tint="0.3999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18" activeCellId="0" sqref="I18"/>
    </sheetView>
  </sheetViews>
  <sheetFormatPr defaultColWidth="8.8789062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7.13"/>
    <col collapsed="false" customWidth="true" hidden="false" outlineLevel="0" max="3" min="3" style="1" width="35.13"/>
    <col collapsed="false" customWidth="false" hidden="false" outlineLevel="0" max="4" min="4" style="2" width="8.88"/>
    <col collapsed="false" customWidth="true" hidden="false" outlineLevel="0" max="5" min="5" style="2" width="13"/>
    <col collapsed="false" customWidth="false" hidden="false" outlineLevel="0" max="6" min="6" style="2" width="8.88"/>
    <col collapsed="false" customWidth="false" hidden="false" outlineLevel="0" max="7" min="7" style="1" width="8.88"/>
    <col collapsed="false" customWidth="true" hidden="false" outlineLevel="0" max="8" min="8" style="1" width="6.25"/>
    <col collapsed="false" customWidth="true" hidden="false" outlineLevel="0" max="9" min="9" style="1" width="24"/>
    <col collapsed="false" customWidth="false" hidden="false" outlineLevel="0" max="16384" min="10" style="1" width="8.88"/>
  </cols>
  <sheetData>
    <row r="1" customFormat="false" ht="30" hidden="false" customHeight="true" outlineLevel="0" collapsed="false">
      <c r="A1" s="3" t="s">
        <v>0</v>
      </c>
      <c r="B1" s="3"/>
      <c r="C1" s="3"/>
      <c r="D1" s="3"/>
      <c r="E1" s="3"/>
      <c r="F1" s="3"/>
      <c r="H1" s="3" t="s">
        <v>1</v>
      </c>
      <c r="I1" s="3"/>
      <c r="J1" s="3"/>
    </row>
    <row r="2" s="2" customFormat="true" ht="1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H2" s="4" t="s">
        <v>8</v>
      </c>
      <c r="I2" s="4" t="s">
        <v>9</v>
      </c>
      <c r="J2" s="4" t="s">
        <v>10</v>
      </c>
      <c r="L2" s="5" t="s">
        <v>11</v>
      </c>
      <c r="M2" s="5" t="s">
        <v>12</v>
      </c>
    </row>
    <row r="3" customFormat="false" ht="15" hidden="false" customHeight="true" outlineLevel="0" collapsed="false">
      <c r="A3" s="6" t="s">
        <v>13</v>
      </c>
      <c r="B3" s="7" t="s">
        <v>14</v>
      </c>
      <c r="C3" s="8" t="s">
        <v>15</v>
      </c>
      <c r="D3" s="7" t="n">
        <v>25</v>
      </c>
      <c r="E3" s="7" t="n">
        <v>2</v>
      </c>
      <c r="F3" s="7" t="n">
        <f aca="false">(0.5*D3)+((0.5*D3)*(1-(E3-1)/5))</f>
        <v>22.5</v>
      </c>
      <c r="H3" s="7" t="s">
        <v>16</v>
      </c>
      <c r="I3" s="7" t="s">
        <v>17</v>
      </c>
      <c r="J3" s="9" t="s">
        <v>18</v>
      </c>
      <c r="L3" s="1" t="n">
        <v>2</v>
      </c>
    </row>
    <row r="4" customFormat="false" ht="15" hidden="false" customHeight="true" outlineLevel="0" collapsed="false">
      <c r="A4" s="6"/>
      <c r="B4" s="6"/>
      <c r="C4" s="8" t="s">
        <v>19</v>
      </c>
      <c r="D4" s="7" t="n">
        <v>20</v>
      </c>
      <c r="E4" s="7" t="n">
        <v>3</v>
      </c>
      <c r="F4" s="7" t="n">
        <f aca="false">(0.5*D4)+((0.5*D4)*(1-(E4-1)/5))</f>
        <v>16</v>
      </c>
      <c r="H4" s="7" t="s">
        <v>20</v>
      </c>
      <c r="I4" s="7" t="s">
        <v>21</v>
      </c>
      <c r="J4" s="9"/>
      <c r="L4" s="1" t="n">
        <v>3</v>
      </c>
    </row>
    <row r="5" customFormat="false" ht="15" hidden="false" customHeight="true" outlineLevel="0" collapsed="false">
      <c r="A5" s="6"/>
      <c r="B5" s="6"/>
      <c r="C5" s="8" t="s">
        <v>22</v>
      </c>
      <c r="D5" s="7" t="n">
        <v>20</v>
      </c>
      <c r="E5" s="7" t="n">
        <v>4</v>
      </c>
      <c r="F5" s="7" t="n">
        <f aca="false">(0.5*D5)+((0.5*D5)*(1-(E5-1)/5))</f>
        <v>14</v>
      </c>
      <c r="H5" s="7" t="s">
        <v>23</v>
      </c>
      <c r="I5" s="7" t="s">
        <v>24</v>
      </c>
      <c r="J5" s="9"/>
      <c r="L5" s="1" t="n">
        <v>4</v>
      </c>
    </row>
    <row r="6" customFormat="false" ht="15" hidden="false" customHeight="true" outlineLevel="0" collapsed="false">
      <c r="A6" s="6"/>
      <c r="B6" s="6"/>
      <c r="C6" s="8" t="s">
        <v>25</v>
      </c>
      <c r="D6" s="7" t="n">
        <v>20</v>
      </c>
      <c r="E6" s="10" t="n">
        <v>3</v>
      </c>
      <c r="F6" s="7" t="n">
        <f aca="false">(0.5*D6)+((0.5*D6)*(1-(E6-1)/5))</f>
        <v>16</v>
      </c>
      <c r="H6" s="7" t="s">
        <v>26</v>
      </c>
      <c r="I6" s="7" t="s">
        <v>27</v>
      </c>
      <c r="J6" s="9"/>
      <c r="L6" s="1" t="n">
        <v>2</v>
      </c>
      <c r="M6" s="1" t="s">
        <v>28</v>
      </c>
    </row>
    <row r="7" customFormat="false" ht="15" hidden="false" customHeight="true" outlineLevel="0" collapsed="false">
      <c r="A7" s="6"/>
      <c r="B7" s="6"/>
      <c r="C7" s="8" t="s">
        <v>29</v>
      </c>
      <c r="D7" s="7" t="n">
        <v>15</v>
      </c>
      <c r="E7" s="7" t="n">
        <v>3</v>
      </c>
      <c r="F7" s="7" t="n">
        <f aca="false">(0.5*D7)+((0.5*D7)*(1-(E7-1)/5))</f>
        <v>12</v>
      </c>
      <c r="H7" s="7" t="s">
        <v>30</v>
      </c>
      <c r="I7" s="7" t="s">
        <v>31</v>
      </c>
      <c r="J7" s="9"/>
      <c r="L7" s="1" t="n">
        <v>3</v>
      </c>
    </row>
    <row r="8" customFormat="false" ht="15" hidden="false" customHeight="true" outlineLevel="0" collapsed="false">
      <c r="A8" s="6"/>
      <c r="B8" s="7"/>
      <c r="C8" s="11" t="s">
        <v>32</v>
      </c>
      <c r="D8" s="11" t="n">
        <f aca="false">SUM(D3:D7)</f>
        <v>100</v>
      </c>
      <c r="E8" s="11"/>
      <c r="F8" s="11" t="n">
        <f aca="false">SUM(F3:F7)</f>
        <v>80.5</v>
      </c>
    </row>
    <row r="9" customFormat="false" ht="15" hidden="false" customHeight="true" outlineLevel="0" collapsed="false">
      <c r="A9" s="6"/>
      <c r="B9" s="7" t="s">
        <v>33</v>
      </c>
      <c r="C9" s="8" t="s">
        <v>34</v>
      </c>
      <c r="D9" s="7" t="n">
        <v>30</v>
      </c>
      <c r="E9" s="10" t="n">
        <v>3</v>
      </c>
      <c r="F9" s="7" t="n">
        <f aca="false">(0.5*D9)+((0.5*D9)*(1-(E9-1)/5))</f>
        <v>24</v>
      </c>
      <c r="L9" s="1" t="n">
        <v>2</v>
      </c>
      <c r="M9" s="1" t="s">
        <v>35</v>
      </c>
    </row>
    <row r="10" customFormat="false" ht="15" hidden="false" customHeight="true" outlineLevel="0" collapsed="false">
      <c r="A10" s="6"/>
      <c r="B10" s="6"/>
      <c r="C10" s="8" t="s">
        <v>36</v>
      </c>
      <c r="D10" s="7" t="n">
        <v>30</v>
      </c>
      <c r="E10" s="7" t="n">
        <v>3</v>
      </c>
      <c r="F10" s="7" t="n">
        <f aca="false">(0.5*D10)+((0.5*D10)*(1-(E10-1)/5))</f>
        <v>24</v>
      </c>
      <c r="H10" s="12"/>
      <c r="L10" s="1" t="n">
        <v>3</v>
      </c>
    </row>
    <row r="11" customFormat="false" ht="15" hidden="false" customHeight="true" outlineLevel="0" collapsed="false">
      <c r="A11" s="6"/>
      <c r="B11" s="6"/>
      <c r="C11" s="8" t="s">
        <v>37</v>
      </c>
      <c r="D11" s="7" t="n">
        <v>20</v>
      </c>
      <c r="E11" s="10" t="n">
        <v>4</v>
      </c>
      <c r="F11" s="7" t="n">
        <f aca="false">(0.5*D11)+((0.5*D11)*(1-(E11-1)/5))</f>
        <v>14</v>
      </c>
      <c r="L11" s="1" t="n">
        <v>3</v>
      </c>
      <c r="M11" s="1" t="s">
        <v>38</v>
      </c>
    </row>
    <row r="12" customFormat="false" ht="15" hidden="false" customHeight="true" outlineLevel="0" collapsed="false">
      <c r="A12" s="6"/>
      <c r="B12" s="6"/>
      <c r="C12" s="8" t="s">
        <v>39</v>
      </c>
      <c r="D12" s="7" t="n">
        <v>20</v>
      </c>
      <c r="E12" s="7" t="n">
        <v>3</v>
      </c>
      <c r="F12" s="7" t="n">
        <f aca="false">(0.5*D12)+((0.5*D12)*(1-(E12-1)/5))</f>
        <v>16</v>
      </c>
      <c r="L12" s="1" t="n">
        <v>3</v>
      </c>
    </row>
    <row r="13" customFormat="false" ht="15" hidden="false" customHeight="true" outlineLevel="0" collapsed="false">
      <c r="A13" s="6"/>
      <c r="B13" s="7"/>
      <c r="C13" s="11" t="s">
        <v>32</v>
      </c>
      <c r="D13" s="11" t="n">
        <f aca="false">SUM(D9:D12)</f>
        <v>100</v>
      </c>
      <c r="E13" s="11"/>
      <c r="F13" s="11" t="n">
        <f aca="false">SUM(F9:F12)</f>
        <v>78</v>
      </c>
    </row>
    <row r="14" customFormat="false" ht="15" hidden="false" customHeight="true" outlineLevel="0" collapsed="false">
      <c r="A14" s="6"/>
      <c r="B14" s="7" t="s">
        <v>40</v>
      </c>
      <c r="C14" s="8" t="s">
        <v>41</v>
      </c>
      <c r="D14" s="7" t="n">
        <v>30</v>
      </c>
      <c r="E14" s="10" t="n">
        <v>3</v>
      </c>
      <c r="F14" s="7" t="n">
        <f aca="false">(0.5*D14)+((0.5*D14)*(1-(E14-1)/5))</f>
        <v>24</v>
      </c>
      <c r="L14" s="1" t="n">
        <v>2</v>
      </c>
      <c r="M14" s="1" t="s">
        <v>42</v>
      </c>
    </row>
    <row r="15" customFormat="false" ht="15" hidden="false" customHeight="true" outlineLevel="0" collapsed="false">
      <c r="A15" s="6"/>
      <c r="B15" s="6"/>
      <c r="C15" s="8" t="s">
        <v>43</v>
      </c>
      <c r="D15" s="7" t="n">
        <v>25</v>
      </c>
      <c r="E15" s="10" t="n">
        <v>3</v>
      </c>
      <c r="F15" s="7" t="n">
        <f aca="false">(0.5*D15)+((0.5*D15)*(1-(E15-1)/5))</f>
        <v>20</v>
      </c>
      <c r="L15" s="1" t="n">
        <v>2</v>
      </c>
      <c r="M15" s="1" t="s">
        <v>44</v>
      </c>
    </row>
    <row r="16" customFormat="false" ht="15" hidden="false" customHeight="true" outlineLevel="0" collapsed="false">
      <c r="A16" s="6"/>
      <c r="B16" s="6"/>
      <c r="C16" s="8" t="s">
        <v>45</v>
      </c>
      <c r="D16" s="7" t="n">
        <v>15</v>
      </c>
      <c r="E16" s="10" t="n">
        <v>3</v>
      </c>
      <c r="F16" s="7" t="n">
        <f aca="false">(0.5*D16)+((0.5*D16)*(1-(E16-1)/5))</f>
        <v>12</v>
      </c>
      <c r="L16" s="1" t="n">
        <v>2</v>
      </c>
      <c r="M16" s="1" t="s">
        <v>46</v>
      </c>
    </row>
    <row r="17" customFormat="false" ht="15" hidden="false" customHeight="true" outlineLevel="0" collapsed="false">
      <c r="A17" s="6"/>
      <c r="B17" s="6"/>
      <c r="C17" s="8" t="s">
        <v>47</v>
      </c>
      <c r="D17" s="7" t="n">
        <v>15</v>
      </c>
      <c r="E17" s="7" t="n">
        <v>2</v>
      </c>
      <c r="F17" s="7" t="n">
        <f aca="false">(0.5*D17)+((0.5*D17)*(1-(E17-1)/5))</f>
        <v>13.5</v>
      </c>
      <c r="L17" s="1" t="n">
        <v>2</v>
      </c>
    </row>
    <row r="18" customFormat="false" ht="15" hidden="false" customHeight="true" outlineLevel="0" collapsed="false">
      <c r="A18" s="6"/>
      <c r="B18" s="6"/>
      <c r="C18" s="8" t="s">
        <v>48</v>
      </c>
      <c r="D18" s="7" t="n">
        <v>15</v>
      </c>
      <c r="E18" s="10" t="n">
        <v>3</v>
      </c>
      <c r="F18" s="7" t="n">
        <f aca="false">(0.5*D18)+((0.5*D18)*(1-(E18-1)/5))</f>
        <v>12</v>
      </c>
      <c r="L18" s="1" t="n">
        <v>2</v>
      </c>
      <c r="M18" s="1" t="s">
        <v>49</v>
      </c>
    </row>
    <row r="19" customFormat="false" ht="15" hidden="false" customHeight="true" outlineLevel="0" collapsed="false">
      <c r="A19" s="6"/>
      <c r="B19" s="7"/>
      <c r="C19" s="11" t="s">
        <v>32</v>
      </c>
      <c r="D19" s="11" t="n">
        <f aca="false">SUM(D14:D18)</f>
        <v>100</v>
      </c>
      <c r="E19" s="11"/>
      <c r="F19" s="11" t="n">
        <f aca="false">SUM(F14:F18)</f>
        <v>81.5</v>
      </c>
    </row>
    <row r="20" customFormat="false" ht="15" hidden="false" customHeight="true" outlineLevel="0" collapsed="false">
      <c r="A20" s="6"/>
      <c r="B20" s="7" t="s">
        <v>50</v>
      </c>
      <c r="C20" s="8" t="s">
        <v>51</v>
      </c>
      <c r="D20" s="7" t="n">
        <v>20</v>
      </c>
      <c r="E20" s="7" t="n">
        <v>3</v>
      </c>
      <c r="F20" s="7" t="n">
        <f aca="false">(0.5*D20)+((0.5*D20)*(1-(E20-1)/5))</f>
        <v>16</v>
      </c>
      <c r="L20" s="1" t="n">
        <v>3</v>
      </c>
    </row>
    <row r="21" customFormat="false" ht="15" hidden="false" customHeight="true" outlineLevel="0" collapsed="false">
      <c r="A21" s="6"/>
      <c r="B21" s="6"/>
      <c r="C21" s="8" t="s">
        <v>52</v>
      </c>
      <c r="D21" s="7" t="n">
        <v>10</v>
      </c>
      <c r="E21" s="7" t="n">
        <v>3</v>
      </c>
      <c r="F21" s="7" t="n">
        <f aca="false">(0.5*D21)+((0.5*D21)*(1-(E21-1)/5))</f>
        <v>8</v>
      </c>
      <c r="L21" s="1" t="n">
        <v>3</v>
      </c>
    </row>
    <row r="22" customFormat="false" ht="15" hidden="false" customHeight="true" outlineLevel="0" collapsed="false">
      <c r="A22" s="6"/>
      <c r="B22" s="6"/>
      <c r="C22" s="8" t="s">
        <v>53</v>
      </c>
      <c r="D22" s="7" t="n">
        <v>10</v>
      </c>
      <c r="E22" s="10" t="n">
        <v>4</v>
      </c>
      <c r="F22" s="7" t="n">
        <f aca="false">(0.5*D22)+((0.5*D22)*(1-(E22-1)/5))</f>
        <v>7</v>
      </c>
      <c r="L22" s="1" t="n">
        <v>3</v>
      </c>
      <c r="M22" s="1" t="s">
        <v>54</v>
      </c>
    </row>
    <row r="23" customFormat="false" ht="15" hidden="false" customHeight="true" outlineLevel="0" collapsed="false">
      <c r="A23" s="6"/>
      <c r="B23" s="6"/>
      <c r="C23" s="8" t="s">
        <v>55</v>
      </c>
      <c r="D23" s="7" t="n">
        <v>20</v>
      </c>
      <c r="E23" s="7" t="n">
        <v>3</v>
      </c>
      <c r="F23" s="7" t="n">
        <f aca="false">(0.5*D23)+((0.5*D23)*(1-(E23-1)/5))</f>
        <v>16</v>
      </c>
      <c r="L23" s="1" t="n">
        <v>3</v>
      </c>
    </row>
    <row r="24" customFormat="false" ht="15" hidden="false" customHeight="true" outlineLevel="0" collapsed="false">
      <c r="A24" s="6"/>
      <c r="B24" s="6"/>
      <c r="C24" s="8" t="s">
        <v>56</v>
      </c>
      <c r="D24" s="7" t="n">
        <v>20</v>
      </c>
      <c r="E24" s="7" t="n">
        <v>3</v>
      </c>
      <c r="F24" s="7" t="n">
        <f aca="false">(0.5*D24)+((0.5*D24)*(1-(E24-1)/5))</f>
        <v>16</v>
      </c>
      <c r="L24" s="1" t="n">
        <v>3</v>
      </c>
    </row>
    <row r="25" customFormat="false" ht="15" hidden="false" customHeight="true" outlineLevel="0" collapsed="false">
      <c r="A25" s="6"/>
      <c r="B25" s="6"/>
      <c r="C25" s="8" t="s">
        <v>57</v>
      </c>
      <c r="D25" s="7" t="n">
        <v>20</v>
      </c>
      <c r="E25" s="7" t="n">
        <v>3</v>
      </c>
      <c r="F25" s="7" t="n">
        <f aca="false">(0.5*D25)+((0.5*D25)*(1-(E25-1)/5))</f>
        <v>16</v>
      </c>
      <c r="L25" s="1" t="n">
        <v>3</v>
      </c>
    </row>
    <row r="26" customFormat="false" ht="15" hidden="false" customHeight="true" outlineLevel="0" collapsed="false">
      <c r="A26" s="6"/>
      <c r="B26" s="7"/>
      <c r="C26" s="11" t="s">
        <v>32</v>
      </c>
      <c r="D26" s="11" t="n">
        <f aca="false">SUM(D20:D25)</f>
        <v>100</v>
      </c>
      <c r="E26" s="11"/>
      <c r="F26" s="11" t="n">
        <f aca="false">SUM(F20:F25)</f>
        <v>79</v>
      </c>
    </row>
    <row r="27" customFormat="false" ht="15" hidden="false" customHeight="true" outlineLevel="0" collapsed="false">
      <c r="A27" s="6"/>
      <c r="B27" s="7" t="s">
        <v>58</v>
      </c>
      <c r="C27" s="8" t="s">
        <v>59</v>
      </c>
      <c r="D27" s="7" t="n">
        <v>20</v>
      </c>
      <c r="E27" s="10" t="n">
        <v>3</v>
      </c>
      <c r="F27" s="7" t="n">
        <f aca="false">(0.5*D27)+((0.5*D27)*(1-(E27-1)/5))</f>
        <v>16</v>
      </c>
      <c r="L27" s="1" t="n">
        <v>2</v>
      </c>
      <c r="M27" s="1" t="s">
        <v>60</v>
      </c>
    </row>
    <row r="28" customFormat="false" ht="15" hidden="false" customHeight="true" outlineLevel="0" collapsed="false">
      <c r="A28" s="6"/>
      <c r="B28" s="6"/>
      <c r="C28" s="8" t="s">
        <v>61</v>
      </c>
      <c r="D28" s="7" t="n">
        <v>15</v>
      </c>
      <c r="E28" s="10" t="n">
        <v>4</v>
      </c>
      <c r="F28" s="7" t="n">
        <f aca="false">(0.5*D28)+((0.5*D28)*(1-(E28-1)/5))</f>
        <v>10.5</v>
      </c>
      <c r="L28" s="1" t="n">
        <v>2</v>
      </c>
      <c r="M28" s="1" t="s">
        <v>62</v>
      </c>
    </row>
    <row r="29" customFormat="false" ht="15" hidden="false" customHeight="true" outlineLevel="0" collapsed="false">
      <c r="A29" s="6"/>
      <c r="B29" s="6"/>
      <c r="C29" s="8" t="s">
        <v>63</v>
      </c>
      <c r="D29" s="7" t="n">
        <v>25</v>
      </c>
      <c r="E29" s="10" t="n">
        <v>3</v>
      </c>
      <c r="F29" s="7" t="n">
        <f aca="false">(0.5*D29)+((0.5*D29)*(1-(E29-1)/5))</f>
        <v>20</v>
      </c>
      <c r="L29" s="1" t="n">
        <v>2</v>
      </c>
      <c r="M29" s="1" t="s">
        <v>64</v>
      </c>
    </row>
    <row r="30" customFormat="false" ht="15" hidden="false" customHeight="true" outlineLevel="0" collapsed="false">
      <c r="A30" s="6"/>
      <c r="B30" s="6"/>
      <c r="C30" s="8" t="s">
        <v>65</v>
      </c>
      <c r="D30" s="7" t="n">
        <v>20</v>
      </c>
      <c r="E30" s="10" t="n">
        <v>4</v>
      </c>
      <c r="F30" s="7" t="n">
        <f aca="false">(0.5*D30)+((0.5*D30)*(1-(E30-1)/5))</f>
        <v>14</v>
      </c>
      <c r="L30" s="1" t="n">
        <v>2</v>
      </c>
      <c r="M30" s="1" t="s">
        <v>66</v>
      </c>
    </row>
    <row r="31" customFormat="false" ht="15" hidden="false" customHeight="true" outlineLevel="0" collapsed="false">
      <c r="A31" s="6"/>
      <c r="B31" s="6"/>
      <c r="C31" s="8" t="s">
        <v>67</v>
      </c>
      <c r="D31" s="7" t="n">
        <v>20</v>
      </c>
      <c r="E31" s="10" t="n">
        <v>3</v>
      </c>
      <c r="F31" s="7" t="n">
        <f aca="false">(0.5*D31)+((0.5*D31)*(1-(E31-1)/5))</f>
        <v>16</v>
      </c>
      <c r="L31" s="1" t="n">
        <v>2</v>
      </c>
      <c r="M31" s="1" t="s">
        <v>68</v>
      </c>
    </row>
    <row r="32" customFormat="false" ht="15" hidden="false" customHeight="true" outlineLevel="0" collapsed="false">
      <c r="A32" s="6"/>
      <c r="B32" s="7"/>
      <c r="C32" s="11" t="s">
        <v>32</v>
      </c>
      <c r="D32" s="11" t="n">
        <f aca="false">SUM(D27:D31)</f>
        <v>100</v>
      </c>
      <c r="E32" s="11"/>
      <c r="F32" s="11" t="n">
        <f aca="false">SUM(F27:F31)</f>
        <v>76.5</v>
      </c>
    </row>
    <row r="33" customFormat="false" ht="15.65" hidden="false" customHeight="false" outlineLevel="0" collapsed="false">
      <c r="A33" s="6"/>
      <c r="B33" s="7" t="s">
        <v>69</v>
      </c>
      <c r="C33" s="8" t="s">
        <v>70</v>
      </c>
      <c r="D33" s="7" t="n">
        <v>30</v>
      </c>
      <c r="E33" s="7" t="n">
        <v>3</v>
      </c>
      <c r="F33" s="7" t="n">
        <f aca="false">(0.5*D33)+((0.5*D33)*(1-(E33-1)/5))</f>
        <v>24</v>
      </c>
      <c r="L33" s="1" t="n">
        <v>3</v>
      </c>
    </row>
    <row r="34" customFormat="false" ht="15.65" hidden="false" customHeight="false" outlineLevel="0" collapsed="false">
      <c r="A34" s="6"/>
      <c r="B34" s="6"/>
      <c r="C34" s="8" t="s">
        <v>71</v>
      </c>
      <c r="D34" s="7" t="n">
        <v>20</v>
      </c>
      <c r="E34" s="10" t="n">
        <v>5</v>
      </c>
      <c r="F34" s="7" t="n">
        <f aca="false">(0.5*D34)+((0.5*D34)*(1-(E34-1)/5))</f>
        <v>12</v>
      </c>
      <c r="L34" s="1" t="n">
        <v>3</v>
      </c>
      <c r="M34" s="1" t="s">
        <v>72</v>
      </c>
    </row>
    <row r="35" customFormat="false" ht="15.65" hidden="false" customHeight="false" outlineLevel="0" collapsed="false">
      <c r="A35" s="6"/>
      <c r="B35" s="6"/>
      <c r="C35" s="8" t="s">
        <v>73</v>
      </c>
      <c r="D35" s="7" t="n">
        <v>20</v>
      </c>
      <c r="E35" s="10" t="n">
        <v>4</v>
      </c>
      <c r="F35" s="7" t="n">
        <f aca="false">(0.5*D35)+((0.5*D35)*(1-(E35-1)/5))</f>
        <v>14</v>
      </c>
      <c r="L35" s="1" t="n">
        <v>3</v>
      </c>
      <c r="M35" s="1" t="s">
        <v>74</v>
      </c>
    </row>
    <row r="36" customFormat="false" ht="15.65" hidden="false" customHeight="false" outlineLevel="0" collapsed="false">
      <c r="A36" s="6"/>
      <c r="B36" s="6"/>
      <c r="C36" s="8" t="s">
        <v>75</v>
      </c>
      <c r="D36" s="7" t="n">
        <v>30</v>
      </c>
      <c r="E36" s="7" t="n">
        <v>3</v>
      </c>
      <c r="F36" s="7" t="n">
        <f aca="false">(0.5*D36)+((0.5*D36)*(1-(E36-1)/5))</f>
        <v>24</v>
      </c>
      <c r="L36" s="1" t="n">
        <v>3</v>
      </c>
    </row>
    <row r="37" customFormat="false" ht="13.5" hidden="false" customHeight="false" outlineLevel="0" collapsed="false">
      <c r="A37" s="6"/>
      <c r="B37" s="6"/>
      <c r="C37" s="11" t="s">
        <v>32</v>
      </c>
      <c r="D37" s="11" t="n">
        <f aca="false">SUM(D33:D36)</f>
        <v>100</v>
      </c>
      <c r="E37" s="11"/>
      <c r="F37" s="11" t="n">
        <f aca="false">SUM(F33:F36)</f>
        <v>74</v>
      </c>
    </row>
    <row r="38" s="15" customFormat="true" ht="17.25" hidden="false" customHeight="true" outlineLevel="0" collapsed="false">
      <c r="A38" s="13" t="s">
        <v>76</v>
      </c>
      <c r="B38" s="13"/>
      <c r="C38" s="13"/>
      <c r="D38" s="14" t="n">
        <f aca="false">SUM(D37,D32,D26,D19,D13,D8)</f>
        <v>600</v>
      </c>
      <c r="E38" s="14"/>
      <c r="F38" s="14" t="n">
        <f aca="false">SUM(F37,F32,F26,F19,F13,F8)</f>
        <v>469.5</v>
      </c>
    </row>
    <row r="39" customFormat="false" ht="15.65" hidden="false" customHeight="false" outlineLevel="0" collapsed="false">
      <c r="A39" s="6" t="s">
        <v>77</v>
      </c>
      <c r="B39" s="7" t="s">
        <v>78</v>
      </c>
      <c r="C39" s="8" t="s">
        <v>79</v>
      </c>
      <c r="D39" s="7" t="n">
        <v>20</v>
      </c>
      <c r="E39" s="10" t="n">
        <v>3</v>
      </c>
      <c r="F39" s="7" t="n">
        <f aca="false">(0.5*D39)+((0.5*D39)*(1-(E39-1)/5))</f>
        <v>16</v>
      </c>
      <c r="L39" s="1" t="n">
        <v>2</v>
      </c>
      <c r="M39" s="1" t="s">
        <v>80</v>
      </c>
    </row>
    <row r="40" customFormat="false" ht="15.65" hidden="false" customHeight="false" outlineLevel="0" collapsed="false">
      <c r="A40" s="6"/>
      <c r="B40" s="6"/>
      <c r="C40" s="8" t="s">
        <v>81</v>
      </c>
      <c r="D40" s="7" t="n">
        <v>20</v>
      </c>
      <c r="E40" s="7" t="n">
        <v>2</v>
      </c>
      <c r="F40" s="7" t="n">
        <f aca="false">(0.5*D40)+((0.5*D40)*(1-(E40-1)/5))</f>
        <v>18</v>
      </c>
      <c r="L40" s="1" t="n">
        <v>2</v>
      </c>
    </row>
    <row r="41" customFormat="false" ht="15.65" hidden="false" customHeight="false" outlineLevel="0" collapsed="false">
      <c r="A41" s="6"/>
      <c r="B41" s="6"/>
      <c r="C41" s="8" t="s">
        <v>82</v>
      </c>
      <c r="D41" s="7" t="n">
        <v>10</v>
      </c>
      <c r="E41" s="10" t="n">
        <v>3</v>
      </c>
      <c r="F41" s="7" t="n">
        <f aca="false">(0.5*D41)+((0.5*D41)*(1-(E41-1)/5))</f>
        <v>8</v>
      </c>
      <c r="L41" s="1" t="n">
        <v>2</v>
      </c>
      <c r="M41" s="1" t="s">
        <v>83</v>
      </c>
    </row>
    <row r="42" customFormat="false" ht="15.65" hidden="false" customHeight="false" outlineLevel="0" collapsed="false">
      <c r="A42" s="6"/>
      <c r="B42" s="6"/>
      <c r="C42" s="8" t="s">
        <v>84</v>
      </c>
      <c r="D42" s="7" t="n">
        <v>20</v>
      </c>
      <c r="E42" s="10" t="n">
        <v>3</v>
      </c>
      <c r="F42" s="7" t="n">
        <f aca="false">(0.5*D42)+((0.5*D42)*(1-(E42-1)/5))</f>
        <v>16</v>
      </c>
      <c r="L42" s="1" t="n">
        <v>2</v>
      </c>
      <c r="M42" s="1" t="s">
        <v>85</v>
      </c>
    </row>
    <row r="43" customFormat="false" ht="27" hidden="false" customHeight="true" outlineLevel="0" collapsed="false">
      <c r="A43" s="6"/>
      <c r="B43" s="6"/>
      <c r="C43" s="16" t="s">
        <v>86</v>
      </c>
      <c r="D43" s="7" t="n">
        <v>30</v>
      </c>
      <c r="E43" s="10" t="n">
        <v>3</v>
      </c>
      <c r="F43" s="7" t="n">
        <f aca="false">(0.5*D43)+((0.5*D43)*(1-(E43-1)/5))</f>
        <v>24</v>
      </c>
      <c r="L43" s="1" t="n">
        <v>2</v>
      </c>
      <c r="M43" s="1" t="s">
        <v>87</v>
      </c>
    </row>
    <row r="44" customFormat="false" ht="13.5" hidden="false" customHeight="false" outlineLevel="0" collapsed="false">
      <c r="A44" s="6"/>
      <c r="B44" s="7"/>
      <c r="C44" s="11" t="s">
        <v>32</v>
      </c>
      <c r="D44" s="11" t="n">
        <f aca="false">SUM(D39:D43)</f>
        <v>100</v>
      </c>
      <c r="E44" s="11"/>
      <c r="F44" s="11" t="n">
        <f aca="false">SUM(F39:F43)</f>
        <v>82</v>
      </c>
    </row>
    <row r="45" customFormat="false" ht="15.65" hidden="false" customHeight="false" outlineLevel="0" collapsed="false">
      <c r="A45" s="6"/>
      <c r="B45" s="7" t="s">
        <v>88</v>
      </c>
      <c r="C45" s="8" t="s">
        <v>89</v>
      </c>
      <c r="D45" s="7" t="n">
        <v>30</v>
      </c>
      <c r="E45" s="7" t="n">
        <v>3</v>
      </c>
      <c r="F45" s="7" t="n">
        <f aca="false">(0.5*D45)+((0.5*D45)*(1-(E45-1)/5))</f>
        <v>24</v>
      </c>
      <c r="L45" s="1" t="n">
        <v>3</v>
      </c>
    </row>
    <row r="46" customFormat="false" ht="15.65" hidden="false" customHeight="false" outlineLevel="0" collapsed="false">
      <c r="A46" s="6"/>
      <c r="B46" s="6"/>
      <c r="C46" s="8" t="s">
        <v>90</v>
      </c>
      <c r="D46" s="7" t="n">
        <v>30</v>
      </c>
      <c r="E46" s="7" t="n">
        <v>3</v>
      </c>
      <c r="F46" s="7" t="n">
        <f aca="false">(0.5*D46)+((0.5*D46)*(1-(E46-1)/5))</f>
        <v>24</v>
      </c>
      <c r="L46" s="1" t="n">
        <v>3</v>
      </c>
    </row>
    <row r="47" customFormat="false" ht="15.65" hidden="false" customHeight="false" outlineLevel="0" collapsed="false">
      <c r="A47" s="6"/>
      <c r="B47" s="6"/>
      <c r="C47" s="8" t="s">
        <v>91</v>
      </c>
      <c r="D47" s="7" t="n">
        <v>20</v>
      </c>
      <c r="E47" s="7" t="n">
        <v>3</v>
      </c>
      <c r="F47" s="7" t="n">
        <f aca="false">(0.5*D47)+((0.5*D47)*(1-(E47-1)/5))</f>
        <v>16</v>
      </c>
      <c r="L47" s="1" t="n">
        <v>3</v>
      </c>
    </row>
    <row r="48" customFormat="false" ht="27" hidden="false" customHeight="true" outlineLevel="0" collapsed="false">
      <c r="A48" s="6"/>
      <c r="B48" s="6"/>
      <c r="C48" s="16" t="s">
        <v>92</v>
      </c>
      <c r="D48" s="7" t="n">
        <v>20</v>
      </c>
      <c r="E48" s="10" t="n">
        <v>4</v>
      </c>
      <c r="F48" s="7" t="n">
        <f aca="false">(0.5*D48)+((0.5*D48)*(1-(E48-1)/5))</f>
        <v>14</v>
      </c>
      <c r="L48" s="1" t="n">
        <v>3</v>
      </c>
      <c r="M48" s="1" t="s">
        <v>93</v>
      </c>
    </row>
    <row r="49" customFormat="false" ht="13.5" hidden="false" customHeight="false" outlineLevel="0" collapsed="false">
      <c r="A49" s="6"/>
      <c r="B49" s="7"/>
      <c r="C49" s="11" t="s">
        <v>32</v>
      </c>
      <c r="D49" s="11" t="n">
        <f aca="false">SUM(D45:D48)</f>
        <v>100</v>
      </c>
      <c r="E49" s="11"/>
      <c r="F49" s="11" t="n">
        <f aca="false">SUM(F45:F48)</f>
        <v>78</v>
      </c>
    </row>
    <row r="50" customFormat="false" ht="15.65" hidden="false" customHeight="false" outlineLevel="0" collapsed="false">
      <c r="A50" s="6"/>
      <c r="B50" s="7" t="s">
        <v>94</v>
      </c>
      <c r="C50" s="8" t="s">
        <v>95</v>
      </c>
      <c r="D50" s="7" t="n">
        <v>150</v>
      </c>
      <c r="E50" s="7"/>
      <c r="F50" s="7" t="n">
        <f aca="false">SUM(F51:F55)</f>
        <v>123</v>
      </c>
    </row>
    <row r="51" customFormat="false" ht="15.65" hidden="false" customHeight="false" outlineLevel="0" collapsed="false">
      <c r="A51" s="6"/>
      <c r="B51" s="6"/>
      <c r="C51" s="8" t="s">
        <v>96</v>
      </c>
      <c r="D51" s="17" t="n">
        <v>20</v>
      </c>
      <c r="E51" s="10" t="n">
        <v>3</v>
      </c>
      <c r="F51" s="7" t="n">
        <f aca="false">(0.5*D51)+((0.5*D51)*(1-(E51-1)/5))</f>
        <v>16</v>
      </c>
      <c r="L51" s="1" t="n">
        <v>2</v>
      </c>
      <c r="M51" s="1" t="s">
        <v>97</v>
      </c>
    </row>
    <row r="52" customFormat="false" ht="15.65" hidden="false" customHeight="false" outlineLevel="0" collapsed="false">
      <c r="A52" s="6"/>
      <c r="B52" s="6"/>
      <c r="C52" s="8" t="s">
        <v>98</v>
      </c>
      <c r="D52" s="17" t="n">
        <v>30</v>
      </c>
      <c r="E52" s="10" t="n">
        <v>3</v>
      </c>
      <c r="F52" s="7" t="n">
        <f aca="false">(0.5*D52)+((0.5*D52)*(1-(E52-1)/5))</f>
        <v>24</v>
      </c>
      <c r="L52" s="1" t="n">
        <v>2</v>
      </c>
      <c r="M52" s="1" t="s">
        <v>99</v>
      </c>
    </row>
    <row r="53" customFormat="false" ht="15.65" hidden="false" customHeight="false" outlineLevel="0" collapsed="false">
      <c r="A53" s="6"/>
      <c r="B53" s="6"/>
      <c r="C53" s="8" t="s">
        <v>100</v>
      </c>
      <c r="D53" s="17" t="n">
        <v>30</v>
      </c>
      <c r="E53" s="7" t="n">
        <v>2</v>
      </c>
      <c r="F53" s="7" t="n">
        <f aca="false">(0.5*D53)+((0.5*D53)*(1-(E53-1)/5))</f>
        <v>27</v>
      </c>
      <c r="L53" s="1" t="n">
        <v>2</v>
      </c>
    </row>
    <row r="54" customFormat="false" ht="15.65" hidden="false" customHeight="false" outlineLevel="0" collapsed="false">
      <c r="A54" s="6"/>
      <c r="B54" s="6"/>
      <c r="C54" s="8" t="s">
        <v>101</v>
      </c>
      <c r="D54" s="17" t="n">
        <v>20</v>
      </c>
      <c r="E54" s="10" t="n">
        <v>3</v>
      </c>
      <c r="F54" s="7" t="n">
        <f aca="false">(0.5*D54)+((0.5*D54)*(1-(E54-1)/5))</f>
        <v>16</v>
      </c>
      <c r="L54" s="1" t="n">
        <v>2</v>
      </c>
      <c r="M54" s="1" t="s">
        <v>102</v>
      </c>
    </row>
    <row r="55" customFormat="false" ht="15.65" hidden="false" customHeight="false" outlineLevel="0" collapsed="false">
      <c r="A55" s="6"/>
      <c r="B55" s="6"/>
      <c r="C55" s="8" t="s">
        <v>103</v>
      </c>
      <c r="D55" s="17" t="n">
        <v>50</v>
      </c>
      <c r="E55" s="10" t="n">
        <v>3</v>
      </c>
      <c r="F55" s="7" t="n">
        <f aca="false">(0.5*D55)+((0.5*D55)*(1-(E55-1)/5))</f>
        <v>40</v>
      </c>
      <c r="L55" s="1" t="n">
        <v>2</v>
      </c>
      <c r="M55" s="1" t="s">
        <v>104</v>
      </c>
    </row>
    <row r="56" customFormat="false" ht="15.65" hidden="false" customHeight="false" outlineLevel="0" collapsed="false">
      <c r="A56" s="6"/>
      <c r="B56" s="6"/>
      <c r="C56" s="8" t="s">
        <v>105</v>
      </c>
      <c r="D56" s="7" t="n">
        <v>50</v>
      </c>
      <c r="E56" s="10" t="n">
        <v>4</v>
      </c>
      <c r="F56" s="7" t="n">
        <f aca="false">(0.5*D56)+((0.5*D56)*(1-(E56-1)/5))</f>
        <v>35</v>
      </c>
      <c r="L56" s="1" t="n">
        <v>2</v>
      </c>
      <c r="M56" s="1" t="s">
        <v>106</v>
      </c>
    </row>
    <row r="57" customFormat="false" ht="13.5" hidden="false" customHeight="false" outlineLevel="0" collapsed="false">
      <c r="A57" s="6"/>
      <c r="B57" s="6"/>
      <c r="C57" s="11" t="s">
        <v>32</v>
      </c>
      <c r="D57" s="11" t="n">
        <f aca="false">SUM(D51:D56)</f>
        <v>200</v>
      </c>
      <c r="E57" s="11"/>
      <c r="F57" s="11" t="n">
        <f aca="false">SUM(F51:F56)</f>
        <v>158</v>
      </c>
    </row>
    <row r="58" s="15" customFormat="true" ht="13.5" hidden="false" customHeight="false" outlineLevel="0" collapsed="false">
      <c r="A58" s="18"/>
      <c r="B58" s="18"/>
      <c r="C58" s="19" t="s">
        <v>107</v>
      </c>
      <c r="D58" s="14" t="n">
        <f aca="false">SUM(D44,D49,D57)</f>
        <v>400</v>
      </c>
      <c r="E58" s="14"/>
      <c r="F58" s="14" t="n">
        <f aca="false">SUM(F44,F49,F57)</f>
        <v>318</v>
      </c>
    </row>
    <row r="59" s="15" customFormat="true" ht="17.25" hidden="false" customHeight="true" outlineLevel="0" collapsed="false">
      <c r="A59" s="20" t="s">
        <v>9</v>
      </c>
      <c r="B59" s="20"/>
      <c r="C59" s="20"/>
      <c r="D59" s="21" t="n">
        <f aca="false">SUM(D58,D38)</f>
        <v>1000</v>
      </c>
      <c r="E59" s="21"/>
      <c r="F59" s="21" t="n">
        <f aca="false">SUM(F58,F38)</f>
        <v>787.5</v>
      </c>
    </row>
  </sheetData>
  <mergeCells count="16">
    <mergeCell ref="A1:F1"/>
    <mergeCell ref="H1:J1"/>
    <mergeCell ref="A3:A37"/>
    <mergeCell ref="B3:B8"/>
    <mergeCell ref="J3:J7"/>
    <mergeCell ref="B9:B13"/>
    <mergeCell ref="B14:B19"/>
    <mergeCell ref="B20:B26"/>
    <mergeCell ref="B27:B32"/>
    <mergeCell ref="B33:B37"/>
    <mergeCell ref="A38:C38"/>
    <mergeCell ref="A39:A57"/>
    <mergeCell ref="B39:B44"/>
    <mergeCell ref="B45:B49"/>
    <mergeCell ref="B50:B57"/>
    <mergeCell ref="A59:C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2021-06-23T12:32:59Z</dcterms:created>
  <dc:creator>leech</dc:creator>
  <dc:description/>
  <dc:language>en-US</dc:language>
  <cp:lastModifiedBy>KOTI</cp:lastModifiedBy>
  <dcterms:modified xsi:type="dcterms:W3CDTF">2026-09-30T00:18:19Z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