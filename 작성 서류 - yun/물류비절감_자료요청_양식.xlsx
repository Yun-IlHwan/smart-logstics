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1_설비도입" sheetId="2" state="visible" r:id="rId4"/>
    <sheet name="2_공정별인원" sheetId="3" state="visible" r:id="rId5"/>
    <sheet name="3_월별투입인력" sheetId="4" state="visible" r:id="rId6"/>
    <sheet name="4_인건비단가" sheetId="5" state="visible" r:id="rId7"/>
    <sheet name="5_월별운영비" sheetId="6" state="visible" r:id="rId8"/>
    <sheet name="6_성과관리근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<sst xmlns="http://schemas.openxmlformats.org/spreadsheetml/2006/main" count="267" uniqueCount="219">
  <si>
    <t xml:space="preserve">영종센터 물류비 절감 실적 자료 요청</t>
  </si>
  <si>
    <t xml:space="preserve">목적</t>
  </si>
  <si>
    <r>
      <rPr>
        <sz val="10"/>
        <color rgb="FF000000"/>
        <rFont val="Noto Sans CJK SC"/>
        <family val="2"/>
      </rPr>
      <t xml:space="preserve">스마트물류센터 인증 자체평가서 </t>
    </r>
    <r>
      <rPr>
        <sz val="10"/>
        <color rgb="FF000000"/>
        <rFont val="맑은 고딕"/>
        <family val="0"/>
        <charset val="1"/>
      </rPr>
      <t xml:space="preserve">2.2.1 </t>
    </r>
    <r>
      <rPr>
        <sz val="10"/>
        <color rgb="FF000000"/>
        <rFont val="Noto Sans CJK SC"/>
        <family val="2"/>
      </rPr>
      <t xml:space="preserve">「비용 절감」 증빙 — 자동화 설비 도입 전후로 운영 인력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투입 인시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인건비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운영비가 얼마나 줄었는지 보여주기 위함</t>
    </r>
  </si>
  <si>
    <t xml:space="preserve">대상</t>
  </si>
  <si>
    <r>
      <rPr>
        <sz val="10"/>
        <color rgb="FF000000"/>
        <rFont val="Noto Sans CJK SC"/>
        <family val="2"/>
      </rPr>
      <t xml:space="preserve">트랙스로지스 영종센터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인천 중구</t>
    </r>
    <r>
      <rPr>
        <sz val="10"/>
        <color rgb="FF000000"/>
        <rFont val="맑은 고딕"/>
        <family val="0"/>
        <charset val="1"/>
      </rPr>
      <t xml:space="preserve">, 3</t>
    </r>
    <r>
      <rPr>
        <sz val="10"/>
        <color rgb="FF000000"/>
        <rFont val="Noto Sans CJK SC"/>
        <family val="2"/>
      </rPr>
      <t xml:space="preserve">층 운영구역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</si>
  <si>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기간</t>
  </si>
  <si>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~ 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월별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비교는 자동화 설비 도입 전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도입 후</t>
    </r>
  </si>
  <si>
    <t xml:space="preserve">단위</t>
  </si>
  <si>
    <r>
      <rPr>
        <sz val="10"/>
        <color rgb="FF000000"/>
        <rFont val="Noto Sans CJK SC"/>
        <family val="2"/>
      </rPr>
      <t xml:space="preserve">금액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부가세 제외</t>
    </r>
    <r>
      <rPr>
        <sz val="10"/>
        <color rgb="FF000000"/>
        <rFont val="맑은 고딕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인원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시간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날짜</t>
    </r>
    <r>
      <rPr>
        <sz val="10"/>
        <color rgb="FF000000"/>
        <rFont val="맑은 고딕"/>
        <family val="0"/>
        <charset val="1"/>
      </rPr>
      <t xml:space="preserve">: YYYY-MM-DD</t>
    </r>
  </si>
  <si>
    <t xml:space="preserve">작성 방법</t>
  </si>
  <si>
    <r>
      <rPr>
        <sz val="10"/>
        <color rgb="FF000000"/>
        <rFont val="Noto Sans CJK SC"/>
        <family val="2"/>
      </rPr>
      <t xml:space="preserve">노란 칸만 입력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회색 칸은 자동 계산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파란 칸은 작성 예시이므로 실제 값으로 덮어쓰기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모르는 칸은 비워두고 비고에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확인 불가</t>
    </r>
    <r>
      <rPr>
        <sz val="10"/>
        <color rgb="FF000000"/>
        <rFont val="맑은 고딕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표시</t>
    </r>
  </si>
  <si>
    <t xml:space="preserve">기준일자</t>
  </si>
  <si>
    <r>
      <rPr>
        <sz val="10"/>
        <color rgb="FF000000"/>
        <rFont val="맑은 고딕"/>
        <family val="0"/>
        <charset val="1"/>
      </rPr>
      <t xml:space="preserve">2026.10.31 (</t>
    </r>
    <r>
      <rPr>
        <sz val="10"/>
        <color rgb="FF000000"/>
        <rFont val="Noto Sans CJK SC"/>
        <family val="2"/>
      </rPr>
      <t xml:space="preserve">실적은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월 마감분까지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</si>
  <si>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요청자</t>
  </si>
  <si>
    <t xml:space="preserve">장윤진</t>
  </si>
  <si>
    <t xml:space="preserve">시트별 작성 부서</t>
  </si>
  <si>
    <t xml:space="preserve">시트</t>
  </si>
  <si>
    <t xml:space="preserve">내용</t>
  </si>
  <si>
    <t xml:space="preserve">작성 부서</t>
  </si>
  <si>
    <t xml:space="preserve">비고</t>
  </si>
  <si>
    <r>
      <rPr>
        <sz val="10"/>
        <color rgb="FF000000"/>
        <rFont val="맑은 고딕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설비도입</t>
    </r>
  </si>
  <si>
    <r>
      <rPr>
        <sz val="10"/>
        <color rgb="FF000000"/>
        <rFont val="Noto Sans CJK SC"/>
        <family val="2"/>
      </rPr>
      <t xml:space="preserve">자동화 설비별 가동 시작일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투자금액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대체 공정</t>
    </r>
  </si>
  <si>
    <r>
      <rPr>
        <sz val="10"/>
        <color rgb="FF000000"/>
        <rFont val="Noto Sans CJK SC"/>
        <family val="2"/>
      </rPr>
      <t xml:space="preserve">설비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운영팀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센터장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</si>
  <si>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비교 기간 기준이 됨</t>
  </si>
  <si>
    <r>
      <rPr>
        <sz val="10"/>
        <color rgb="FF000000"/>
        <rFont val="맑은 고딕"/>
        <family val="0"/>
        <charset val="1"/>
      </rPr>
      <t xml:space="preserve">2_</t>
    </r>
    <r>
      <rPr>
        <sz val="10"/>
        <color rgb="FF000000"/>
        <rFont val="Noto Sans CJK SC"/>
        <family val="2"/>
      </rPr>
      <t xml:space="preserve">공정별인원</t>
    </r>
  </si>
  <si>
    <r>
      <rPr>
        <sz val="10"/>
        <color rgb="FF000000"/>
        <rFont val="Noto Sans CJK SC"/>
        <family val="2"/>
      </rPr>
      <t xml:space="preserve">설비 도입 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후 공정별 투입 인원</t>
    </r>
  </si>
  <si>
    <t xml:space="preserve">운영팀</t>
  </si>
  <si>
    <t xml:space="preserve">가장 중요</t>
  </si>
  <si>
    <r>
      <rPr>
        <sz val="10"/>
        <color rgb="FF000000"/>
        <rFont val="맑은 고딕"/>
        <family val="0"/>
        <charset val="1"/>
      </rPr>
      <t xml:space="preserve">3_</t>
    </r>
    <r>
      <rPr>
        <sz val="10"/>
        <color rgb="FF000000"/>
        <rFont val="Noto Sans CJK SC"/>
        <family val="2"/>
      </rPr>
      <t xml:space="preserve">월별투입인력</t>
    </r>
  </si>
  <si>
    <r>
      <rPr>
        <sz val="10"/>
        <color rgb="FF000000"/>
        <rFont val="맑은 고딕"/>
        <family val="0"/>
        <charset val="1"/>
      </rPr>
      <t xml:space="preserve">2024.01~2025.05 </t>
    </r>
    <r>
      <rPr>
        <sz val="10"/>
        <color rgb="FF000000"/>
        <rFont val="Noto Sans CJK SC"/>
        <family val="2"/>
      </rPr>
      <t xml:space="preserve">월별 투입 인원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잔업 </t>
    </r>
    <r>
      <rPr>
        <sz val="10"/>
        <color rgb="FF000000"/>
        <rFont val="맑은 고딕"/>
        <family val="0"/>
        <charset val="1"/>
      </rPr>
      <t xml:space="preserve">(2025.06 </t>
    </r>
    <r>
      <rPr>
        <sz val="10"/>
        <color rgb="FF000000"/>
        <rFont val="Noto Sans CJK SC"/>
        <family val="2"/>
      </rPr>
      <t xml:space="preserve">이후는 운영실적 파일로 확보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</si>
  <si>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자료 없으면 비고에 표시</t>
  </si>
  <si>
    <r>
      <rPr>
        <sz val="10"/>
        <color rgb="FF000000"/>
        <rFont val="맑은 고딕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인건비단가</t>
    </r>
  </si>
  <si>
    <r>
      <rPr>
        <sz val="10"/>
        <color rgb="FF000000"/>
        <rFont val="Noto Sans CJK SC"/>
        <family val="2"/>
      </rPr>
      <t xml:space="preserve">정규직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협력사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단기 인력 단가</t>
    </r>
  </si>
  <si>
    <r>
      <rPr>
        <sz val="10"/>
        <color rgb="FF000000"/>
        <rFont val="Noto Sans CJK SC"/>
        <family val="2"/>
      </rPr>
      <t xml:space="preserve">인사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총무 또는 재무팀</t>
    </r>
  </si>
  <si>
    <t xml:space="preserve">인시 → 금액 환산용</t>
  </si>
  <si>
    <r>
      <rPr>
        <sz val="10"/>
        <color rgb="FF000000"/>
        <rFont val="맑은 고딕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월별운영비</t>
    </r>
  </si>
  <si>
    <t xml:space="preserve">월별 센터 운영비 항목별</t>
  </si>
  <si>
    <t xml:space="preserve">재무팀</t>
  </si>
  <si>
    <t xml:space="preserve">박스당 운영비 산출용</t>
  </si>
  <si>
    <r>
      <rPr>
        <sz val="10"/>
        <color rgb="FF000000"/>
        <rFont val="맑은 고딕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성과관리근거</t>
    </r>
  </si>
  <si>
    <r>
      <rPr>
        <sz val="10"/>
        <color rgb="FF000000"/>
        <rFont val="Noto Sans CJK SC"/>
        <family val="2"/>
      </rPr>
      <t xml:space="preserve">월간 </t>
    </r>
    <r>
      <rPr>
        <sz val="10"/>
        <color rgb="FF000000"/>
        <rFont val="맑은 고딕"/>
        <family val="0"/>
        <charset val="1"/>
      </rPr>
      <t xml:space="preserve">KPI </t>
    </r>
    <r>
      <rPr>
        <sz val="10"/>
        <color rgb="FF000000"/>
        <rFont val="Noto Sans CJK SC"/>
        <family val="2"/>
      </rPr>
      <t xml:space="preserve">보고 자료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비용 조회 화면 등 제출 여부</t>
    </r>
  </si>
  <si>
    <t xml:space="preserve">센터장 또는 재무팀</t>
  </si>
  <si>
    <t xml:space="preserve">파일은 별도 첨부</t>
  </si>
  <si>
    <t xml:space="preserve">칸 색상 안내</t>
  </si>
  <si>
    <r>
      <rPr>
        <sz val="10"/>
        <color rgb="FF000000"/>
        <rFont val="Noto Sans CJK SC"/>
        <family val="2"/>
      </rPr>
      <t xml:space="preserve">입력 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노란색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</si>
  <si>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자동 계산 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회색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Noto Sans CJK SC"/>
        <family val="2"/>
      </rPr>
      <t xml:space="preserve">수정하지 마세요</t>
    </r>
  </si>
  <si>
    <r>
      <rPr>
        <sz val="10"/>
        <color rgb="FF000000"/>
        <rFont val="Noto Sans CJK SC"/>
        <family val="2"/>
      </rPr>
      <t xml:space="preserve">작성 예시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파란색 기울임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Noto Sans CJK SC"/>
        <family val="2"/>
      </rPr>
      <t xml:space="preserve">실제 값으로 덮어쓰기</t>
    </r>
  </si>
  <si>
    <t xml:space="preserve">① 자동화 설비 도입 현황</t>
  </si>
  <si>
    <r>
      <rPr>
        <sz val="10"/>
        <color rgb="FF404040"/>
        <rFont val="Noto Sans CJK SC"/>
        <family val="2"/>
      </rPr>
      <t xml:space="preserve">설비별 가동 시작일과 투자금액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설비가 대체한 수작업 공정을 적어 주세요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</si>
  <si>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작성 부서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설비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운영팀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센터장</t>
    </r>
    <r>
      <rPr>
        <b val="true"/>
        <sz val="10"/>
        <color rgb="FFC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</si>
  <si>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■ 노란 칸만 입력해 주세요   ■ 회색 칸은 자동 계산   ■ 파란 칸은 작성 예시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지우거나 덮어써도 됩니다</t>
    </r>
    <r>
      <rPr>
        <sz val="9"/>
        <color rgb="FF595959"/>
        <rFont val="맑은 고딕"/>
        <family val="0"/>
        <charset val="1"/>
      </rPr>
      <t xml:space="preserve">)</t>
    </r>
  </si>
  <si>
    <t xml:space="preserve">No</t>
  </si>
  <si>
    <t xml:space="preserve">설비명</t>
  </si>
  <si>
    <t xml:space="preserve">수량</t>
  </si>
  <si>
    <r>
      <rPr>
        <b val="true"/>
        <sz val="10"/>
        <color rgb="FFFFFFFF"/>
        <rFont val="Noto Sans CJK SC"/>
        <family val="2"/>
      </rPr>
      <t xml:space="preserve">가동 시작일
</t>
    </r>
    <r>
      <rPr>
        <b val="true"/>
        <sz val="10"/>
        <color rgb="FFFFFFFF"/>
        <rFont val="맑은 고딕"/>
        <family val="0"/>
        <charset val="1"/>
      </rPr>
      <t xml:space="preserve">(YYYY-MM-DD)</t>
    </r>
  </si>
  <si>
    <t xml:space="preserve">도입 방식</t>
  </si>
  <si>
    <r>
      <rPr>
        <b val="true"/>
        <sz val="10"/>
        <color rgb="FFFFFFFF"/>
        <rFont val="Noto Sans CJK SC"/>
        <family val="2"/>
      </rPr>
      <t xml:space="preserve">투자금액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구매 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</si>
  <si>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월 리스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렌탈료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</si>
  <si>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대체한 수작업 공정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도입 전 → 도입 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</si>
  <si>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도입 효과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체감 인원 감소 등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</si>
  <si>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</t>
    </r>
    <r>
      <rPr>
        <i val="true"/>
        <sz val="10"/>
        <color rgb="FF1F4E79"/>
        <rFont val="Noto Sans CJK SC"/>
        <family val="2"/>
      </rPr>
      <t xml:space="preserve">휠소터 라인</t>
    </r>
    <r>
      <rPr>
        <i val="true"/>
        <sz val="10"/>
        <color rgb="FF1F4E79"/>
        <rFont val="맑은 고딕"/>
        <family val="0"/>
        <charset val="1"/>
      </rPr>
      <t xml:space="preserve">(9</t>
    </r>
    <r>
      <rPr>
        <i val="true"/>
        <sz val="10"/>
        <color rgb="FF1F4E79"/>
        <rFont val="Noto Sans CJK SC"/>
        <family val="2"/>
      </rPr>
      <t xml:space="preserve">모듈</t>
    </r>
    <r>
      <rPr>
        <i val="true"/>
        <sz val="10"/>
        <color rgb="FF1F4E79"/>
        <rFont val="맑은 고딕"/>
        <family val="0"/>
        <charset val="1"/>
      </rPr>
      <t xml:space="preserve">)</t>
    </r>
  </si>
  <si>
    <t xml:space="preserve">2026-04-01</t>
  </si>
  <si>
    <t xml:space="preserve">구매</t>
  </si>
  <si>
    <r>
      <rPr>
        <i val="true"/>
        <sz val="10"/>
        <color rgb="FF1F4E79"/>
        <rFont val="Noto Sans CJK SC"/>
        <family val="2"/>
      </rPr>
      <t xml:space="preserve">수동 분류 </t>
    </r>
    <r>
      <rPr>
        <i val="true"/>
        <sz val="10"/>
        <color rgb="FF1F4E79"/>
        <rFont val="맑은 고딕"/>
        <family val="0"/>
        <charset val="1"/>
      </rPr>
      <t xml:space="preserve">6</t>
    </r>
    <r>
      <rPr>
        <i val="true"/>
        <sz val="10"/>
        <color rgb="FF1F4E79"/>
        <rFont val="Noto Sans CJK SC"/>
        <family val="2"/>
      </rPr>
      <t xml:space="preserve">명</t>
    </r>
    <r>
      <rPr>
        <i val="true"/>
        <sz val="10"/>
        <color rgb="FF1F4E79"/>
        <rFont val="맑은 고딕"/>
        <family val="0"/>
        <charset val="1"/>
      </rPr>
      <t xml:space="preserve">(</t>
    </r>
    <r>
      <rPr>
        <i val="true"/>
        <sz val="10"/>
        <color rgb="FF1F4E79"/>
        <rFont val="Noto Sans CJK SC"/>
        <family val="2"/>
      </rPr>
      <t xml:space="preserve">주간</t>
    </r>
    <r>
      <rPr>
        <i val="true"/>
        <sz val="10"/>
        <color rgb="FF1F4E79"/>
        <rFont val="맑은 고딕"/>
        <family val="0"/>
        <charset val="1"/>
      </rPr>
      <t xml:space="preserve">) → </t>
    </r>
    <r>
      <rPr>
        <i val="true"/>
        <sz val="10"/>
        <color rgb="FF1F4E79"/>
        <rFont val="Noto Sans CJK SC"/>
        <family val="2"/>
      </rPr>
      <t xml:space="preserve">자동 분류</t>
    </r>
    <r>
      <rPr>
        <i val="true"/>
        <sz val="10"/>
        <color rgb="FF1F4E79"/>
        <rFont val="맑은 고딕"/>
        <family val="0"/>
        <charset val="1"/>
      </rPr>
      <t xml:space="preserve">, </t>
    </r>
    <r>
      <rPr>
        <i val="true"/>
        <sz val="10"/>
        <color rgb="FF1F4E79"/>
        <rFont val="Noto Sans CJK SC"/>
        <family val="2"/>
      </rPr>
      <t xml:space="preserve">투입</t>
    </r>
    <r>
      <rPr>
        <i val="true"/>
        <sz val="10"/>
        <color rgb="FF1F4E79"/>
        <rFont val="맑은 고딕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관리 </t>
    </r>
    <r>
      <rPr>
        <i val="true"/>
        <sz val="10"/>
        <color rgb="FF1F4E79"/>
        <rFont val="맑은 고딕"/>
        <family val="0"/>
        <charset val="1"/>
      </rPr>
      <t xml:space="preserve">2</t>
    </r>
    <r>
      <rPr>
        <i val="true"/>
        <sz val="10"/>
        <color rgb="FF1F4E79"/>
        <rFont val="Noto Sans CJK SC"/>
        <family val="2"/>
      </rPr>
      <t xml:space="preserve">명</t>
    </r>
  </si>
  <si>
    <r>
      <rPr>
        <i val="true"/>
        <sz val="10"/>
        <color rgb="FF1F4E79"/>
        <rFont val="Noto Sans CJK SC"/>
        <family val="2"/>
      </rPr>
      <t xml:space="preserve">분류 인원 주간 </t>
    </r>
    <r>
      <rPr>
        <i val="true"/>
        <sz val="10"/>
        <color rgb="FF1F4E79"/>
        <rFont val="맑은 고딕"/>
        <family val="0"/>
        <charset val="1"/>
      </rPr>
      <t xml:space="preserve">4</t>
    </r>
    <r>
      <rPr>
        <i val="true"/>
        <sz val="10"/>
        <color rgb="FF1F4E79"/>
        <rFont val="Noto Sans CJK SC"/>
        <family val="2"/>
      </rPr>
      <t xml:space="preserve">명 감소</t>
    </r>
  </si>
  <si>
    <t xml:space="preserve">예시 — 실제 값으로 수정</t>
  </si>
  <si>
    <r>
      <rPr>
        <sz val="10"/>
        <color rgb="FF000000"/>
        <rFont val="Noto Sans CJK SC"/>
        <family val="2"/>
      </rPr>
      <t xml:space="preserve">휠소터 라인</t>
    </r>
    <r>
      <rPr>
        <sz val="10"/>
        <color rgb="FF000000"/>
        <rFont val="맑은 고딕"/>
        <family val="0"/>
        <charset val="1"/>
      </rPr>
      <t xml:space="preserve">(9</t>
    </r>
    <r>
      <rPr>
        <sz val="10"/>
        <color rgb="FF000000"/>
        <rFont val="Noto Sans CJK SC"/>
        <family val="2"/>
      </rPr>
      <t xml:space="preserve">모듈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</si>
  <si>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싱귤레이터</t>
  </si>
  <si>
    <t xml:space="preserve">오토라벨러</t>
  </si>
  <si>
    <r>
      <rPr>
        <sz val="10"/>
        <color rgb="FF000000"/>
        <rFont val="Noto Sans CJK SC"/>
        <family val="2"/>
      </rPr>
      <t xml:space="preserve">컨베이어 </t>
    </r>
    <r>
      <rPr>
        <sz val="10"/>
        <color rgb="FF000000"/>
        <rFont val="맑은 고딕"/>
        <family val="0"/>
        <charset val="1"/>
      </rPr>
      <t xml:space="preserve">DWS(</t>
    </r>
    <r>
      <rPr>
        <sz val="10"/>
        <color rgb="FF000000"/>
        <rFont val="Noto Sans CJK SC"/>
        <family val="2"/>
      </rPr>
      <t xml:space="preserve">투입구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</si>
  <si>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소터</t>
    </r>
  </si>
  <si>
    <t xml:space="preserve">PTL</t>
  </si>
  <si>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직접 기재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</si>
  <si>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※ 비교 기간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설비 가동 시작일 기준으로 정해 주세요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</si>
  <si>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도입 전 비교 기간</t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</si>
  <si>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2025-10 ~ 2026-03</t>
    </r>
  </si>
  <si>
    <t xml:space="preserve">도입 후 비교 기간</t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</si>
  <si>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2026-04 ~ 2026-09</t>
    </r>
  </si>
  <si>
    <r>
      <rPr>
        <b val="true"/>
        <sz val="10"/>
        <color rgb="FF000000"/>
        <rFont val="Noto Sans CJK SC"/>
        <family val="2"/>
      </rPr>
      <t xml:space="preserve">설비 안정화 기간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제외할 달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</si>
  <si>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2026-04 (</t>
    </r>
    <r>
      <rPr>
        <i val="true"/>
        <sz val="10"/>
        <color rgb="FF1F4E79"/>
        <rFont val="Noto Sans CJK SC"/>
        <family val="2"/>
      </rPr>
      <t xml:space="preserve">시운전</t>
    </r>
    <r>
      <rPr>
        <i val="true"/>
        <sz val="10"/>
        <color rgb="FF1F4E79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</si>
  <si>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Noto Sans CJK SC"/>
        <family val="2"/>
      </rPr>
      <t xml:space="preserve">② 설비 도입 전</t>
    </r>
    <r>
      <rPr>
        <b val="true"/>
        <sz val="14"/>
        <color rgb="FF1F3864"/>
        <rFont val="맑은 고딕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후 공정별 투입 인원</t>
    </r>
  </si>
  <si>
    <r>
      <rPr>
        <sz val="10"/>
        <color rgb="FF404040"/>
        <rFont val="Noto Sans CJK SC"/>
        <family val="2"/>
      </rPr>
      <t xml:space="preserve">하루 평균 투입 인원을 공정별로 적어 주세요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기준월은 ①의 비교 기간 중 대표 월로 해 주세요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</si>
  <si>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작성 부서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운영팀</t>
    </r>
  </si>
  <si>
    <t xml:space="preserve">도입 전 기준월</t>
  </si>
  <si>
    <t xml:space="preserve">도입 후 기준월</t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</si>
  <si>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2026-01 / 2026-08</t>
    </r>
  </si>
  <si>
    <t xml:space="preserve">공정</t>
  </si>
  <si>
    <r>
      <rPr>
        <b val="true"/>
        <sz val="10"/>
        <color rgb="FFFFFFFF"/>
        <rFont val="Noto Sans CJK SC"/>
        <family val="2"/>
      </rPr>
      <t xml:space="preserve">도입 전 </t>
    </r>
    <r>
      <rPr>
        <b val="true"/>
        <sz val="10"/>
        <color rgb="FFFFFFFF"/>
        <rFont val="맑은 고딕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</rPr>
      <t xml:space="preserve">일 평균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</si>
  <si>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도입 후 </t>
    </r>
    <r>
      <rPr>
        <b val="true"/>
        <sz val="10"/>
        <color rgb="FFFFFFFF"/>
        <rFont val="맑은 고딕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</rPr>
      <t xml:space="preserve">일 평균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</si>
  <si>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증감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</si>
  <si>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줄어든 인원 처리</t>
  </si>
  <si>
    <r>
      <rPr>
        <b val="true"/>
        <sz val="10"/>
        <color rgb="FFFFFFFF"/>
        <rFont val="Noto Sans CJK SC"/>
        <family val="2"/>
      </rPr>
      <t xml:space="preserve">주간 인원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</si>
  <si>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야간 인원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</si>
  <si>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근무시간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</si>
  <si>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투입 인시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</si>
  <si>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인원 증감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</si>
  <si>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인시 증감
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</si>
  <si>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t xml:space="preserve">처리 방식</t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</si>
  <si>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</t>
    </r>
    <r>
      <rPr>
        <i val="true"/>
        <sz val="10"/>
        <color rgb="FF1F4E79"/>
        <rFont val="Noto Sans CJK SC"/>
        <family val="2"/>
      </rPr>
      <t xml:space="preserve">화물 분류</t>
    </r>
    <r>
      <rPr>
        <i val="true"/>
        <sz val="10"/>
        <color rgb="FF1F4E79"/>
        <rFont val="맑은 고딕"/>
        <family val="0"/>
        <charset val="1"/>
      </rPr>
      <t xml:space="preserve">(</t>
    </r>
    <r>
      <rPr>
        <i val="true"/>
        <sz val="10"/>
        <color rgb="FF1F4E79"/>
        <rFont val="Noto Sans CJK SC"/>
        <family val="2"/>
      </rPr>
      <t xml:space="preserve">소터</t>
    </r>
    <r>
      <rPr>
        <i val="true"/>
        <sz val="10"/>
        <color rgb="FF1F4E79"/>
        <rFont val="맑은 고딕"/>
        <family val="0"/>
        <charset val="1"/>
      </rPr>
      <t xml:space="preserve">)</t>
    </r>
  </si>
  <si>
    <t xml:space="preserve">타 공정 전환</t>
  </si>
  <si>
    <r>
      <rPr>
        <sz val="10"/>
        <color rgb="FF000000"/>
        <rFont val="Noto Sans CJK SC"/>
        <family val="2"/>
      </rPr>
      <t xml:space="preserve">재고 입고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검수</t>
    </r>
  </si>
  <si>
    <r>
      <rPr>
        <sz val="10"/>
        <color rgb="FF000000"/>
        <rFont val="Noto Sans CJK SC"/>
        <family val="2"/>
      </rPr>
      <t xml:space="preserve">적치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재고관리</t>
    </r>
  </si>
  <si>
    <r>
      <rPr>
        <sz val="10"/>
        <color rgb="FF000000"/>
        <rFont val="Noto Sans CJK SC"/>
        <family val="2"/>
      </rPr>
      <t xml:space="preserve">피킹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풀필먼트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</si>
  <si>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검품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패킹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풀필먼트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</si>
  <si>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화물 입고</t>
    </r>
    <r>
      <rPr>
        <sz val="10"/>
        <color rgb="FF000000"/>
        <rFont val="맑은 고딕"/>
        <family val="0"/>
        <charset val="1"/>
      </rPr>
      <t xml:space="preserve">(DWS·</t>
    </r>
    <r>
      <rPr>
        <sz val="10"/>
        <color rgb="FF000000"/>
        <rFont val="Noto Sans CJK SC"/>
        <family val="2"/>
      </rPr>
      <t xml:space="preserve">라벨링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</si>
  <si>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화물 분류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소터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</si>
  <si>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번들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상차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</si>
  <si>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관리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리더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</si>
  <si>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합계</t>
  </si>
  <si>
    <r>
      <rPr>
        <sz val="9"/>
        <color rgb="FF595959"/>
        <rFont val="Noto Sans CJK SC"/>
        <family val="2"/>
      </rPr>
      <t xml:space="preserve">※ 줄어든 인원이 다른 공정으로 옮겼다면 </t>
    </r>
    <r>
      <rPr>
        <sz val="9"/>
        <color rgb="FF595959"/>
        <rFont val="맑은 고딕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타 공정 전환</t>
    </r>
    <r>
      <rPr>
        <sz val="9"/>
        <color rgb="FF595959"/>
        <rFont val="맑은 고딕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으로 표시하고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옮긴 공정의 도입 후 인원에도 반영해 주세요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</si>
  <si>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※ 협력사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단기 인력도 포함한 실제 투입 인원 기준입니다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</si>
  <si>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③ 월별 투입 인력 </t>
    </r>
    <r>
      <rPr>
        <b val="true"/>
        <sz val="14"/>
        <color rgb="FF1F3864"/>
        <rFont val="맑은 고딕"/>
        <family val="0"/>
        <charset val="1"/>
      </rPr>
      <t xml:space="preserve">(2024.01 ~ 2025.05)</t>
    </r>
  </si>
  <si>
    <r>
      <rPr>
        <sz val="10"/>
        <color rgb="FF404040"/>
        <rFont val="맑은 고딕"/>
        <family val="0"/>
        <charset val="1"/>
      </rPr>
      <t xml:space="preserve">2025</t>
    </r>
    <r>
      <rPr>
        <sz val="10"/>
        <color rgb="FF404040"/>
        <rFont val="Noto Sans CJK SC"/>
        <family val="2"/>
      </rPr>
      <t xml:space="preserve">년 </t>
    </r>
    <r>
      <rPr>
        <sz val="10"/>
        <color rgb="FF404040"/>
        <rFont val="맑은 고딕"/>
        <family val="0"/>
        <charset val="1"/>
      </rPr>
      <t xml:space="preserve">6</t>
    </r>
    <r>
      <rPr>
        <sz val="10"/>
        <color rgb="FF404040"/>
        <rFont val="Noto Sans CJK SC"/>
        <family val="2"/>
      </rPr>
      <t xml:space="preserve">월 이후는 운영실적 파일로 확보했습니다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그 이전 기간만 월 합계로 적어 주세요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자료가 없으면 비고에 </t>
    </r>
    <r>
      <rPr>
        <sz val="10"/>
        <color rgb="FF404040"/>
        <rFont val="맑은 고딕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자료 없음</t>
    </r>
    <r>
      <rPr>
        <sz val="10"/>
        <color rgb="FF404040"/>
        <rFont val="맑은 고딕"/>
        <family val="0"/>
        <charset val="1"/>
      </rPr>
      <t xml:space="preserve">".</t>
    </r>
  </si>
  <si>
    <t xml:space="preserve">연월</t>
  </si>
  <si>
    <r>
      <rPr>
        <b val="true"/>
        <sz val="10"/>
        <color rgb="FFFFFFFF"/>
        <rFont val="Noto Sans CJK SC"/>
        <family val="2"/>
      </rPr>
      <t xml:space="preserve">가동일 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</si>
  <si>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정규직
연인원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인일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</si>
  <si>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협력사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단기
연인원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인일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</si>
  <si>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소정
근무시간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</si>
  <si>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잔업시간 합계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</si>
  <si>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총 투입 인시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</si>
  <si>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2025-03</t>
    </r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</si>
  <si>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</si>
  <si>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</si>
  <si>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</si>
  <si>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</si>
  <si>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</si>
  <si>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</si>
  <si>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</si>
  <si>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</si>
  <si>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</si>
  <si>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</si>
  <si>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</si>
  <si>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</si>
  <si>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</si>
  <si>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</si>
  <si>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</si>
  <si>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</si>
  <si>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</si>
  <si>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r>
      <rPr>
        <sz val="9"/>
        <color rgb="FF595959"/>
        <rFont val="Noto Sans CJK SC"/>
        <family val="2"/>
      </rPr>
      <t xml:space="preserve">※ 연인원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그 달 매일 출근 인원의 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예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하루 </t>
    </r>
    <r>
      <rPr>
        <sz val="9"/>
        <color rgb="FF595959"/>
        <rFont val="맑은 고딕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명 </t>
    </r>
    <r>
      <rPr>
        <sz val="9"/>
        <color rgb="FF595959"/>
        <rFont val="맑은 고딕"/>
        <family val="0"/>
        <charset val="1"/>
      </rPr>
      <t xml:space="preserve">× 26</t>
    </r>
    <r>
      <rPr>
        <sz val="9"/>
        <color rgb="FF595959"/>
        <rFont val="Noto Sans CJK SC"/>
        <family val="2"/>
      </rPr>
      <t xml:space="preserve">일 </t>
    </r>
    <r>
      <rPr>
        <sz val="9"/>
        <color rgb="FF595959"/>
        <rFont val="맑은 고딕"/>
        <family val="0"/>
        <charset val="1"/>
      </rPr>
      <t xml:space="preserve">= 520</t>
    </r>
    <r>
      <rPr>
        <sz val="9"/>
        <color rgb="FF595959"/>
        <rFont val="Noto Sans CJK SC"/>
        <family val="2"/>
      </rPr>
      <t xml:space="preserve">인일</t>
    </r>
    <r>
      <rPr>
        <sz val="9"/>
        <color rgb="FF595959"/>
        <rFont val="맑은 고딕"/>
        <family val="0"/>
        <charset val="1"/>
      </rPr>
      <t xml:space="preserve">). 1</t>
    </r>
    <r>
      <rPr>
        <sz val="9"/>
        <color rgb="FF595959"/>
        <rFont val="Noto Sans CJK SC"/>
        <family val="2"/>
      </rPr>
      <t xml:space="preserve">인 소정 근무시간 기본값 </t>
    </r>
    <r>
      <rPr>
        <sz val="9"/>
        <color rgb="FF595959"/>
        <rFont val="맑은 고딕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시간은 다르면 수정해 주세요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</si>
  <si>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④ 인건비 단가</t>
  </si>
  <si>
    <r>
      <rPr>
        <sz val="10"/>
        <color rgb="FF404040"/>
        <rFont val="Noto Sans CJK SC"/>
        <family val="2"/>
      </rPr>
      <t xml:space="preserve">줄어든 투입 인시를 금액으로 환산할 때 씁니다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연도별 평균 단가를 적어 주세요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</si>
  <si>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작성 부서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인사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총무 또는 재무팀</t>
    </r>
  </si>
  <si>
    <t xml:space="preserve">구분</t>
  </si>
  <si>
    <r>
      <rPr>
        <b val="true"/>
        <sz val="10"/>
        <color rgb="FFFFFFFF"/>
        <rFont val="맑은 고딕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</si>
  <si>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맑은 고딕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</si>
  <si>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맑은 고딕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</si>
  <si>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Noto Sans CJK SC"/>
        <family val="2"/>
      </rPr>
      <t xml:space="preserve">산정 기준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비고</t>
    </r>
  </si>
  <si>
    <r>
      <rPr>
        <i val="true"/>
        <sz val="10"/>
        <color rgb="FF1F4E79"/>
        <rFont val="Noto Sans CJK SC"/>
        <family val="2"/>
      </rPr>
      <t xml:space="preserve">예</t>
    </r>
    <r>
      <rPr>
        <i val="true"/>
        <sz val="10"/>
        <color rgb="FF1F4E79"/>
        <rFont val="맑은 고딕"/>
        <family val="0"/>
        <charset val="1"/>
      </rPr>
      <t xml:space="preserve">) </t>
    </r>
    <r>
      <rPr>
        <i val="true"/>
        <sz val="10"/>
        <color rgb="FF1F4E79"/>
        <rFont val="Noto Sans CJK SC"/>
        <family val="2"/>
      </rPr>
      <t xml:space="preserve">정규직 </t>
    </r>
    <r>
      <rPr>
        <i val="true"/>
        <sz val="10"/>
        <color rgb="FF1F4E79"/>
        <rFont val="맑은 고딕"/>
        <family val="0"/>
        <charset val="1"/>
      </rPr>
      <t xml:space="preserve">1</t>
    </r>
    <r>
      <rPr>
        <i val="true"/>
        <sz val="10"/>
        <color rgb="FF1F4E79"/>
        <rFont val="Noto Sans CJK SC"/>
        <family val="2"/>
      </rPr>
      <t xml:space="preserve">인 월평균 인건비</t>
    </r>
  </si>
  <si>
    <r>
      <rPr>
        <i val="true"/>
        <sz val="10"/>
        <color rgb="FF1F4E79"/>
        <rFont val="Noto Sans CJK SC"/>
        <family val="2"/>
      </rPr>
      <t xml:space="preserve">원</t>
    </r>
    <r>
      <rPr>
        <i val="true"/>
        <sz val="10"/>
        <color rgb="FF1F4E79"/>
        <rFont val="맑은 고딕"/>
        <family val="0"/>
        <charset val="1"/>
      </rPr>
      <t xml:space="preserve">/</t>
    </r>
    <r>
      <rPr>
        <i val="true"/>
        <sz val="10"/>
        <color rgb="FF1F4E79"/>
        <rFont val="Noto Sans CJK SC"/>
        <family val="2"/>
      </rPr>
      <t xml:space="preserve">월</t>
    </r>
  </si>
  <si>
    <r>
      <rPr>
        <i val="true"/>
        <sz val="10"/>
        <color rgb="FF1F4E79"/>
        <rFont val="Noto Sans CJK SC"/>
        <family val="2"/>
      </rPr>
      <t xml:space="preserve">급여</t>
    </r>
    <r>
      <rPr>
        <i val="true"/>
        <sz val="10"/>
        <color rgb="FF1F4E79"/>
        <rFont val="맑은 고딕"/>
        <family val="0"/>
        <charset val="1"/>
      </rPr>
      <t xml:space="preserve">+4</t>
    </r>
    <r>
      <rPr>
        <i val="true"/>
        <sz val="10"/>
        <color rgb="FF1F4E79"/>
        <rFont val="Noto Sans CJK SC"/>
        <family val="2"/>
      </rPr>
      <t xml:space="preserve">대보험</t>
    </r>
    <r>
      <rPr>
        <i val="true"/>
        <sz val="10"/>
        <color rgb="FF1F4E79"/>
        <rFont val="맑은 고딕"/>
        <family val="0"/>
        <charset val="1"/>
      </rPr>
      <t xml:space="preserve">(</t>
    </r>
    <r>
      <rPr>
        <i val="true"/>
        <sz val="10"/>
        <color rgb="FF1F4E79"/>
        <rFont val="Noto Sans CJK SC"/>
        <family val="2"/>
      </rPr>
      <t xml:space="preserve">회사분</t>
    </r>
    <r>
      <rPr>
        <i val="true"/>
        <sz val="10"/>
        <color rgb="FF1F4E79"/>
        <rFont val="맑은 고딕"/>
        <family val="0"/>
        <charset val="1"/>
      </rPr>
      <t xml:space="preserve">)+</t>
    </r>
    <r>
      <rPr>
        <i val="true"/>
        <sz val="10"/>
        <color rgb="FF1F4E79"/>
        <rFont val="Noto Sans CJK SC"/>
        <family val="2"/>
      </rPr>
      <t xml:space="preserve">퇴직충당 포함</t>
    </r>
    <r>
      <rPr>
        <i val="true"/>
        <sz val="10"/>
        <color rgb="FF1F4E79"/>
        <rFont val="맑은 고딕"/>
        <family val="0"/>
        <charset val="1"/>
      </rPr>
      <t xml:space="preserve">. </t>
    </r>
    <r>
      <rPr>
        <i val="true"/>
        <sz val="10"/>
        <color rgb="FF1F4E79"/>
        <rFont val="Noto Sans CJK SC"/>
        <family val="2"/>
      </rPr>
      <t xml:space="preserve">예시 — 실제 값으로 수정</t>
    </r>
  </si>
  <si>
    <r>
      <rPr>
        <sz val="10"/>
        <color rgb="FF000000"/>
        <rFont val="Noto Sans CJK SC"/>
        <family val="2"/>
      </rPr>
      <t xml:space="preserve">정규직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 월평균 인건비</t>
    </r>
  </si>
  <si>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</si>
  <si>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Noto Sans CJK SC"/>
        <family val="2"/>
      </rPr>
      <t xml:space="preserve">급여</t>
    </r>
    <r>
      <rPr>
        <sz val="10"/>
        <color rgb="FF000000"/>
        <rFont val="맑은 고딕"/>
        <family val="0"/>
        <charset val="1"/>
      </rPr>
      <t xml:space="preserve">+4</t>
    </r>
    <r>
      <rPr>
        <sz val="10"/>
        <color rgb="FF000000"/>
        <rFont val="Noto Sans CJK SC"/>
        <family val="2"/>
      </rPr>
      <t xml:space="preserve">대보험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회사분</t>
    </r>
    <r>
      <rPr>
        <sz val="10"/>
        <color rgb="FF000000"/>
        <rFont val="맑은 고딕"/>
        <family val="0"/>
        <charset val="1"/>
      </rPr>
      <t xml:space="preserve">)+</t>
    </r>
    <r>
      <rPr>
        <sz val="10"/>
        <color rgb="FF000000"/>
        <rFont val="Noto Sans CJK SC"/>
        <family val="2"/>
      </rPr>
      <t xml:space="preserve">퇴직충당 포함</t>
    </r>
  </si>
  <si>
    <t xml:space="preserve">정규직 월 소정근로시간</t>
  </si>
  <si>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</si>
  <si>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Noto Sans CJK SC"/>
        <family val="2"/>
      </rPr>
      <t xml:space="preserve">통상 </t>
    </r>
    <r>
      <rPr>
        <sz val="10"/>
        <color rgb="FF000000"/>
        <rFont val="맑은 고딕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</si>
  <si>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Noto Sans CJK SC"/>
        <family val="2"/>
      </rPr>
      <t xml:space="preserve">정규직 시간당 인건비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</si>
  <si>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</si>
  <si>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Noto Sans CJK SC"/>
        <family val="2"/>
      </rPr>
      <t xml:space="preserve">월평균 인건비 </t>
    </r>
    <r>
      <rPr>
        <sz val="10"/>
        <color rgb="FF000000"/>
        <rFont val="맑은 고딕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소정근로시간으로 자동 계산</t>
    </r>
  </si>
  <si>
    <r>
      <rPr>
        <sz val="10"/>
        <color rgb="FF000000"/>
        <rFont val="Noto Sans CJK SC"/>
        <family val="2"/>
      </rPr>
      <t xml:space="preserve">협력사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장기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도급 단가</t>
    </r>
  </si>
  <si>
    <r>
      <rPr>
        <sz val="10"/>
        <color rgb="FF000000"/>
        <rFont val="Noto Sans CJK SC"/>
        <family val="2"/>
      </rPr>
      <t xml:space="preserve">일당이면 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시간으로 나눠 기재</t>
    </r>
  </si>
  <si>
    <t xml:space="preserve">단기 인력 단가</t>
  </si>
  <si>
    <t xml:space="preserve">잔업 할증률</t>
  </si>
  <si>
    <t xml:space="preserve">%</t>
  </si>
  <si>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50%</t>
    </r>
  </si>
  <si>
    <r>
      <rPr>
        <sz val="10"/>
        <color rgb="FF000000"/>
        <rFont val="Noto Sans CJK SC"/>
        <family val="2"/>
      </rPr>
      <t xml:space="preserve">정규직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협력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단기 인원 비율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참고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</si>
  <si>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협력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단기 비중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60%</t>
    </r>
  </si>
  <si>
    <r>
      <rPr>
        <b val="true"/>
        <sz val="14"/>
        <color rgb="FF1F3864"/>
        <rFont val="Noto Sans CJK SC"/>
        <family val="2"/>
      </rPr>
      <t xml:space="preserve">⑤ 월별 센터 운영비 </t>
    </r>
    <r>
      <rPr>
        <b val="true"/>
        <sz val="14"/>
        <color rgb="FF1F3864"/>
        <rFont val="맑은 고딕"/>
        <family val="0"/>
        <charset val="1"/>
      </rPr>
      <t xml:space="preserve">(2024.01 ~ 2026.09)</t>
    </r>
  </si>
  <si>
    <r>
      <rPr>
        <sz val="10"/>
        <color rgb="FF404040"/>
        <rFont val="Noto Sans CJK SC"/>
        <family val="2"/>
      </rPr>
      <t xml:space="preserve">영종센터 귀속 비용만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월별 발생 기준</t>
    </r>
    <r>
      <rPr>
        <sz val="10"/>
        <color rgb="FF404040"/>
        <rFont val="맑은 고딕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원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부가세 제외</t>
    </r>
    <r>
      <rPr>
        <sz val="10"/>
        <color rgb="FF404040"/>
        <rFont val="맑은 고딕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으로 적어 주세요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운송비는 별도 칸에 적으면 합계에서 제외됩니다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</si>
  <si>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작성 부서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재무팀</t>
    </r>
  </si>
  <si>
    <r>
      <rPr>
        <b val="true"/>
        <sz val="10"/>
        <color rgb="FFFFFFFF"/>
        <rFont val="Noto Sans CJK SC"/>
        <family val="2"/>
      </rPr>
      <t xml:space="preserve">직접 인건비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정규직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</si>
  <si>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도급비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협력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단기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</si>
  <si>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포장재비</t>
  </si>
  <si>
    <r>
      <rPr>
        <b val="true"/>
        <sz val="10"/>
        <color rgb="FFFFFFFF"/>
        <rFont val="Noto Sans CJK SC"/>
        <family val="2"/>
      </rPr>
      <t xml:space="preserve">설비 감가상각
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리스료</t>
    </r>
  </si>
  <si>
    <t xml:space="preserve">설비 유지보수비</t>
  </si>
  <si>
    <r>
      <rPr>
        <b val="true"/>
        <sz val="10"/>
        <color rgb="FFFFFFFF"/>
        <rFont val="Noto Sans CJK SC"/>
        <family val="2"/>
      </rPr>
      <t xml:space="preserve">임차료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관리비</t>
    </r>
  </si>
  <si>
    <r>
      <rPr>
        <b val="true"/>
        <sz val="10"/>
        <color rgb="FFFFFFFF"/>
        <rFont val="Noto Sans CJK SC"/>
        <family val="2"/>
      </rPr>
      <t xml:space="preserve">전기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수도료</t>
    </r>
  </si>
  <si>
    <t xml:space="preserve">기타 운영비</t>
  </si>
  <si>
    <r>
      <rPr>
        <b val="true"/>
        <sz val="10"/>
        <color rgb="FFFFFFFF"/>
        <rFont val="Noto Sans CJK SC"/>
        <family val="2"/>
      </rPr>
      <t xml:space="preserve">운영비 합계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</si>
  <si>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운송비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합계 제외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</si>
  <si>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</si>
  <si>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</si>
  <si>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</si>
  <si>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</si>
  <si>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</si>
  <si>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</si>
  <si>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</si>
  <si>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</si>
  <si>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</si>
  <si>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</si>
  <si>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</si>
  <si>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</si>
  <si>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</si>
  <si>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</si>
  <si>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</si>
  <si>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</si>
  <si>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r>
      <rPr>
        <b val="true"/>
        <sz val="10"/>
        <color rgb="FF000000"/>
        <rFont val="맑은 고딕"/>
        <family val="0"/>
        <charset val="1"/>
      </rPr>
      <t xml:space="preserve">2024 </t>
    </r>
    <r>
      <rPr>
        <b val="true"/>
        <sz val="10"/>
        <color rgb="FF000000"/>
        <rFont val="Noto Sans CJK SC"/>
        <family val="2"/>
      </rPr>
      <t xml:space="preserve">합계</t>
    </r>
  </si>
  <si>
    <r>
      <rPr>
        <b val="true"/>
        <sz val="10"/>
        <color rgb="FF000000"/>
        <rFont val="맑은 고딕"/>
        <family val="0"/>
        <charset val="1"/>
      </rPr>
      <t xml:space="preserve">2025 </t>
    </r>
    <r>
      <rPr>
        <b val="true"/>
        <sz val="10"/>
        <color rgb="FF000000"/>
        <rFont val="Noto Sans CJK SC"/>
        <family val="2"/>
      </rPr>
      <t xml:space="preserve">합계</t>
    </r>
  </si>
  <si>
    <r>
      <rPr>
        <b val="true"/>
        <sz val="10"/>
        <color rgb="FF000000"/>
        <rFont val="맑은 고딕"/>
        <family val="0"/>
        <charset val="1"/>
      </rPr>
      <t xml:space="preserve">2026(1~9</t>
    </r>
    <r>
      <rPr>
        <b val="true"/>
        <sz val="10"/>
        <color rgb="FF000000"/>
        <rFont val="Noto Sans CJK SC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Noto Sans CJK SC"/>
        <family val="2"/>
      </rPr>
      <t xml:space="preserve">합계</t>
    </r>
  </si>
  <si>
    <r>
      <rPr>
        <sz val="9"/>
        <color rgb="FF595959"/>
        <rFont val="Noto Sans CJK SC"/>
        <family val="2"/>
      </rPr>
      <t xml:space="preserve">※ 본사 공통비 배부액이 있으면 「기타 운영비」에 넣지 말고 비고에 금액만 적어 주세요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</si>
  <si>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⑥ 비용</t>
    </r>
    <r>
      <rPr>
        <b val="true"/>
        <sz val="14"/>
        <color rgb="FF1F3864"/>
        <rFont val="맑은 고딕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성과 관리 근거 자료</t>
    </r>
  </si>
  <si>
    <r>
      <rPr>
        <sz val="10"/>
        <color rgb="FF404040"/>
        <rFont val="Noto Sans CJK SC"/>
        <family val="2"/>
      </rPr>
      <t xml:space="preserve">심사에서는 절감액뿐 아니라 </t>
    </r>
    <r>
      <rPr>
        <sz val="10"/>
        <color rgb="FF404040"/>
        <rFont val="맑은 고딕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시스템으로 비용을 모으고 보고</t>
    </r>
    <r>
      <rPr>
        <sz val="10"/>
        <color rgb="FF404040"/>
        <rFont val="맑은 고딕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분석해 개선하는지</t>
    </r>
    <r>
      <rPr>
        <sz val="10"/>
        <color rgb="FF404040"/>
        <rFont val="맑은 고딕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를 봅니다</t>
    </r>
    <r>
      <rPr>
        <sz val="10"/>
        <color rgb="FF404040"/>
        <rFont val="맑은 고딕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있는 자료를 표시하고 파일을 함께 보내 주세요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</si>
  <si>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작성 부서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센터장 또는 재무팀</t>
    </r>
  </si>
  <si>
    <t xml:space="preserve">자료</t>
  </si>
  <si>
    <t xml:space="preserve">예시</t>
  </si>
  <si>
    <t xml:space="preserve">보유 여부</t>
  </si>
  <si>
    <t xml:space="preserve">파일명</t>
  </si>
  <si>
    <r>
      <rPr>
        <b val="true"/>
        <sz val="10"/>
        <color rgb="FFFFFFFF"/>
        <rFont val="Noto Sans CJK SC"/>
        <family val="2"/>
      </rPr>
      <t xml:space="preserve">작성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조회 주기</t>
    </r>
  </si>
  <si>
    <r>
      <rPr>
        <sz val="10"/>
        <color rgb="FF000000"/>
        <rFont val="Noto Sans CJK SC"/>
        <family val="2"/>
      </rPr>
      <t xml:space="preserve">월간 성과보고</t>
    </r>
    <r>
      <rPr>
        <sz val="10"/>
        <color rgb="FF000000"/>
        <rFont val="맑은 고딕"/>
        <family val="0"/>
        <charset val="1"/>
      </rPr>
      <t xml:space="preserve">(KPI) </t>
    </r>
    <r>
      <rPr>
        <sz val="10"/>
        <color rgb="FF000000"/>
        <rFont val="Noto Sans CJK SC"/>
        <family val="2"/>
      </rPr>
      <t xml:space="preserve">자료</t>
    </r>
  </si>
  <si>
    <r>
      <rPr>
        <sz val="10"/>
        <color rgb="FF000000"/>
        <rFont val="Noto Sans CJK SC"/>
        <family val="2"/>
      </rPr>
      <t xml:space="preserve">월간 운영 보고서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생산성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비용 지표 보고 장표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1~2</t>
    </r>
    <r>
      <rPr>
        <sz val="10"/>
        <color rgb="FF000000"/>
        <rFont val="Noto Sans CJK SC"/>
        <family val="2"/>
      </rPr>
      <t xml:space="preserve">개월분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</si>
  <si>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비용 조회 화면 캡처</t>
  </si>
  <si>
    <r>
      <rPr>
        <sz val="10"/>
        <color rgb="FF000000"/>
        <rFont val="Noto Sans CJK SC"/>
        <family val="2"/>
      </rPr>
      <t xml:space="preserve">정산 시스템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어드민의 월별 비용 조회 화면</t>
    </r>
  </si>
  <si>
    <r>
      <rPr>
        <sz val="10"/>
        <color rgb="FF000000"/>
        <rFont val="Noto Sans CJK SC"/>
        <family val="2"/>
      </rPr>
      <t xml:space="preserve">인력 투입 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실적 관리 자료</t>
    </r>
  </si>
  <si>
    <r>
      <rPr>
        <sz val="10"/>
        <color rgb="FF000000"/>
        <rFont val="Noto Sans CJK SC"/>
        <family val="2"/>
      </rPr>
      <t xml:space="preserve">일일 인력 배치표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물량 대비 인력 계획표</t>
    </r>
  </si>
  <si>
    <t xml:space="preserve">비용 초과 시 개선 사례</t>
  </si>
  <si>
    <r>
      <rPr>
        <sz val="10"/>
        <color rgb="FF000000"/>
        <rFont val="Noto Sans CJK SC"/>
        <family val="2"/>
      </rPr>
      <t xml:space="preserve">원인 분석 → 조치 → 결과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잔업 축소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단기 인력 조정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</si>
  <si>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설비 도입 품의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투자 검토 자료</t>
    </r>
  </si>
  <si>
    <r>
      <rPr>
        <sz val="10"/>
        <color rgb="FF000000"/>
        <rFont val="Noto Sans CJK SC"/>
        <family val="2"/>
      </rPr>
      <t xml:space="preserve">도입 목적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기대효과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인원 절감 계획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적힌 품의서</t>
    </r>
  </si>
  <si>
    <t xml:space="preserve">기타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</si>
</sst>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;\(#,##0\);\-"/>
    <numFmt numFmtId="167" formatCode="@"/>
    <numFmt numFmtId="168" formatCode="#,##0.0;\(#,##0.0\);\-"/>
    <numFmt numFmtId="169" formatCode="\+#,##0;\-#,##0;\-"/>
    <numFmt numFmtId="170" formatCode="\+0.0%;\-0.0%;\-"/>
    <numFmt numFmtId="171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4"/>
      <color rgb="FF1F3864"/>
      <name val="Noto Sans CJK SC"/>
      <family val="2"/>
    </font>
    <font>
      <sz val="10"/>
      <color rgb="FF404040"/>
      <name val="Noto Sans CJK SC"/>
      <family val="2"/>
    </font>
    <font>
      <sz val="10"/>
      <color rgb="FF40404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i val="true"/>
      <sz val="10"/>
      <color rgb="FF1F4E79"/>
      <name val="맑은 고딕"/>
      <family val="0"/>
      <charset val="1"/>
    </font>
    <font>
      <i val="true"/>
      <sz val="10"/>
      <color rgb="FF1F4E79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864"/>
        <bgColor rgb="FF1F4E79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4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4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5" t="s">
        <v>15</v>
      </c>
    </row>
    <row r="12" customFormat="false" ht="15" hidden="false" customHeight="false" outlineLevel="0" collapsed="false">
      <c r="A12" s="6" t="s">
        <v>16</v>
      </c>
      <c r="B12" s="6" t="s">
        <v>17</v>
      </c>
      <c r="C12" s="6" t="s">
        <v>18</v>
      </c>
      <c r="D12" s="6" t="s">
        <v>19</v>
      </c>
    </row>
    <row r="13" customFormat="false" ht="15" hidden="false" customHeight="false" outlineLevel="0" collapsed="false">
      <c r="A13" s="4" t="s">
        <v>20</v>
      </c>
      <c r="B13" s="3" t="s">
        <v>21</v>
      </c>
      <c r="C13" s="3" t="s">
        <v>22</v>
      </c>
      <c r="D13" s="3" t="s">
        <v>23</v>
      </c>
    </row>
    <row r="14" customFormat="false" ht="15" hidden="false" customHeight="false" outlineLevel="0" collapsed="false">
      <c r="A14" s="4" t="s">
        <v>24</v>
      </c>
      <c r="B14" s="3" t="s">
        <v>25</v>
      </c>
      <c r="C14" s="3" t="s">
        <v>26</v>
      </c>
      <c r="D14" s="3" t="s">
        <v>27</v>
      </c>
    </row>
    <row r="15" customFormat="false" ht="15" hidden="false" customHeight="false" outlineLevel="0" collapsed="false">
      <c r="A15" s="4" t="s">
        <v>28</v>
      </c>
      <c r="B15" s="4" t="s">
        <v>29</v>
      </c>
      <c r="C15" s="3" t="s">
        <v>26</v>
      </c>
      <c r="D15" s="3" t="s">
        <v>30</v>
      </c>
    </row>
    <row r="16" customFormat="false" ht="15" hidden="false" customHeight="false" outlineLevel="0" collapsed="false">
      <c r="A16" s="4" t="s">
        <v>31</v>
      </c>
      <c r="B16" s="3" t="s">
        <v>32</v>
      </c>
      <c r="C16" s="3" t="s">
        <v>33</v>
      </c>
      <c r="D16" s="3" t="s">
        <v>34</v>
      </c>
    </row>
    <row r="17" customFormat="false" ht="15" hidden="false" customHeight="false" outlineLevel="0" collapsed="false">
      <c r="A17" s="4" t="s">
        <v>35</v>
      </c>
      <c r="B17" s="3" t="s">
        <v>36</v>
      </c>
      <c r="C17" s="3" t="s">
        <v>37</v>
      </c>
      <c r="D17" s="3" t="s">
        <v>38</v>
      </c>
    </row>
    <row r="18" customFormat="false" ht="15" hidden="false" customHeight="false" outlineLevel="0" collapsed="false">
      <c r="A18" s="4" t="s">
        <v>39</v>
      </c>
      <c r="B18" s="3" t="s">
        <v>40</v>
      </c>
      <c r="C18" s="3" t="s">
        <v>41</v>
      </c>
      <c r="D18" s="3" t="s">
        <v>42</v>
      </c>
    </row>
    <row r="20" customFormat="false" ht="15" hidden="false" customHeight="false" outlineLevel="0" collapsed="false">
      <c r="A20" s="5" t="s">
        <v>43</v>
      </c>
    </row>
    <row r="21" customFormat="false" ht="15" hidden="false" customHeight="false" outlineLevel="0" collapsed="false">
      <c r="A21" s="7"/>
      <c r="B21" s="8" t="s">
        <v>44</v>
      </c>
    </row>
    <row r="22" customFormat="false" ht="15" hidden="false" customHeight="false" outlineLevel="0" collapsed="false">
      <c r="A22" s="9"/>
      <c r="B22" s="8" t="s">
        <v>45</v>
      </c>
    </row>
    <row r="23" customFormat="false" ht="15" hidden="false" customHeight="false" outlineLevel="0" collapsed="false">
      <c r="A23" s="10"/>
      <c r="B23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1" t="s">
        <v>47</v>
      </c>
    </row>
    <row r="2" customFormat="false" ht="15" hidden="false" customHeight="false" outlineLevel="0" collapsed="false">
      <c r="A2" s="12" t="s">
        <v>48</v>
      </c>
    </row>
    <row r="3" customFormat="false" ht="15" hidden="false" customHeight="false" outlineLevel="0" collapsed="false">
      <c r="A3" s="13" t="s">
        <v>49</v>
      </c>
    </row>
    <row r="4" customFormat="false" ht="15" hidden="false" customHeight="false" outlineLevel="0" collapsed="false">
      <c r="A4" s="14" t="s">
        <v>50</v>
      </c>
    </row>
    <row r="6" customFormat="false" ht="36" hidden="false" customHeight="true" outlineLevel="0" collapsed="false">
      <c r="A6" s="15" t="s">
        <v>51</v>
      </c>
      <c r="B6" s="16" t="s">
        <v>52</v>
      </c>
      <c r="C6" s="16" t="s">
        <v>53</v>
      </c>
      <c r="D6" s="16" t="s">
        <v>54</v>
      </c>
      <c r="E6" s="16" t="s">
        <v>55</v>
      </c>
      <c r="F6" s="16" t="s">
        <v>56</v>
      </c>
      <c r="G6" s="16" t="s">
        <v>57</v>
      </c>
      <c r="H6" s="16" t="s">
        <v>58</v>
      </c>
      <c r="I6" s="16" t="s">
        <v>59</v>
      </c>
      <c r="J6" s="16" t="s">
        <v>19</v>
      </c>
    </row>
    <row r="7" customFormat="false" ht="15" hidden="false" customHeight="false" outlineLevel="0" collapsed="false">
      <c r="A7" s="17" t="n">
        <v>1</v>
      </c>
      <c r="B7" s="18" t="s">
        <v>60</v>
      </c>
      <c r="C7" s="17" t="n">
        <v>1</v>
      </c>
      <c r="D7" s="19" t="s">
        <v>61</v>
      </c>
      <c r="E7" s="18" t="s">
        <v>62</v>
      </c>
      <c r="F7" s="20" t="n">
        <v>350000000</v>
      </c>
      <c r="G7" s="20"/>
      <c r="H7" s="18" t="s">
        <v>63</v>
      </c>
      <c r="I7" s="18" t="s">
        <v>64</v>
      </c>
      <c r="J7" s="18" t="s">
        <v>65</v>
      </c>
    </row>
    <row r="8" customFormat="false" ht="15" hidden="false" customHeight="false" outlineLevel="0" collapsed="false">
      <c r="A8" s="21" t="n">
        <v>1</v>
      </c>
      <c r="B8" s="22" t="s">
        <v>66</v>
      </c>
      <c r="C8" s="23"/>
      <c r="D8" s="24"/>
      <c r="E8" s="25"/>
      <c r="F8" s="23"/>
      <c r="G8" s="23"/>
      <c r="H8" s="22"/>
      <c r="I8" s="22"/>
      <c r="J8" s="22"/>
    </row>
    <row r="9" customFormat="false" ht="15" hidden="false" customHeight="false" outlineLevel="0" collapsed="false">
      <c r="A9" s="21" t="n">
        <v>2</v>
      </c>
      <c r="B9" s="22" t="s">
        <v>67</v>
      </c>
      <c r="C9" s="23"/>
      <c r="D9" s="24"/>
      <c r="E9" s="25"/>
      <c r="F9" s="23"/>
      <c r="G9" s="23"/>
      <c r="H9" s="22"/>
      <c r="I9" s="22"/>
      <c r="J9" s="22"/>
    </row>
    <row r="10" customFormat="false" ht="15" hidden="false" customHeight="false" outlineLevel="0" collapsed="false">
      <c r="A10" s="21" t="n">
        <v>3</v>
      </c>
      <c r="B10" s="22" t="s">
        <v>68</v>
      </c>
      <c r="C10" s="23"/>
      <c r="D10" s="24"/>
      <c r="E10" s="25"/>
      <c r="F10" s="23"/>
      <c r="G10" s="23"/>
      <c r="H10" s="22"/>
      <c r="I10" s="22"/>
      <c r="J10" s="22"/>
    </row>
    <row r="11" customFormat="false" ht="15" hidden="false" customHeight="false" outlineLevel="0" collapsed="false">
      <c r="A11" s="21" t="n">
        <v>4</v>
      </c>
      <c r="B11" s="22" t="s">
        <v>69</v>
      </c>
      <c r="C11" s="23"/>
      <c r="D11" s="24"/>
      <c r="E11" s="25"/>
      <c r="F11" s="23"/>
      <c r="G11" s="23"/>
      <c r="H11" s="22"/>
      <c r="I11" s="22"/>
      <c r="J11" s="22"/>
    </row>
    <row r="12" customFormat="false" ht="15" hidden="false" customHeight="false" outlineLevel="0" collapsed="false">
      <c r="A12" s="21" t="n">
        <v>5</v>
      </c>
      <c r="B12" s="26" t="s">
        <v>70</v>
      </c>
      <c r="C12" s="23"/>
      <c r="D12" s="24"/>
      <c r="E12" s="25"/>
      <c r="F12" s="23"/>
      <c r="G12" s="23"/>
      <c r="H12" s="22"/>
      <c r="I12" s="22"/>
      <c r="J12" s="22"/>
    </row>
    <row r="13" customFormat="false" ht="15" hidden="false" customHeight="false" outlineLevel="0" collapsed="false">
      <c r="A13" s="21" t="n">
        <v>6</v>
      </c>
      <c r="B13" s="26" t="s">
        <v>71</v>
      </c>
      <c r="C13" s="23"/>
      <c r="D13" s="24"/>
      <c r="E13" s="25"/>
      <c r="F13" s="23"/>
      <c r="G13" s="23"/>
      <c r="H13" s="22"/>
      <c r="I13" s="22"/>
      <c r="J13" s="22"/>
    </row>
    <row r="14" customFormat="false" ht="15" hidden="false" customHeight="false" outlineLevel="0" collapsed="false">
      <c r="A14" s="21" t="n">
        <v>7</v>
      </c>
      <c r="B14" s="22" t="s">
        <v>72</v>
      </c>
      <c r="C14" s="23"/>
      <c r="D14" s="24"/>
      <c r="E14" s="25"/>
      <c r="F14" s="23"/>
      <c r="G14" s="23"/>
      <c r="H14" s="22"/>
      <c r="I14" s="22"/>
      <c r="J14" s="22"/>
    </row>
    <row r="15" customFormat="false" ht="15" hidden="false" customHeight="false" outlineLevel="0" collapsed="false">
      <c r="A15" s="21" t="n">
        <v>8</v>
      </c>
      <c r="B15" s="22" t="s">
        <v>72</v>
      </c>
      <c r="C15" s="23"/>
      <c r="D15" s="24"/>
      <c r="E15" s="25"/>
      <c r="F15" s="23"/>
      <c r="G15" s="23"/>
      <c r="H15" s="22"/>
      <c r="I15" s="22"/>
      <c r="J15" s="22"/>
    </row>
    <row r="17" customFormat="false" ht="15" hidden="false" customHeight="false" outlineLevel="0" collapsed="false">
      <c r="A17" s="27" t="s">
        <v>73</v>
      </c>
    </row>
    <row r="18" customFormat="false" ht="15" hidden="false" customHeight="false" outlineLevel="0" collapsed="false">
      <c r="A18" s="28" t="s">
        <v>74</v>
      </c>
      <c r="B18" s="28"/>
      <c r="C18" s="25"/>
      <c r="D18" s="25"/>
      <c r="E18" s="25"/>
      <c r="F18" s="29" t="s">
        <v>75</v>
      </c>
    </row>
    <row r="19" customFormat="false" ht="15" hidden="false" customHeight="false" outlineLevel="0" collapsed="false">
      <c r="A19" s="28" t="s">
        <v>76</v>
      </c>
      <c r="B19" s="28"/>
      <c r="C19" s="25"/>
      <c r="D19" s="25"/>
      <c r="E19" s="25"/>
      <c r="F19" s="29" t="s">
        <v>77</v>
      </c>
    </row>
    <row r="20" customFormat="false" ht="15" hidden="false" customHeight="false" outlineLevel="0" collapsed="false">
      <c r="A20" s="28" t="s">
        <v>78</v>
      </c>
      <c r="B20" s="28"/>
      <c r="C20" s="25"/>
      <c r="D20" s="25"/>
      <c r="E20" s="25"/>
      <c r="F20" s="29" t="s">
        <v>79</v>
      </c>
    </row>
  </sheetData>
  <mergeCells count="6">
    <mergeCell ref="A18:B18"/>
    <mergeCell ref="C18:E18"/>
    <mergeCell ref="A19:B19"/>
    <mergeCell ref="C19:E19"/>
    <mergeCell ref="A20:B20"/>
    <mergeCell ref="C20:E20"/>
  </mergeCells>
  <dataValidations count="2">
    <dataValidation allowBlank="true" errorStyle="stop" operator="between" showDropDown="false" showErrorMessage="false" showInputMessage="false" sqref="E7:E15" type="list">
      <formula1>"구매,리스,렌탈,임대인 설비,기타"</formula1>
      <formula2>0</formula2>
    </dataValidation>
    <dataValidation allowBlank="true" error="날짜 형식(YYYY-MM-DD)으로 입력해 주세요." errorStyle="stop" operator="between" showDropDown="false" showErrorMessage="true" showInputMessage="false" sqref="D8:D15" type="date">
      <formula1>DATE(2020,1,1)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26"/>
  </cols>
  <sheetData>
    <row r="1" customFormat="false" ht="21.6" hidden="false" customHeight="false" outlineLevel="0" collapsed="false">
      <c r="A1" s="11" t="s">
        <v>80</v>
      </c>
    </row>
    <row r="2" customFormat="false" ht="15" hidden="false" customHeight="false" outlineLevel="0" collapsed="false">
      <c r="A2" s="12" t="s">
        <v>81</v>
      </c>
    </row>
    <row r="3" customFormat="false" ht="15" hidden="false" customHeight="false" outlineLevel="0" collapsed="false">
      <c r="A3" s="13" t="s">
        <v>82</v>
      </c>
    </row>
    <row r="4" customFormat="false" ht="15" hidden="false" customHeight="false" outlineLevel="0" collapsed="false">
      <c r="A4" s="14" t="s">
        <v>50</v>
      </c>
    </row>
    <row r="5" customFormat="false" ht="15" hidden="false" customHeight="false" outlineLevel="0" collapsed="false">
      <c r="A5" s="30" t="s">
        <v>83</v>
      </c>
      <c r="B5" s="31"/>
      <c r="D5" s="30" t="s">
        <v>84</v>
      </c>
      <c r="E5" s="31"/>
      <c r="G5" s="29" t="s">
        <v>85</v>
      </c>
    </row>
    <row r="7" customFormat="false" ht="15" hidden="false" customHeight="false" outlineLevel="0" collapsed="false">
      <c r="A7" s="32" t="s">
        <v>86</v>
      </c>
      <c r="B7" s="32" t="s">
        <v>87</v>
      </c>
      <c r="C7" s="32"/>
      <c r="D7" s="32"/>
      <c r="E7" s="32"/>
      <c r="F7" s="32" t="s">
        <v>88</v>
      </c>
      <c r="G7" s="32"/>
      <c r="H7" s="32"/>
      <c r="I7" s="32"/>
      <c r="J7" s="32" t="s">
        <v>89</v>
      </c>
      <c r="K7" s="32"/>
      <c r="L7" s="32" t="s">
        <v>90</v>
      </c>
      <c r="M7" s="32" t="s">
        <v>19</v>
      </c>
    </row>
    <row r="8" customFormat="false" ht="36" hidden="false" customHeight="true" outlineLevel="0" collapsed="false">
      <c r="A8" s="32"/>
      <c r="B8" s="16" t="s">
        <v>91</v>
      </c>
      <c r="C8" s="16" t="s">
        <v>92</v>
      </c>
      <c r="D8" s="15" t="s">
        <v>93</v>
      </c>
      <c r="E8" s="16" t="s">
        <v>94</v>
      </c>
      <c r="F8" s="16" t="s">
        <v>91</v>
      </c>
      <c r="G8" s="16" t="s">
        <v>92</v>
      </c>
      <c r="H8" s="15" t="s">
        <v>93</v>
      </c>
      <c r="I8" s="16" t="s">
        <v>94</v>
      </c>
      <c r="J8" s="16" t="s">
        <v>95</v>
      </c>
      <c r="K8" s="16" t="s">
        <v>96</v>
      </c>
      <c r="L8" s="16" t="s">
        <v>97</v>
      </c>
      <c r="M8" s="16" t="s">
        <v>19</v>
      </c>
    </row>
    <row r="9" customFormat="false" ht="15" hidden="false" customHeight="false" outlineLevel="0" collapsed="false">
      <c r="A9" s="33" t="s">
        <v>98</v>
      </c>
      <c r="B9" s="20" t="n">
        <v>6</v>
      </c>
      <c r="C9" s="20" t="n">
        <v>4</v>
      </c>
      <c r="D9" s="34" t="n">
        <v>8</v>
      </c>
      <c r="E9" s="35" t="n">
        <f aca="false">(B9+C9)*D9</f>
        <v>80</v>
      </c>
      <c r="F9" s="20" t="n">
        <v>2</v>
      </c>
      <c r="G9" s="20" t="n">
        <v>2</v>
      </c>
      <c r="H9" s="34" t="n">
        <v>8</v>
      </c>
      <c r="I9" s="35" t="n">
        <f aca="false">(F9+G9)*H9</f>
        <v>32</v>
      </c>
      <c r="J9" s="36" t="n">
        <f aca="false">(F9+G9)-(B9+C9)</f>
        <v>-6</v>
      </c>
      <c r="K9" s="37" t="n">
        <f aca="false">IF(E9=0,"",I9/E9-1)</f>
        <v>-0.6</v>
      </c>
      <c r="L9" s="18" t="s">
        <v>99</v>
      </c>
      <c r="M9" s="33" t="s">
        <v>65</v>
      </c>
    </row>
    <row r="10" customFormat="false" ht="15" hidden="false" customHeight="false" outlineLevel="0" collapsed="false">
      <c r="A10" s="38" t="s">
        <v>100</v>
      </c>
      <c r="B10" s="23"/>
      <c r="C10" s="23"/>
      <c r="D10" s="39"/>
      <c r="E10" s="35" t="n">
        <f aca="false">(B10+C10)*D10</f>
        <v>0</v>
      </c>
      <c r="F10" s="23"/>
      <c r="G10" s="23"/>
      <c r="H10" s="39"/>
      <c r="I10" s="35" t="n">
        <f aca="false">(F10+G10)*H10</f>
        <v>0</v>
      </c>
      <c r="J10" s="36" t="n">
        <f aca="false">(F10+G10)-(B10+C10)</f>
        <v>0</v>
      </c>
      <c r="K10" s="37" t="str">
        <f aca="false">IF(E10=0,"",I10/E10-1)</f>
        <v/>
      </c>
      <c r="L10" s="25"/>
      <c r="M10" s="22"/>
    </row>
    <row r="11" customFormat="false" ht="15" hidden="false" customHeight="false" outlineLevel="0" collapsed="false">
      <c r="A11" s="38" t="s">
        <v>101</v>
      </c>
      <c r="B11" s="23"/>
      <c r="C11" s="23"/>
      <c r="D11" s="39"/>
      <c r="E11" s="35" t="n">
        <f aca="false">(B11+C11)*D11</f>
        <v>0</v>
      </c>
      <c r="F11" s="23"/>
      <c r="G11" s="23"/>
      <c r="H11" s="39"/>
      <c r="I11" s="35" t="n">
        <f aca="false">(F11+G11)*H11</f>
        <v>0</v>
      </c>
      <c r="J11" s="36" t="n">
        <f aca="false">(F11+G11)-(B11+C11)</f>
        <v>0</v>
      </c>
      <c r="K11" s="37" t="str">
        <f aca="false">IF(E11=0,"",I11/E11-1)</f>
        <v/>
      </c>
      <c r="L11" s="25"/>
      <c r="M11" s="22"/>
    </row>
    <row r="12" customFormat="false" ht="15" hidden="false" customHeight="false" outlineLevel="0" collapsed="false">
      <c r="A12" s="38" t="s">
        <v>102</v>
      </c>
      <c r="B12" s="23"/>
      <c r="C12" s="23"/>
      <c r="D12" s="39"/>
      <c r="E12" s="35" t="n">
        <f aca="false">(B12+C12)*D12</f>
        <v>0</v>
      </c>
      <c r="F12" s="23"/>
      <c r="G12" s="23"/>
      <c r="H12" s="39"/>
      <c r="I12" s="35" t="n">
        <f aca="false">(F12+G12)*H12</f>
        <v>0</v>
      </c>
      <c r="J12" s="36" t="n">
        <f aca="false">(F12+G12)-(B12+C12)</f>
        <v>0</v>
      </c>
      <c r="K12" s="37" t="str">
        <f aca="false">IF(E12=0,"",I12/E12-1)</f>
        <v/>
      </c>
      <c r="L12" s="25"/>
      <c r="M12" s="22"/>
    </row>
    <row r="13" customFormat="false" ht="15" hidden="false" customHeight="false" outlineLevel="0" collapsed="false">
      <c r="A13" s="38" t="s">
        <v>103</v>
      </c>
      <c r="B13" s="23"/>
      <c r="C13" s="23"/>
      <c r="D13" s="39"/>
      <c r="E13" s="35" t="n">
        <f aca="false">(B13+C13)*D13</f>
        <v>0</v>
      </c>
      <c r="F13" s="23"/>
      <c r="G13" s="23"/>
      <c r="H13" s="39"/>
      <c r="I13" s="35" t="n">
        <f aca="false">(F13+G13)*H13</f>
        <v>0</v>
      </c>
      <c r="J13" s="36" t="n">
        <f aca="false">(F13+G13)-(B13+C13)</f>
        <v>0</v>
      </c>
      <c r="K13" s="37" t="str">
        <f aca="false">IF(E13=0,"",I13/E13-1)</f>
        <v/>
      </c>
      <c r="L13" s="25"/>
      <c r="M13" s="22"/>
    </row>
    <row r="14" customFormat="false" ht="15" hidden="false" customHeight="false" outlineLevel="0" collapsed="false">
      <c r="A14" s="38" t="s">
        <v>104</v>
      </c>
      <c r="B14" s="23"/>
      <c r="C14" s="23"/>
      <c r="D14" s="39"/>
      <c r="E14" s="35" t="n">
        <f aca="false">(B14+C14)*D14</f>
        <v>0</v>
      </c>
      <c r="F14" s="23"/>
      <c r="G14" s="23"/>
      <c r="H14" s="39"/>
      <c r="I14" s="35" t="n">
        <f aca="false">(F14+G14)*H14</f>
        <v>0</v>
      </c>
      <c r="J14" s="36" t="n">
        <f aca="false">(F14+G14)-(B14+C14)</f>
        <v>0</v>
      </c>
      <c r="K14" s="37" t="str">
        <f aca="false">IF(E14=0,"",I14/E14-1)</f>
        <v/>
      </c>
      <c r="L14" s="25"/>
      <c r="M14" s="22"/>
    </row>
    <row r="15" customFormat="false" ht="15" hidden="false" customHeight="false" outlineLevel="0" collapsed="false">
      <c r="A15" s="38" t="s">
        <v>105</v>
      </c>
      <c r="B15" s="23"/>
      <c r="C15" s="23"/>
      <c r="D15" s="39"/>
      <c r="E15" s="35" t="n">
        <f aca="false">(B15+C15)*D15</f>
        <v>0</v>
      </c>
      <c r="F15" s="23"/>
      <c r="G15" s="23"/>
      <c r="H15" s="39"/>
      <c r="I15" s="35" t="n">
        <f aca="false">(F15+G15)*H15</f>
        <v>0</v>
      </c>
      <c r="J15" s="36" t="n">
        <f aca="false">(F15+G15)-(B15+C15)</f>
        <v>0</v>
      </c>
      <c r="K15" s="37" t="str">
        <f aca="false">IF(E15=0,"",I15/E15-1)</f>
        <v/>
      </c>
      <c r="L15" s="25"/>
      <c r="M15" s="22"/>
    </row>
    <row r="16" customFormat="false" ht="15" hidden="false" customHeight="false" outlineLevel="0" collapsed="false">
      <c r="A16" s="38" t="s">
        <v>106</v>
      </c>
      <c r="B16" s="23"/>
      <c r="C16" s="23"/>
      <c r="D16" s="39"/>
      <c r="E16" s="35" t="n">
        <f aca="false">(B16+C16)*D16</f>
        <v>0</v>
      </c>
      <c r="F16" s="23"/>
      <c r="G16" s="23"/>
      <c r="H16" s="39"/>
      <c r="I16" s="35" t="n">
        <f aca="false">(F16+G16)*H16</f>
        <v>0</v>
      </c>
      <c r="J16" s="36" t="n">
        <f aca="false">(F16+G16)-(B16+C16)</f>
        <v>0</v>
      </c>
      <c r="K16" s="37" t="str">
        <f aca="false">IF(E16=0,"",I16/E16-1)</f>
        <v/>
      </c>
      <c r="L16" s="25"/>
      <c r="M16" s="22"/>
    </row>
    <row r="17" customFormat="false" ht="15" hidden="false" customHeight="false" outlineLevel="0" collapsed="false">
      <c r="A17" s="38" t="s">
        <v>107</v>
      </c>
      <c r="B17" s="23"/>
      <c r="C17" s="23"/>
      <c r="D17" s="39"/>
      <c r="E17" s="35" t="n">
        <f aca="false">(B17+C17)*D17</f>
        <v>0</v>
      </c>
      <c r="F17" s="23"/>
      <c r="G17" s="23"/>
      <c r="H17" s="39"/>
      <c r="I17" s="35" t="n">
        <f aca="false">(F17+G17)*H17</f>
        <v>0</v>
      </c>
      <c r="J17" s="36" t="n">
        <f aca="false">(F17+G17)-(B17+C17)</f>
        <v>0</v>
      </c>
      <c r="K17" s="37" t="str">
        <f aca="false">IF(E17=0,"",I17/E17-1)</f>
        <v/>
      </c>
      <c r="L17" s="25"/>
      <c r="M17" s="22"/>
    </row>
    <row r="18" customFormat="false" ht="15" hidden="false" customHeight="false" outlineLevel="0" collapsed="false">
      <c r="A18" s="38" t="s">
        <v>72</v>
      </c>
      <c r="B18" s="23"/>
      <c r="C18" s="23"/>
      <c r="D18" s="39"/>
      <c r="E18" s="35" t="n">
        <f aca="false">(B18+C18)*D18</f>
        <v>0</v>
      </c>
      <c r="F18" s="23"/>
      <c r="G18" s="23"/>
      <c r="H18" s="39"/>
      <c r="I18" s="35" t="n">
        <f aca="false">(F18+G18)*H18</f>
        <v>0</v>
      </c>
      <c r="J18" s="36" t="n">
        <f aca="false">(F18+G18)-(B18+C18)</f>
        <v>0</v>
      </c>
      <c r="K18" s="37" t="str">
        <f aca="false">IF(E18=0,"",I18/E18-1)</f>
        <v/>
      </c>
      <c r="L18" s="25"/>
      <c r="M18" s="22"/>
    </row>
    <row r="19" customFormat="false" ht="15" hidden="false" customHeight="false" outlineLevel="0" collapsed="false">
      <c r="A19" s="40" t="s">
        <v>108</v>
      </c>
      <c r="B19" s="41" t="n">
        <f aca="false">SUM(B10:B18)</f>
        <v>0</v>
      </c>
      <c r="C19" s="41" t="n">
        <f aca="false">SUM(C10:C18)</f>
        <v>0</v>
      </c>
      <c r="D19" s="42"/>
      <c r="E19" s="35" t="n">
        <f aca="false">SUM(E10:E18)</f>
        <v>0</v>
      </c>
      <c r="F19" s="41" t="n">
        <f aca="false">SUM(F10:F18)</f>
        <v>0</v>
      </c>
      <c r="G19" s="41" t="n">
        <f aca="false">SUM(G10:G18)</f>
        <v>0</v>
      </c>
      <c r="H19" s="42"/>
      <c r="I19" s="35" t="n">
        <f aca="false">SUM(I10:I18)</f>
        <v>0</v>
      </c>
      <c r="J19" s="36" t="n">
        <f aca="false">SUM(J10:J18)</f>
        <v>0</v>
      </c>
      <c r="K19" s="37" t="str">
        <f aca="false">IF(E19=0,"",I19/E19-1)</f>
        <v/>
      </c>
      <c r="L19" s="42"/>
      <c r="M19" s="42"/>
    </row>
    <row r="21" customFormat="false" ht="15" hidden="false" customHeight="false" outlineLevel="0" collapsed="false">
      <c r="A21" s="14" t="s">
        <v>109</v>
      </c>
    </row>
    <row r="22" customFormat="false" ht="15" hidden="false" customHeight="false" outlineLevel="0" collapsed="false">
      <c r="A22" s="14" t="s">
        <v>110</v>
      </c>
    </row>
  </sheetData>
  <mergeCells count="4">
    <mergeCell ref="A7:A8"/>
    <mergeCell ref="B7:E7"/>
    <mergeCell ref="F7:I7"/>
    <mergeCell ref="J7:K7"/>
  </mergeCells>
  <dataValidations count="1">
    <dataValidation allowBlank="true" errorStyle="stop" operator="between" showDropDown="false" showErrorMessage="false" showInputMessage="false" sqref="L9:L18" type="list">
      <formula1>"감축,타 공정 전환,단기 충원 축소,잔업 축소,변동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21.6" hidden="false" customHeight="false" outlineLevel="0" collapsed="false">
      <c r="A1" s="11" t="s">
        <v>111</v>
      </c>
    </row>
    <row r="2" customFormat="false" ht="15" hidden="false" customHeight="false" outlineLevel="0" collapsed="false">
      <c r="A2" s="43" t="s">
        <v>112</v>
      </c>
    </row>
    <row r="3" customFormat="false" ht="15" hidden="false" customHeight="false" outlineLevel="0" collapsed="false">
      <c r="A3" s="13" t="s">
        <v>82</v>
      </c>
    </row>
    <row r="4" customFormat="false" ht="15" hidden="false" customHeight="false" outlineLevel="0" collapsed="false">
      <c r="A4" s="14" t="s">
        <v>50</v>
      </c>
    </row>
    <row r="6" customFormat="false" ht="36" hidden="false" customHeight="true" outlineLevel="0" collapsed="false">
      <c r="A6" s="16" t="s">
        <v>113</v>
      </c>
      <c r="B6" s="16" t="s">
        <v>114</v>
      </c>
      <c r="C6" s="16" t="s">
        <v>115</v>
      </c>
      <c r="D6" s="16" t="s">
        <v>116</v>
      </c>
      <c r="E6" s="15" t="s">
        <v>117</v>
      </c>
      <c r="F6" s="16" t="s">
        <v>118</v>
      </c>
      <c r="G6" s="16" t="s">
        <v>119</v>
      </c>
      <c r="H6" s="16" t="s">
        <v>19</v>
      </c>
    </row>
    <row r="7" customFormat="false" ht="15" hidden="false" customHeight="false" outlineLevel="0" collapsed="false">
      <c r="A7" s="18" t="s">
        <v>120</v>
      </c>
      <c r="B7" s="20" t="n">
        <v>26</v>
      </c>
      <c r="C7" s="20" t="n">
        <v>520</v>
      </c>
      <c r="D7" s="20" t="n">
        <v>780</v>
      </c>
      <c r="E7" s="34" t="n">
        <v>8</v>
      </c>
      <c r="F7" s="20" t="n">
        <v>640</v>
      </c>
      <c r="G7" s="41" t="n">
        <f aca="false">(C7+D7)*E7+F7</f>
        <v>11040</v>
      </c>
      <c r="H7" s="33" t="s">
        <v>65</v>
      </c>
    </row>
    <row r="8" customFormat="false" ht="15" hidden="false" customHeight="false" outlineLevel="0" collapsed="false">
      <c r="A8" s="21" t="s">
        <v>121</v>
      </c>
      <c r="B8" s="23"/>
      <c r="C8" s="23"/>
      <c r="D8" s="23"/>
      <c r="E8" s="39" t="n">
        <v>8</v>
      </c>
      <c r="F8" s="23"/>
      <c r="G8" s="41" t="n">
        <f aca="false">(C8+D8)*E8+F8</f>
        <v>0</v>
      </c>
      <c r="H8" s="22"/>
    </row>
    <row r="9" customFormat="false" ht="15" hidden="false" customHeight="false" outlineLevel="0" collapsed="false">
      <c r="A9" s="21" t="s">
        <v>122</v>
      </c>
      <c r="B9" s="23"/>
      <c r="C9" s="23"/>
      <c r="D9" s="23"/>
      <c r="E9" s="39" t="n">
        <v>8</v>
      </c>
      <c r="F9" s="23"/>
      <c r="G9" s="41" t="n">
        <f aca="false">(C9+D9)*E9+F9</f>
        <v>0</v>
      </c>
      <c r="H9" s="22"/>
    </row>
    <row r="10" customFormat="false" ht="15" hidden="false" customHeight="false" outlineLevel="0" collapsed="false">
      <c r="A10" s="21" t="s">
        <v>123</v>
      </c>
      <c r="B10" s="23"/>
      <c r="C10" s="23"/>
      <c r="D10" s="23"/>
      <c r="E10" s="39" t="n">
        <v>8</v>
      </c>
      <c r="F10" s="23"/>
      <c r="G10" s="41" t="n">
        <f aca="false">(C10+D10)*E10+F10</f>
        <v>0</v>
      </c>
      <c r="H10" s="22"/>
    </row>
    <row r="11" customFormat="false" ht="15" hidden="false" customHeight="false" outlineLevel="0" collapsed="false">
      <c r="A11" s="21" t="s">
        <v>124</v>
      </c>
      <c r="B11" s="23"/>
      <c r="C11" s="23"/>
      <c r="D11" s="23"/>
      <c r="E11" s="39" t="n">
        <v>8</v>
      </c>
      <c r="F11" s="23"/>
      <c r="G11" s="41" t="n">
        <f aca="false">(C11+D11)*E11+F11</f>
        <v>0</v>
      </c>
      <c r="H11" s="22"/>
    </row>
    <row r="12" customFormat="false" ht="15" hidden="false" customHeight="false" outlineLevel="0" collapsed="false">
      <c r="A12" s="21" t="s">
        <v>125</v>
      </c>
      <c r="B12" s="23"/>
      <c r="C12" s="23"/>
      <c r="D12" s="23"/>
      <c r="E12" s="39" t="n">
        <v>8</v>
      </c>
      <c r="F12" s="23"/>
      <c r="G12" s="41" t="n">
        <f aca="false">(C12+D12)*E12+F12</f>
        <v>0</v>
      </c>
      <c r="H12" s="22"/>
    </row>
    <row r="13" customFormat="false" ht="15" hidden="false" customHeight="false" outlineLevel="0" collapsed="false">
      <c r="A13" s="21" t="s">
        <v>126</v>
      </c>
      <c r="B13" s="23"/>
      <c r="C13" s="23"/>
      <c r="D13" s="23"/>
      <c r="E13" s="39" t="n">
        <v>8</v>
      </c>
      <c r="F13" s="23"/>
      <c r="G13" s="41" t="n">
        <f aca="false">(C13+D13)*E13+F13</f>
        <v>0</v>
      </c>
      <c r="H13" s="22"/>
    </row>
    <row r="14" customFormat="false" ht="15" hidden="false" customHeight="false" outlineLevel="0" collapsed="false">
      <c r="A14" s="21" t="s">
        <v>127</v>
      </c>
      <c r="B14" s="23"/>
      <c r="C14" s="23"/>
      <c r="D14" s="23"/>
      <c r="E14" s="39" t="n">
        <v>8</v>
      </c>
      <c r="F14" s="23"/>
      <c r="G14" s="41" t="n">
        <f aca="false">(C14+D14)*E14+F14</f>
        <v>0</v>
      </c>
      <c r="H14" s="22"/>
    </row>
    <row r="15" customFormat="false" ht="15" hidden="false" customHeight="false" outlineLevel="0" collapsed="false">
      <c r="A15" s="21" t="s">
        <v>128</v>
      </c>
      <c r="B15" s="23"/>
      <c r="C15" s="23"/>
      <c r="D15" s="23"/>
      <c r="E15" s="39" t="n">
        <v>8</v>
      </c>
      <c r="F15" s="23"/>
      <c r="G15" s="41" t="n">
        <f aca="false">(C15+D15)*E15+F15</f>
        <v>0</v>
      </c>
      <c r="H15" s="22"/>
    </row>
    <row r="16" customFormat="false" ht="15" hidden="false" customHeight="false" outlineLevel="0" collapsed="false">
      <c r="A16" s="21" t="s">
        <v>129</v>
      </c>
      <c r="B16" s="23"/>
      <c r="C16" s="23"/>
      <c r="D16" s="23"/>
      <c r="E16" s="39" t="n">
        <v>8</v>
      </c>
      <c r="F16" s="23"/>
      <c r="G16" s="41" t="n">
        <f aca="false">(C16+D16)*E16+F16</f>
        <v>0</v>
      </c>
      <c r="H16" s="22"/>
    </row>
    <row r="17" customFormat="false" ht="15" hidden="false" customHeight="false" outlineLevel="0" collapsed="false">
      <c r="A17" s="21" t="s">
        <v>130</v>
      </c>
      <c r="B17" s="23"/>
      <c r="C17" s="23"/>
      <c r="D17" s="23"/>
      <c r="E17" s="39" t="n">
        <v>8</v>
      </c>
      <c r="F17" s="23"/>
      <c r="G17" s="41" t="n">
        <f aca="false">(C17+D17)*E17+F17</f>
        <v>0</v>
      </c>
      <c r="H17" s="22"/>
    </row>
    <row r="18" customFormat="false" ht="15" hidden="false" customHeight="false" outlineLevel="0" collapsed="false">
      <c r="A18" s="21" t="s">
        <v>131</v>
      </c>
      <c r="B18" s="23"/>
      <c r="C18" s="23"/>
      <c r="D18" s="23"/>
      <c r="E18" s="39" t="n">
        <v>8</v>
      </c>
      <c r="F18" s="23"/>
      <c r="G18" s="41" t="n">
        <f aca="false">(C18+D18)*E18+F18</f>
        <v>0</v>
      </c>
      <c r="H18" s="22"/>
    </row>
    <row r="19" customFormat="false" ht="15" hidden="false" customHeight="false" outlineLevel="0" collapsed="false">
      <c r="A19" s="21" t="s">
        <v>132</v>
      </c>
      <c r="B19" s="23"/>
      <c r="C19" s="23"/>
      <c r="D19" s="23"/>
      <c r="E19" s="39" t="n">
        <v>8</v>
      </c>
      <c r="F19" s="23"/>
      <c r="G19" s="41" t="n">
        <f aca="false">(C19+D19)*E19+F19</f>
        <v>0</v>
      </c>
      <c r="H19" s="22"/>
    </row>
    <row r="20" customFormat="false" ht="15" hidden="false" customHeight="false" outlineLevel="0" collapsed="false">
      <c r="A20" s="21" t="s">
        <v>133</v>
      </c>
      <c r="B20" s="23"/>
      <c r="C20" s="23"/>
      <c r="D20" s="23"/>
      <c r="E20" s="39" t="n">
        <v>8</v>
      </c>
      <c r="F20" s="23"/>
      <c r="G20" s="41" t="n">
        <f aca="false">(C20+D20)*E20+F20</f>
        <v>0</v>
      </c>
      <c r="H20" s="22"/>
    </row>
    <row r="21" customFormat="false" ht="15" hidden="false" customHeight="false" outlineLevel="0" collapsed="false">
      <c r="A21" s="21" t="s">
        <v>134</v>
      </c>
      <c r="B21" s="23"/>
      <c r="C21" s="23"/>
      <c r="D21" s="23"/>
      <c r="E21" s="39" t="n">
        <v>8</v>
      </c>
      <c r="F21" s="23"/>
      <c r="G21" s="41" t="n">
        <f aca="false">(C21+D21)*E21+F21</f>
        <v>0</v>
      </c>
      <c r="H21" s="22"/>
    </row>
    <row r="22" customFormat="false" ht="15" hidden="false" customHeight="false" outlineLevel="0" collapsed="false">
      <c r="A22" s="21" t="s">
        <v>135</v>
      </c>
      <c r="B22" s="23"/>
      <c r="C22" s="23"/>
      <c r="D22" s="23"/>
      <c r="E22" s="39" t="n">
        <v>8</v>
      </c>
      <c r="F22" s="23"/>
      <c r="G22" s="41" t="n">
        <f aca="false">(C22+D22)*E22+F22</f>
        <v>0</v>
      </c>
      <c r="H22" s="22"/>
    </row>
    <row r="23" customFormat="false" ht="15" hidden="false" customHeight="false" outlineLevel="0" collapsed="false">
      <c r="A23" s="21" t="s">
        <v>136</v>
      </c>
      <c r="B23" s="23"/>
      <c r="C23" s="23"/>
      <c r="D23" s="23"/>
      <c r="E23" s="39" t="n">
        <v>8</v>
      </c>
      <c r="F23" s="23"/>
      <c r="G23" s="41" t="n">
        <f aca="false">(C23+D23)*E23+F23</f>
        <v>0</v>
      </c>
      <c r="H23" s="22"/>
    </row>
    <row r="24" customFormat="false" ht="15" hidden="false" customHeight="false" outlineLevel="0" collapsed="false">
      <c r="A24" s="21" t="s">
        <v>137</v>
      </c>
      <c r="B24" s="23"/>
      <c r="C24" s="23"/>
      <c r="D24" s="23"/>
      <c r="E24" s="39" t="n">
        <v>8</v>
      </c>
      <c r="F24" s="23"/>
      <c r="G24" s="41" t="n">
        <f aca="false">(C24+D24)*E24+F24</f>
        <v>0</v>
      </c>
      <c r="H24" s="22"/>
    </row>
    <row r="25" customFormat="false" ht="15" hidden="false" customHeight="false" outlineLevel="0" collapsed="false">
      <c r="A25" s="40" t="s">
        <v>108</v>
      </c>
      <c r="B25" s="41" t="n">
        <f aca="false">SUM(B8:B24)</f>
        <v>0</v>
      </c>
      <c r="C25" s="41" t="n">
        <f aca="false">SUM(C8:C24)</f>
        <v>0</v>
      </c>
      <c r="D25" s="41" t="n">
        <f aca="false">SUM(D8:D24)</f>
        <v>0</v>
      </c>
      <c r="E25" s="42"/>
      <c r="F25" s="41" t="n">
        <f aca="false">SUM(F8:F24)</f>
        <v>0</v>
      </c>
      <c r="G25" s="41" t="n">
        <f aca="false">SUM(G8:G24)</f>
        <v>0</v>
      </c>
      <c r="H25" s="42"/>
    </row>
    <row r="27" customFormat="false" ht="15" hidden="false" customHeight="false" outlineLevel="0" collapsed="false">
      <c r="A27" s="1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">
        <v>139</v>
      </c>
    </row>
    <row r="2" customFormat="false" ht="15" hidden="false" customHeight="false" outlineLevel="0" collapsed="false">
      <c r="A2" s="12" t="s">
        <v>140</v>
      </c>
    </row>
    <row r="3" customFormat="false" ht="15" hidden="false" customHeight="false" outlineLevel="0" collapsed="false">
      <c r="A3" s="13" t="s">
        <v>141</v>
      </c>
    </row>
    <row r="4" customFormat="false" ht="15" hidden="false" customHeight="false" outlineLevel="0" collapsed="false">
      <c r="A4" s="14" t="s">
        <v>50</v>
      </c>
    </row>
    <row r="6" customFormat="false" ht="36" hidden="false" customHeight="true" outlineLevel="0" collapsed="false">
      <c r="A6" s="16" t="s">
        <v>142</v>
      </c>
      <c r="B6" s="16" t="s">
        <v>7</v>
      </c>
      <c r="C6" s="15" t="s">
        <v>143</v>
      </c>
      <c r="D6" s="15" t="s">
        <v>144</v>
      </c>
      <c r="E6" s="15" t="s">
        <v>145</v>
      </c>
      <c r="F6" s="16" t="s">
        <v>146</v>
      </c>
    </row>
    <row r="7" customFormat="false" ht="29.85" hidden="false" customHeight="false" outlineLevel="0" collapsed="false">
      <c r="A7" s="33" t="s">
        <v>147</v>
      </c>
      <c r="B7" s="18" t="s">
        <v>148</v>
      </c>
      <c r="C7" s="20" t="n">
        <v>3600000</v>
      </c>
      <c r="D7" s="20" t="n">
        <v>3750000</v>
      </c>
      <c r="E7" s="20" t="n">
        <v>3900000</v>
      </c>
      <c r="F7" s="33" t="s">
        <v>149</v>
      </c>
    </row>
    <row r="8" customFormat="false" ht="15" hidden="false" customHeight="false" outlineLevel="0" collapsed="false">
      <c r="A8" s="38" t="s">
        <v>150</v>
      </c>
      <c r="B8" s="44" t="s">
        <v>151</v>
      </c>
      <c r="C8" s="23"/>
      <c r="D8" s="23"/>
      <c r="E8" s="23"/>
      <c r="F8" s="22" t="s">
        <v>152</v>
      </c>
    </row>
    <row r="9" customFormat="false" ht="15" hidden="false" customHeight="false" outlineLevel="0" collapsed="false">
      <c r="A9" s="38" t="s">
        <v>153</v>
      </c>
      <c r="B9" s="44" t="s">
        <v>154</v>
      </c>
      <c r="C9" s="23" t="n">
        <v>209</v>
      </c>
      <c r="D9" s="23" t="n">
        <v>209</v>
      </c>
      <c r="E9" s="23" t="n">
        <v>209</v>
      </c>
      <c r="F9" s="22" t="s">
        <v>155</v>
      </c>
    </row>
    <row r="10" customFormat="false" ht="15" hidden="false" customHeight="false" outlineLevel="0" collapsed="false">
      <c r="A10" s="38" t="s">
        <v>156</v>
      </c>
      <c r="B10" s="44" t="s">
        <v>157</v>
      </c>
      <c r="C10" s="41" t="n">
        <f aca="false">IF(C9=0,"",C8/C9)</f>
        <v>0</v>
      </c>
      <c r="D10" s="41" t="n">
        <f aca="false">IF(D9=0,"",D8/D9)</f>
        <v>0</v>
      </c>
      <c r="E10" s="41" t="n">
        <f aca="false">IF(E9=0,"",E8/E9)</f>
        <v>0</v>
      </c>
      <c r="F10" s="22" t="s">
        <v>158</v>
      </c>
    </row>
    <row r="11" customFormat="false" ht="15" hidden="false" customHeight="false" outlineLevel="0" collapsed="false">
      <c r="A11" s="38" t="s">
        <v>159</v>
      </c>
      <c r="B11" s="44" t="s">
        <v>157</v>
      </c>
      <c r="C11" s="23"/>
      <c r="D11" s="23"/>
      <c r="E11" s="23"/>
      <c r="F11" s="22" t="s">
        <v>160</v>
      </c>
    </row>
    <row r="12" customFormat="false" ht="15" hidden="false" customHeight="false" outlineLevel="0" collapsed="false">
      <c r="A12" s="38" t="s">
        <v>161</v>
      </c>
      <c r="B12" s="44" t="s">
        <v>157</v>
      </c>
      <c r="C12" s="23"/>
      <c r="D12" s="23"/>
      <c r="E12" s="23"/>
      <c r="F12" s="22" t="s">
        <v>160</v>
      </c>
    </row>
    <row r="13" customFormat="false" ht="15" hidden="false" customHeight="false" outlineLevel="0" collapsed="false">
      <c r="A13" s="38" t="s">
        <v>162</v>
      </c>
      <c r="B13" s="21" t="s">
        <v>163</v>
      </c>
      <c r="C13" s="45"/>
      <c r="D13" s="45"/>
      <c r="E13" s="45"/>
      <c r="F13" s="22" t="s">
        <v>164</v>
      </c>
    </row>
    <row r="14" customFormat="false" ht="15" hidden="false" customHeight="false" outlineLevel="0" collapsed="false">
      <c r="A14" s="38" t="s">
        <v>165</v>
      </c>
      <c r="B14" s="21" t="s">
        <v>163</v>
      </c>
      <c r="C14" s="45"/>
      <c r="D14" s="45"/>
      <c r="E14" s="45"/>
      <c r="F14" s="2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1" min="10" style="0" width="16"/>
    <col collapsed="false" customWidth="true" hidden="false" outlineLevel="0" max="12" min="12" style="0" width="26"/>
  </cols>
  <sheetData>
    <row r="1" customFormat="false" ht="21.6" hidden="false" customHeight="false" outlineLevel="0" collapsed="false">
      <c r="A1" s="11" t="s">
        <v>167</v>
      </c>
    </row>
    <row r="2" customFormat="false" ht="15" hidden="false" customHeight="false" outlineLevel="0" collapsed="false">
      <c r="A2" s="12" t="s">
        <v>168</v>
      </c>
    </row>
    <row r="3" customFormat="false" ht="15" hidden="false" customHeight="false" outlineLevel="0" collapsed="false">
      <c r="A3" s="13" t="s">
        <v>169</v>
      </c>
    </row>
    <row r="4" customFormat="false" ht="15" hidden="false" customHeight="false" outlineLevel="0" collapsed="false">
      <c r="A4" s="14" t="s">
        <v>50</v>
      </c>
    </row>
    <row r="6" customFormat="false" ht="36" hidden="false" customHeight="true" outlineLevel="0" collapsed="false">
      <c r="A6" s="16" t="s">
        <v>113</v>
      </c>
      <c r="B6" s="16" t="s">
        <v>170</v>
      </c>
      <c r="C6" s="16" t="s">
        <v>171</v>
      </c>
      <c r="D6" s="16" t="s">
        <v>172</v>
      </c>
      <c r="E6" s="16" t="s">
        <v>173</v>
      </c>
      <c r="F6" s="16" t="s">
        <v>174</v>
      </c>
      <c r="G6" s="16" t="s">
        <v>175</v>
      </c>
      <c r="H6" s="16" t="s">
        <v>176</v>
      </c>
      <c r="I6" s="16" t="s">
        <v>177</v>
      </c>
      <c r="J6" s="16" t="s">
        <v>178</v>
      </c>
      <c r="K6" s="16" t="s">
        <v>179</v>
      </c>
      <c r="L6" s="16" t="s">
        <v>19</v>
      </c>
    </row>
    <row r="7" customFormat="false" ht="15" hidden="false" customHeight="false" outlineLevel="0" collapsed="false">
      <c r="A7" s="18" t="s">
        <v>120</v>
      </c>
      <c r="B7" s="20" t="n">
        <v>42000000</v>
      </c>
      <c r="C7" s="20" t="n">
        <v>95000000</v>
      </c>
      <c r="D7" s="20" t="n">
        <v>18000000</v>
      </c>
      <c r="E7" s="20" t="n">
        <v>6000000</v>
      </c>
      <c r="F7" s="20" t="n">
        <v>1500000</v>
      </c>
      <c r="G7" s="20" t="n">
        <v>120000000</v>
      </c>
      <c r="H7" s="20" t="n">
        <v>9000000</v>
      </c>
      <c r="I7" s="20" t="n">
        <v>3000000</v>
      </c>
      <c r="J7" s="41" t="n">
        <f aca="false">SUM(B7:I7)</f>
        <v>294500000</v>
      </c>
      <c r="K7" s="20"/>
      <c r="L7" s="33" t="s">
        <v>65</v>
      </c>
    </row>
    <row r="8" customFormat="false" ht="15" hidden="false" customHeight="false" outlineLevel="0" collapsed="false">
      <c r="A8" s="21" t="s">
        <v>121</v>
      </c>
      <c r="B8" s="23"/>
      <c r="C8" s="23"/>
      <c r="D8" s="23"/>
      <c r="E8" s="23"/>
      <c r="F8" s="23"/>
      <c r="G8" s="23"/>
      <c r="H8" s="23"/>
      <c r="I8" s="23"/>
      <c r="J8" s="41" t="n">
        <f aca="false">SUM(B8:I8)</f>
        <v>0</v>
      </c>
      <c r="K8" s="23"/>
      <c r="L8" s="22"/>
    </row>
    <row r="9" customFormat="false" ht="15" hidden="false" customHeight="false" outlineLevel="0" collapsed="false">
      <c r="A9" s="21" t="s">
        <v>122</v>
      </c>
      <c r="B9" s="23"/>
      <c r="C9" s="23"/>
      <c r="D9" s="23"/>
      <c r="E9" s="23"/>
      <c r="F9" s="23"/>
      <c r="G9" s="23"/>
      <c r="H9" s="23"/>
      <c r="I9" s="23"/>
      <c r="J9" s="41" t="n">
        <f aca="false">SUM(B9:I9)</f>
        <v>0</v>
      </c>
      <c r="K9" s="23"/>
      <c r="L9" s="22"/>
    </row>
    <row r="10" customFormat="false" ht="15" hidden="false" customHeight="false" outlineLevel="0" collapsed="false">
      <c r="A10" s="21" t="s">
        <v>123</v>
      </c>
      <c r="B10" s="23"/>
      <c r="C10" s="23"/>
      <c r="D10" s="23"/>
      <c r="E10" s="23"/>
      <c r="F10" s="23"/>
      <c r="G10" s="23"/>
      <c r="H10" s="23"/>
      <c r="I10" s="23"/>
      <c r="J10" s="41" t="n">
        <f aca="false">SUM(B10:I10)</f>
        <v>0</v>
      </c>
      <c r="K10" s="23"/>
      <c r="L10" s="22"/>
    </row>
    <row r="11" customFormat="false" ht="15" hidden="false" customHeight="false" outlineLevel="0" collapsed="false">
      <c r="A11" s="21" t="s">
        <v>124</v>
      </c>
      <c r="B11" s="23"/>
      <c r="C11" s="23"/>
      <c r="D11" s="23"/>
      <c r="E11" s="23"/>
      <c r="F11" s="23"/>
      <c r="G11" s="23"/>
      <c r="H11" s="23"/>
      <c r="I11" s="23"/>
      <c r="J11" s="41" t="n">
        <f aca="false">SUM(B11:I11)</f>
        <v>0</v>
      </c>
      <c r="K11" s="23"/>
      <c r="L11" s="22"/>
    </row>
    <row r="12" customFormat="false" ht="15" hidden="false" customHeight="false" outlineLevel="0" collapsed="false">
      <c r="A12" s="21" t="s">
        <v>125</v>
      </c>
      <c r="B12" s="23"/>
      <c r="C12" s="23"/>
      <c r="D12" s="23"/>
      <c r="E12" s="23"/>
      <c r="F12" s="23"/>
      <c r="G12" s="23"/>
      <c r="H12" s="23"/>
      <c r="I12" s="23"/>
      <c r="J12" s="41" t="n">
        <f aca="false">SUM(B12:I12)</f>
        <v>0</v>
      </c>
      <c r="K12" s="23"/>
      <c r="L12" s="22"/>
    </row>
    <row r="13" customFormat="false" ht="15" hidden="false" customHeight="false" outlineLevel="0" collapsed="false">
      <c r="A13" s="21" t="s">
        <v>126</v>
      </c>
      <c r="B13" s="23"/>
      <c r="C13" s="23"/>
      <c r="D13" s="23"/>
      <c r="E13" s="23"/>
      <c r="F13" s="23"/>
      <c r="G13" s="23"/>
      <c r="H13" s="23"/>
      <c r="I13" s="23"/>
      <c r="J13" s="41" t="n">
        <f aca="false">SUM(B13:I13)</f>
        <v>0</v>
      </c>
      <c r="K13" s="23"/>
      <c r="L13" s="22"/>
    </row>
    <row r="14" customFormat="false" ht="15" hidden="false" customHeight="false" outlineLevel="0" collapsed="false">
      <c r="A14" s="21" t="s">
        <v>127</v>
      </c>
      <c r="B14" s="23"/>
      <c r="C14" s="23"/>
      <c r="D14" s="23"/>
      <c r="E14" s="23"/>
      <c r="F14" s="23"/>
      <c r="G14" s="23"/>
      <c r="H14" s="23"/>
      <c r="I14" s="23"/>
      <c r="J14" s="41" t="n">
        <f aca="false">SUM(B14:I14)</f>
        <v>0</v>
      </c>
      <c r="K14" s="23"/>
      <c r="L14" s="22"/>
    </row>
    <row r="15" customFormat="false" ht="15" hidden="false" customHeight="false" outlineLevel="0" collapsed="false">
      <c r="A15" s="21" t="s">
        <v>128</v>
      </c>
      <c r="B15" s="23"/>
      <c r="C15" s="23"/>
      <c r="D15" s="23"/>
      <c r="E15" s="23"/>
      <c r="F15" s="23"/>
      <c r="G15" s="23"/>
      <c r="H15" s="23"/>
      <c r="I15" s="23"/>
      <c r="J15" s="41" t="n">
        <f aca="false">SUM(B15:I15)</f>
        <v>0</v>
      </c>
      <c r="K15" s="23"/>
      <c r="L15" s="22"/>
    </row>
    <row r="16" customFormat="false" ht="15" hidden="false" customHeight="false" outlineLevel="0" collapsed="false">
      <c r="A16" s="21" t="s">
        <v>129</v>
      </c>
      <c r="B16" s="23"/>
      <c r="C16" s="23"/>
      <c r="D16" s="23"/>
      <c r="E16" s="23"/>
      <c r="F16" s="23"/>
      <c r="G16" s="23"/>
      <c r="H16" s="23"/>
      <c r="I16" s="23"/>
      <c r="J16" s="41" t="n">
        <f aca="false">SUM(B16:I16)</f>
        <v>0</v>
      </c>
      <c r="K16" s="23"/>
      <c r="L16" s="22"/>
    </row>
    <row r="17" customFormat="false" ht="15" hidden="false" customHeight="false" outlineLevel="0" collapsed="false">
      <c r="A17" s="21" t="s">
        <v>130</v>
      </c>
      <c r="B17" s="23"/>
      <c r="C17" s="23"/>
      <c r="D17" s="23"/>
      <c r="E17" s="23"/>
      <c r="F17" s="23"/>
      <c r="G17" s="23"/>
      <c r="H17" s="23"/>
      <c r="I17" s="23"/>
      <c r="J17" s="41" t="n">
        <f aca="false">SUM(B17:I17)</f>
        <v>0</v>
      </c>
      <c r="K17" s="23"/>
      <c r="L17" s="22"/>
    </row>
    <row r="18" customFormat="false" ht="15" hidden="false" customHeight="false" outlineLevel="0" collapsed="false">
      <c r="A18" s="21" t="s">
        <v>131</v>
      </c>
      <c r="B18" s="23"/>
      <c r="C18" s="23"/>
      <c r="D18" s="23"/>
      <c r="E18" s="23"/>
      <c r="F18" s="23"/>
      <c r="G18" s="23"/>
      <c r="H18" s="23"/>
      <c r="I18" s="23"/>
      <c r="J18" s="41" t="n">
        <f aca="false">SUM(B18:I18)</f>
        <v>0</v>
      </c>
      <c r="K18" s="23"/>
      <c r="L18" s="22"/>
    </row>
    <row r="19" customFormat="false" ht="15" hidden="false" customHeight="false" outlineLevel="0" collapsed="false">
      <c r="A19" s="21" t="s">
        <v>132</v>
      </c>
      <c r="B19" s="23"/>
      <c r="C19" s="23"/>
      <c r="D19" s="23"/>
      <c r="E19" s="23"/>
      <c r="F19" s="23"/>
      <c r="G19" s="23"/>
      <c r="H19" s="23"/>
      <c r="I19" s="23"/>
      <c r="J19" s="41" t="n">
        <f aca="false">SUM(B19:I19)</f>
        <v>0</v>
      </c>
      <c r="K19" s="23"/>
      <c r="L19" s="22"/>
    </row>
    <row r="20" customFormat="false" ht="15" hidden="false" customHeight="false" outlineLevel="0" collapsed="false">
      <c r="A20" s="21" t="s">
        <v>133</v>
      </c>
      <c r="B20" s="23"/>
      <c r="C20" s="23"/>
      <c r="D20" s="23"/>
      <c r="E20" s="23"/>
      <c r="F20" s="23"/>
      <c r="G20" s="23"/>
      <c r="H20" s="23"/>
      <c r="I20" s="23"/>
      <c r="J20" s="41" t="n">
        <f aca="false">SUM(B20:I20)</f>
        <v>0</v>
      </c>
      <c r="K20" s="23"/>
      <c r="L20" s="22"/>
    </row>
    <row r="21" customFormat="false" ht="15" hidden="false" customHeight="false" outlineLevel="0" collapsed="false">
      <c r="A21" s="21" t="s">
        <v>134</v>
      </c>
      <c r="B21" s="23"/>
      <c r="C21" s="23"/>
      <c r="D21" s="23"/>
      <c r="E21" s="23"/>
      <c r="F21" s="23"/>
      <c r="G21" s="23"/>
      <c r="H21" s="23"/>
      <c r="I21" s="23"/>
      <c r="J21" s="41" t="n">
        <f aca="false">SUM(B21:I21)</f>
        <v>0</v>
      </c>
      <c r="K21" s="23"/>
      <c r="L21" s="22"/>
    </row>
    <row r="22" customFormat="false" ht="15" hidden="false" customHeight="false" outlineLevel="0" collapsed="false">
      <c r="A22" s="21" t="s">
        <v>135</v>
      </c>
      <c r="B22" s="23"/>
      <c r="C22" s="23"/>
      <c r="D22" s="23"/>
      <c r="E22" s="23"/>
      <c r="F22" s="23"/>
      <c r="G22" s="23"/>
      <c r="H22" s="23"/>
      <c r="I22" s="23"/>
      <c r="J22" s="41" t="n">
        <f aca="false">SUM(B22:I22)</f>
        <v>0</v>
      </c>
      <c r="K22" s="23"/>
      <c r="L22" s="22"/>
    </row>
    <row r="23" customFormat="false" ht="15" hidden="false" customHeight="false" outlineLevel="0" collapsed="false">
      <c r="A23" s="21" t="s">
        <v>136</v>
      </c>
      <c r="B23" s="23"/>
      <c r="C23" s="23"/>
      <c r="D23" s="23"/>
      <c r="E23" s="23"/>
      <c r="F23" s="23"/>
      <c r="G23" s="23"/>
      <c r="H23" s="23"/>
      <c r="I23" s="23"/>
      <c r="J23" s="41" t="n">
        <f aca="false">SUM(B23:I23)</f>
        <v>0</v>
      </c>
      <c r="K23" s="23"/>
      <c r="L23" s="22"/>
    </row>
    <row r="24" customFormat="false" ht="15" hidden="false" customHeight="false" outlineLevel="0" collapsed="false">
      <c r="A24" s="21" t="s">
        <v>137</v>
      </c>
      <c r="B24" s="23"/>
      <c r="C24" s="23"/>
      <c r="D24" s="23"/>
      <c r="E24" s="23"/>
      <c r="F24" s="23"/>
      <c r="G24" s="23"/>
      <c r="H24" s="23"/>
      <c r="I24" s="23"/>
      <c r="J24" s="41" t="n">
        <f aca="false">SUM(B24:I24)</f>
        <v>0</v>
      </c>
      <c r="K24" s="23"/>
      <c r="L24" s="22"/>
    </row>
    <row r="25" customFormat="false" ht="15" hidden="false" customHeight="false" outlineLevel="0" collapsed="false">
      <c r="A25" s="21" t="s">
        <v>180</v>
      </c>
      <c r="B25" s="23"/>
      <c r="C25" s="23"/>
      <c r="D25" s="23"/>
      <c r="E25" s="23"/>
      <c r="F25" s="23"/>
      <c r="G25" s="23"/>
      <c r="H25" s="23"/>
      <c r="I25" s="23"/>
      <c r="J25" s="41" t="n">
        <f aca="false">SUM(B25:I25)</f>
        <v>0</v>
      </c>
      <c r="K25" s="23"/>
      <c r="L25" s="22"/>
    </row>
    <row r="26" customFormat="false" ht="15" hidden="false" customHeight="false" outlineLevel="0" collapsed="false">
      <c r="A26" s="21" t="s">
        <v>181</v>
      </c>
      <c r="B26" s="23"/>
      <c r="C26" s="23"/>
      <c r="D26" s="23"/>
      <c r="E26" s="23"/>
      <c r="F26" s="23"/>
      <c r="G26" s="23"/>
      <c r="H26" s="23"/>
      <c r="I26" s="23"/>
      <c r="J26" s="41" t="n">
        <f aca="false">SUM(B26:I26)</f>
        <v>0</v>
      </c>
      <c r="K26" s="23"/>
      <c r="L26" s="22"/>
    </row>
    <row r="27" customFormat="false" ht="15" hidden="false" customHeight="false" outlineLevel="0" collapsed="false">
      <c r="A27" s="21" t="s">
        <v>182</v>
      </c>
      <c r="B27" s="23"/>
      <c r="C27" s="23"/>
      <c r="D27" s="23"/>
      <c r="E27" s="23"/>
      <c r="F27" s="23"/>
      <c r="G27" s="23"/>
      <c r="H27" s="23"/>
      <c r="I27" s="23"/>
      <c r="J27" s="41" t="n">
        <f aca="false">SUM(B27:I27)</f>
        <v>0</v>
      </c>
      <c r="K27" s="23"/>
      <c r="L27" s="22"/>
    </row>
    <row r="28" customFormat="false" ht="15" hidden="false" customHeight="false" outlineLevel="0" collapsed="false">
      <c r="A28" s="21" t="s">
        <v>183</v>
      </c>
      <c r="B28" s="23"/>
      <c r="C28" s="23"/>
      <c r="D28" s="23"/>
      <c r="E28" s="23"/>
      <c r="F28" s="23"/>
      <c r="G28" s="23"/>
      <c r="H28" s="23"/>
      <c r="I28" s="23"/>
      <c r="J28" s="41" t="n">
        <f aca="false">SUM(B28:I28)</f>
        <v>0</v>
      </c>
      <c r="K28" s="23"/>
      <c r="L28" s="22"/>
    </row>
    <row r="29" customFormat="false" ht="15" hidden="false" customHeight="false" outlineLevel="0" collapsed="false">
      <c r="A29" s="21" t="s">
        <v>184</v>
      </c>
      <c r="B29" s="23"/>
      <c r="C29" s="23"/>
      <c r="D29" s="23"/>
      <c r="E29" s="23"/>
      <c r="F29" s="23"/>
      <c r="G29" s="23"/>
      <c r="H29" s="23"/>
      <c r="I29" s="23"/>
      <c r="J29" s="41" t="n">
        <f aca="false">SUM(B29:I29)</f>
        <v>0</v>
      </c>
      <c r="K29" s="23"/>
      <c r="L29" s="22"/>
    </row>
    <row r="30" customFormat="false" ht="15" hidden="false" customHeight="false" outlineLevel="0" collapsed="false">
      <c r="A30" s="21" t="s">
        <v>185</v>
      </c>
      <c r="B30" s="23"/>
      <c r="C30" s="23"/>
      <c r="D30" s="23"/>
      <c r="E30" s="23"/>
      <c r="F30" s="23"/>
      <c r="G30" s="23"/>
      <c r="H30" s="23"/>
      <c r="I30" s="23"/>
      <c r="J30" s="41" t="n">
        <f aca="false">SUM(B30:I30)</f>
        <v>0</v>
      </c>
      <c r="K30" s="23"/>
      <c r="L30" s="22"/>
    </row>
    <row r="31" customFormat="false" ht="15" hidden="false" customHeight="false" outlineLevel="0" collapsed="false">
      <c r="A31" s="21" t="s">
        <v>186</v>
      </c>
      <c r="B31" s="23"/>
      <c r="C31" s="23"/>
      <c r="D31" s="23"/>
      <c r="E31" s="23"/>
      <c r="F31" s="23"/>
      <c r="G31" s="23"/>
      <c r="H31" s="23"/>
      <c r="I31" s="23"/>
      <c r="J31" s="41" t="n">
        <f aca="false">SUM(B31:I31)</f>
        <v>0</v>
      </c>
      <c r="K31" s="23"/>
      <c r="L31" s="22"/>
    </row>
    <row r="32" customFormat="false" ht="15" hidden="false" customHeight="false" outlineLevel="0" collapsed="false">
      <c r="A32" s="21" t="s">
        <v>187</v>
      </c>
      <c r="B32" s="23"/>
      <c r="C32" s="23"/>
      <c r="D32" s="23"/>
      <c r="E32" s="23"/>
      <c r="F32" s="23"/>
      <c r="G32" s="23"/>
      <c r="H32" s="23"/>
      <c r="I32" s="23"/>
      <c r="J32" s="41" t="n">
        <f aca="false">SUM(B32:I32)</f>
        <v>0</v>
      </c>
      <c r="K32" s="23"/>
      <c r="L32" s="22"/>
    </row>
    <row r="33" customFormat="false" ht="15" hidden="false" customHeight="false" outlineLevel="0" collapsed="false">
      <c r="A33" s="21" t="s">
        <v>188</v>
      </c>
      <c r="B33" s="23"/>
      <c r="C33" s="23"/>
      <c r="D33" s="23"/>
      <c r="E33" s="23"/>
      <c r="F33" s="23"/>
      <c r="G33" s="23"/>
      <c r="H33" s="23"/>
      <c r="I33" s="23"/>
      <c r="J33" s="41" t="n">
        <f aca="false">SUM(B33:I33)</f>
        <v>0</v>
      </c>
      <c r="K33" s="23"/>
      <c r="L33" s="22"/>
    </row>
    <row r="34" customFormat="false" ht="15" hidden="false" customHeight="false" outlineLevel="0" collapsed="false">
      <c r="A34" s="21" t="s">
        <v>189</v>
      </c>
      <c r="B34" s="23"/>
      <c r="C34" s="23"/>
      <c r="D34" s="23"/>
      <c r="E34" s="23"/>
      <c r="F34" s="23"/>
      <c r="G34" s="23"/>
      <c r="H34" s="23"/>
      <c r="I34" s="23"/>
      <c r="J34" s="41" t="n">
        <f aca="false">SUM(B34:I34)</f>
        <v>0</v>
      </c>
      <c r="K34" s="23"/>
      <c r="L34" s="22"/>
    </row>
    <row r="35" customFormat="false" ht="15" hidden="false" customHeight="false" outlineLevel="0" collapsed="false">
      <c r="A35" s="21" t="s">
        <v>190</v>
      </c>
      <c r="B35" s="23"/>
      <c r="C35" s="23"/>
      <c r="D35" s="23"/>
      <c r="E35" s="23"/>
      <c r="F35" s="23"/>
      <c r="G35" s="23"/>
      <c r="H35" s="23"/>
      <c r="I35" s="23"/>
      <c r="J35" s="41" t="n">
        <f aca="false">SUM(B35:I35)</f>
        <v>0</v>
      </c>
      <c r="K35" s="23"/>
      <c r="L35" s="22"/>
    </row>
    <row r="36" customFormat="false" ht="15" hidden="false" customHeight="false" outlineLevel="0" collapsed="false">
      <c r="A36" s="21" t="s">
        <v>191</v>
      </c>
      <c r="B36" s="23"/>
      <c r="C36" s="23"/>
      <c r="D36" s="23"/>
      <c r="E36" s="23"/>
      <c r="F36" s="23"/>
      <c r="G36" s="23"/>
      <c r="H36" s="23"/>
      <c r="I36" s="23"/>
      <c r="J36" s="41" t="n">
        <f aca="false">SUM(B36:I36)</f>
        <v>0</v>
      </c>
      <c r="K36" s="23"/>
      <c r="L36" s="22"/>
    </row>
    <row r="37" customFormat="false" ht="15" hidden="false" customHeight="false" outlineLevel="0" collapsed="false">
      <c r="A37" s="21" t="s">
        <v>192</v>
      </c>
      <c r="B37" s="23"/>
      <c r="C37" s="23"/>
      <c r="D37" s="23"/>
      <c r="E37" s="23"/>
      <c r="F37" s="23"/>
      <c r="G37" s="23"/>
      <c r="H37" s="23"/>
      <c r="I37" s="23"/>
      <c r="J37" s="41" t="n">
        <f aca="false">SUM(B37:I37)</f>
        <v>0</v>
      </c>
      <c r="K37" s="23"/>
      <c r="L37" s="22"/>
    </row>
    <row r="38" customFormat="false" ht="15" hidden="false" customHeight="false" outlineLevel="0" collapsed="false">
      <c r="A38" s="21" t="s">
        <v>193</v>
      </c>
      <c r="B38" s="23"/>
      <c r="C38" s="23"/>
      <c r="D38" s="23"/>
      <c r="E38" s="23"/>
      <c r="F38" s="23"/>
      <c r="G38" s="23"/>
      <c r="H38" s="23"/>
      <c r="I38" s="23"/>
      <c r="J38" s="41" t="n">
        <f aca="false">SUM(B38:I38)</f>
        <v>0</v>
      </c>
      <c r="K38" s="23"/>
      <c r="L38" s="22"/>
    </row>
    <row r="39" customFormat="false" ht="15" hidden="false" customHeight="false" outlineLevel="0" collapsed="false">
      <c r="A39" s="21" t="s">
        <v>194</v>
      </c>
      <c r="B39" s="23"/>
      <c r="C39" s="23"/>
      <c r="D39" s="23"/>
      <c r="E39" s="23"/>
      <c r="F39" s="23"/>
      <c r="G39" s="23"/>
      <c r="H39" s="23"/>
      <c r="I39" s="23"/>
      <c r="J39" s="41" t="n">
        <f aca="false">SUM(B39:I39)</f>
        <v>0</v>
      </c>
      <c r="K39" s="23"/>
      <c r="L39" s="22"/>
    </row>
    <row r="40" customFormat="false" ht="15" hidden="false" customHeight="false" outlineLevel="0" collapsed="false">
      <c r="A40" s="21" t="s">
        <v>195</v>
      </c>
      <c r="B40" s="23"/>
      <c r="C40" s="23"/>
      <c r="D40" s="23"/>
      <c r="E40" s="23"/>
      <c r="F40" s="23"/>
      <c r="G40" s="23"/>
      <c r="H40" s="23"/>
      <c r="I40" s="23"/>
      <c r="J40" s="41" t="n">
        <f aca="false">SUM(B40:I40)</f>
        <v>0</v>
      </c>
      <c r="K40" s="23"/>
      <c r="L40" s="22"/>
    </row>
    <row r="41" customFormat="false" ht="15" hidden="false" customHeight="false" outlineLevel="0" collapsed="false">
      <c r="A41" s="46" t="s">
        <v>196</v>
      </c>
      <c r="B41" s="41" t="n">
        <f aca="false">SUM(B8:B19)</f>
        <v>0</v>
      </c>
      <c r="C41" s="41" t="n">
        <f aca="false">SUM(C8:C19)</f>
        <v>0</v>
      </c>
      <c r="D41" s="41" t="n">
        <f aca="false">SUM(D8:D19)</f>
        <v>0</v>
      </c>
      <c r="E41" s="41" t="n">
        <f aca="false">SUM(E8:E19)</f>
        <v>0</v>
      </c>
      <c r="F41" s="41" t="n">
        <f aca="false">SUM(F8:F19)</f>
        <v>0</v>
      </c>
      <c r="G41" s="41" t="n">
        <f aca="false">SUM(G8:G19)</f>
        <v>0</v>
      </c>
      <c r="H41" s="41" t="n">
        <f aca="false">SUM(H8:H19)</f>
        <v>0</v>
      </c>
      <c r="I41" s="41" t="n">
        <f aca="false">SUM(I8:I19)</f>
        <v>0</v>
      </c>
      <c r="J41" s="41" t="n">
        <f aca="false">SUM(J8:J19)</f>
        <v>0</v>
      </c>
      <c r="K41" s="41" t="n">
        <f aca="false">SUM(K8:K19)</f>
        <v>0</v>
      </c>
      <c r="L41" s="42"/>
    </row>
    <row r="42" customFormat="false" ht="15" hidden="false" customHeight="false" outlineLevel="0" collapsed="false">
      <c r="A42" s="46" t="s">
        <v>197</v>
      </c>
      <c r="B42" s="41" t="n">
        <f aca="false">SUM(B20:B31)</f>
        <v>0</v>
      </c>
      <c r="C42" s="41" t="n">
        <f aca="false">SUM(C20:C31)</f>
        <v>0</v>
      </c>
      <c r="D42" s="41" t="n">
        <f aca="false">SUM(D20:D31)</f>
        <v>0</v>
      </c>
      <c r="E42" s="41" t="n">
        <f aca="false">SUM(E20:E31)</f>
        <v>0</v>
      </c>
      <c r="F42" s="41" t="n">
        <f aca="false">SUM(F20:F31)</f>
        <v>0</v>
      </c>
      <c r="G42" s="41" t="n">
        <f aca="false">SUM(G20:G31)</f>
        <v>0</v>
      </c>
      <c r="H42" s="41" t="n">
        <f aca="false">SUM(H20:H31)</f>
        <v>0</v>
      </c>
      <c r="I42" s="41" t="n">
        <f aca="false">SUM(I20:I31)</f>
        <v>0</v>
      </c>
      <c r="J42" s="41" t="n">
        <f aca="false">SUM(J20:J31)</f>
        <v>0</v>
      </c>
      <c r="K42" s="41" t="n">
        <f aca="false">SUM(K20:K31)</f>
        <v>0</v>
      </c>
      <c r="L42" s="42"/>
    </row>
    <row r="43" customFormat="false" ht="29.85" hidden="false" customHeight="false" outlineLevel="0" collapsed="false">
      <c r="A43" s="46" t="s">
        <v>198</v>
      </c>
      <c r="B43" s="41" t="n">
        <f aca="false">SUM(B32:B40)</f>
        <v>0</v>
      </c>
      <c r="C43" s="41" t="n">
        <f aca="false">SUM(C32:C40)</f>
        <v>0</v>
      </c>
      <c r="D43" s="41" t="n">
        <f aca="false">SUM(D32:D40)</f>
        <v>0</v>
      </c>
      <c r="E43" s="41" t="n">
        <f aca="false">SUM(E32:E40)</f>
        <v>0</v>
      </c>
      <c r="F43" s="41" t="n">
        <f aca="false">SUM(F32:F40)</f>
        <v>0</v>
      </c>
      <c r="G43" s="41" t="n">
        <f aca="false">SUM(G32:G40)</f>
        <v>0</v>
      </c>
      <c r="H43" s="41" t="n">
        <f aca="false">SUM(H32:H40)</f>
        <v>0</v>
      </c>
      <c r="I43" s="41" t="n">
        <f aca="false">SUM(I32:I40)</f>
        <v>0</v>
      </c>
      <c r="J43" s="41" t="n">
        <f aca="false">SUM(J32:J40)</f>
        <v>0</v>
      </c>
      <c r="K43" s="41" t="n">
        <f aca="false">SUM(K32:K40)</f>
        <v>0</v>
      </c>
      <c r="L43" s="42"/>
    </row>
    <row r="45" customFormat="false" ht="15" hidden="false" customHeight="false" outlineLevel="0" collapsed="false">
      <c r="A45" s="14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11" t="s">
        <v>200</v>
      </c>
    </row>
    <row r="2" customFormat="false" ht="15" hidden="false" customHeight="false" outlineLevel="0" collapsed="false">
      <c r="A2" s="12" t="s">
        <v>201</v>
      </c>
    </row>
    <row r="3" customFormat="false" ht="15" hidden="false" customHeight="false" outlineLevel="0" collapsed="false">
      <c r="A3" s="13" t="s">
        <v>202</v>
      </c>
    </row>
    <row r="4" customFormat="false" ht="15" hidden="false" customHeight="false" outlineLevel="0" collapsed="false">
      <c r="A4" s="14" t="s">
        <v>50</v>
      </c>
    </row>
    <row r="6" customFormat="false" ht="36" hidden="false" customHeight="true" outlineLevel="0" collapsed="false">
      <c r="A6" s="15" t="s">
        <v>51</v>
      </c>
      <c r="B6" s="16" t="s">
        <v>203</v>
      </c>
      <c r="C6" s="16" t="s">
        <v>204</v>
      </c>
      <c r="D6" s="16" t="s">
        <v>205</v>
      </c>
      <c r="E6" s="16" t="s">
        <v>206</v>
      </c>
      <c r="F6" s="16" t="s">
        <v>207</v>
      </c>
      <c r="G6" s="16" t="s">
        <v>19</v>
      </c>
    </row>
    <row r="7" customFormat="false" ht="29.85" hidden="false" customHeight="false" outlineLevel="0" collapsed="false">
      <c r="A7" s="44" t="n">
        <v>1</v>
      </c>
      <c r="B7" s="38" t="s">
        <v>208</v>
      </c>
      <c r="C7" s="38" t="s">
        <v>209</v>
      </c>
      <c r="D7" s="25"/>
      <c r="E7" s="22"/>
      <c r="F7" s="25"/>
      <c r="G7" s="22"/>
    </row>
    <row r="8" customFormat="false" ht="15" hidden="false" customHeight="false" outlineLevel="0" collapsed="false">
      <c r="A8" s="44" t="n">
        <v>2</v>
      </c>
      <c r="B8" s="38" t="s">
        <v>210</v>
      </c>
      <c r="C8" s="38" t="s">
        <v>211</v>
      </c>
      <c r="D8" s="25"/>
      <c r="E8" s="22"/>
      <c r="F8" s="25"/>
      <c r="G8" s="22"/>
    </row>
    <row r="9" customFormat="false" ht="15" hidden="false" customHeight="false" outlineLevel="0" collapsed="false">
      <c r="A9" s="44" t="n">
        <v>3</v>
      </c>
      <c r="B9" s="38" t="s">
        <v>212</v>
      </c>
      <c r="C9" s="38" t="s">
        <v>213</v>
      </c>
      <c r="D9" s="25"/>
      <c r="E9" s="22"/>
      <c r="F9" s="25"/>
      <c r="G9" s="22"/>
    </row>
    <row r="10" customFormat="false" ht="15" hidden="false" customHeight="false" outlineLevel="0" collapsed="false">
      <c r="A10" s="44" t="n">
        <v>4</v>
      </c>
      <c r="B10" s="38" t="s">
        <v>214</v>
      </c>
      <c r="C10" s="38" t="s">
        <v>215</v>
      </c>
      <c r="D10" s="25"/>
      <c r="E10" s="22"/>
      <c r="F10" s="25"/>
      <c r="G10" s="22"/>
    </row>
    <row r="11" customFormat="false" ht="15" hidden="false" customHeight="false" outlineLevel="0" collapsed="false">
      <c r="A11" s="44" t="n">
        <v>5</v>
      </c>
      <c r="B11" s="38" t="s">
        <v>216</v>
      </c>
      <c r="C11" s="38" t="s">
        <v>217</v>
      </c>
      <c r="D11" s="25"/>
      <c r="E11" s="22"/>
      <c r="F11" s="25"/>
      <c r="G11" s="22"/>
    </row>
    <row r="12" customFormat="false" ht="15" hidden="false" customHeight="false" outlineLevel="0" collapsed="false">
      <c r="A12" s="44" t="n">
        <v>6</v>
      </c>
      <c r="B12" s="38" t="s">
        <v>218</v>
      </c>
      <c r="C12" s="38"/>
      <c r="D12" s="25"/>
      <c r="E12" s="22"/>
      <c r="F12" s="25"/>
      <c r="G12" s="22"/>
    </row>
  </sheetData>
  <dataValidations count="2">
    <dataValidation allowBlank="true" errorStyle="stop" operator="between" showDropDown="false" showErrorMessage="false" showInputMessage="false" sqref="D7:D12" type="list">
      <formula1>"있음,없음,확인 중"</formula1>
      <formula2>0</formula2>
    </dataValidation>
    <dataValidation allowBlank="true" errorStyle="stop" operator="between" showDropDown="false" showErrorMessage="false" showInputMessage="false" sqref="F7:F12" type="list">
      <formula1>"일,주,월,분기,수시"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2026-10-15T23:26:54Z</dcterms:created>
  <dc:creator>openpyxl</dc:creator>
  <dc:description/>
  <dc:language>en-US</dc:language>
  <cp:lastModifiedBy/>
  <dcterms:modified xsi:type="dcterms:W3CDTF">2026-10-15T23:26:54Z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