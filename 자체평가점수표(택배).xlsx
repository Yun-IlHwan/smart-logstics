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I\Desktop\자체평가점수표\"/>
    </mc:Choice>
  </mc:AlternateContent>
  <xr:revisionPtr revIDLastSave="0" documentId="13_ncr:1_{7E2723C1-D0DF-43C2-834C-366A6B271BB6}" xr6:coauthVersionLast="47" xr6:coauthVersionMax="47" xr10:uidLastSave="{00000000-0000-0000-0000-000000000000}"/>
  <bookViews>
    <workbookView xWindow="-120" yWindow="-120" windowWidth="29040" windowHeight="15840" xr2:uid="{13139D1D-C8C5-4999-9209-3A797959FF23}"/>
  </bookViews>
  <sheets>
    <sheet name="택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  <c r="D26" i="2"/>
  <c r="F3" i="2"/>
  <c r="F4" i="2"/>
  <c r="F5" i="2"/>
  <c r="F6" i="2"/>
  <c r="F7" i="2"/>
  <c r="D8" i="2"/>
  <c r="F9" i="2"/>
  <c r="F10" i="2"/>
  <c r="F11" i="2"/>
  <c r="F12" i="2"/>
  <c r="D13" i="2"/>
  <c r="F14" i="2"/>
  <c r="F15" i="2"/>
  <c r="F16" i="2"/>
  <c r="F17" i="2"/>
  <c r="F18" i="2"/>
  <c r="F19" i="2"/>
  <c r="D20" i="2"/>
  <c r="F21" i="2"/>
  <c r="F22" i="2"/>
  <c r="F24" i="2"/>
  <c r="F25" i="2"/>
  <c r="F28" i="2"/>
  <c r="F29" i="2"/>
  <c r="F30" i="2"/>
  <c r="F31" i="2"/>
  <c r="F32" i="2"/>
  <c r="D33" i="2"/>
  <c r="F34" i="2"/>
  <c r="F35" i="2"/>
  <c r="F36" i="2"/>
  <c r="F37" i="2"/>
  <c r="D38" i="2"/>
  <c r="F40" i="2"/>
  <c r="F41" i="2"/>
  <c r="F42" i="2"/>
  <c r="F43" i="2"/>
  <c r="F44" i="2"/>
  <c r="D45" i="2"/>
  <c r="D27" i="2" l="1"/>
  <c r="F26" i="2"/>
  <c r="D46" i="2"/>
  <c r="D47" i="2" s="1"/>
  <c r="F8" i="2"/>
  <c r="F13" i="2"/>
  <c r="F39" i="2"/>
  <c r="F20" i="2"/>
  <c r="F33" i="2"/>
  <c r="F38" i="2"/>
  <c r="F45" i="2"/>
  <c r="F46" i="2" l="1"/>
  <c r="F27" i="2"/>
  <c r="F47" i="2" l="1"/>
</calcChain>
</file>

<file path=xl/sharedStrings.xml><?xml version="1.0" encoding="utf-8"?>
<sst xmlns="http://schemas.openxmlformats.org/spreadsheetml/2006/main" count="76" uniqueCount="69">
  <si>
    <t>평가총점</t>
    <phoneticPr fontId="2" type="noConversion"/>
  </si>
  <si>
    <t>기반영역 소계</t>
    <phoneticPr fontId="2" type="noConversion"/>
  </si>
  <si>
    <t>소계</t>
    <phoneticPr fontId="2" type="noConversion"/>
  </si>
  <si>
    <t>2. 창고제어시스템(WCS**, MCS***)</t>
    <phoneticPr fontId="2" type="noConversion"/>
  </si>
  <si>
    <t>3. 정보시스템</t>
    <phoneticPr fontId="2" type="noConversion"/>
  </si>
  <si>
    <t>4. 친환경관리
(절수, 절전, 폐기물, 재활용, 조명 등)</t>
    <phoneticPr fontId="2" type="noConversion"/>
  </si>
  <si>
    <t xml:space="preserve">3. 품질 및 안전관리 </t>
    <phoneticPr fontId="2" type="noConversion"/>
  </si>
  <si>
    <t>2. 생산성 향상</t>
    <phoneticPr fontId="2" type="noConversion"/>
  </si>
  <si>
    <t>1. 비용 절감</t>
    <phoneticPr fontId="2" type="noConversion"/>
  </si>
  <si>
    <t>2. 성과관리</t>
    <phoneticPr fontId="2" type="noConversion"/>
  </si>
  <si>
    <t>4. 작업환경 관리(공조, 온도, 습도 등)</t>
    <phoneticPr fontId="2" type="noConversion"/>
  </si>
  <si>
    <t>3. 배치 및 동선 관리</t>
    <phoneticPr fontId="2" type="noConversion"/>
  </si>
  <si>
    <t>2. 내부구조(층고 및 기둥의 배치구조)</t>
    <phoneticPr fontId="2" type="noConversion"/>
  </si>
  <si>
    <t>1. 도크 및 바닥성능(재질, 평탄도 및 하중)</t>
    <phoneticPr fontId="2" type="noConversion"/>
  </si>
  <si>
    <t>1. 구조적 성능</t>
    <phoneticPr fontId="2" type="noConversion"/>
  </si>
  <si>
    <t>2. 기반영역</t>
    <phoneticPr fontId="2" type="noConversion"/>
  </si>
  <si>
    <t>기능영역 소계</t>
    <phoneticPr fontId="2" type="noConversion"/>
  </si>
  <si>
    <t>2. 차량입차정보의 인식</t>
    <phoneticPr fontId="2" type="noConversion"/>
  </si>
  <si>
    <t>4. 상차 및 출고</t>
    <phoneticPr fontId="2" type="noConversion"/>
  </si>
  <si>
    <t>6. 분류 작업</t>
    <phoneticPr fontId="2" type="noConversion"/>
  </si>
  <si>
    <t>5. 분류정보의 생성 및 지시</t>
    <phoneticPr fontId="2" type="noConversion"/>
  </si>
  <si>
    <t>4. 피킹 장소의 확인 및 작업 방법</t>
    <phoneticPr fontId="2" type="noConversion"/>
  </si>
  <si>
    <t>3. 작업경로의 실시간 관리</t>
    <phoneticPr fontId="2" type="noConversion"/>
  </si>
  <si>
    <t>2. 작업정보의 확인 방법</t>
    <phoneticPr fontId="2" type="noConversion"/>
  </si>
  <si>
    <t>1. 작업정보의 생성 및 지시</t>
    <phoneticPr fontId="2" type="noConversion"/>
  </si>
  <si>
    <t>2. 운반 및 적치
(분류장 이동)</t>
    <phoneticPr fontId="2" type="noConversion"/>
  </si>
  <si>
    <t>3. 상품 검수/검품/분류(외관검사)</t>
    <phoneticPr fontId="2" type="noConversion"/>
  </si>
  <si>
    <t>2. 하역 작업</t>
    <phoneticPr fontId="2" type="noConversion"/>
  </si>
  <si>
    <t>1. 입고예정정보의 확인</t>
    <phoneticPr fontId="2" type="noConversion"/>
  </si>
  <si>
    <t>1. 하차 및 입고</t>
    <phoneticPr fontId="2" type="noConversion"/>
  </si>
  <si>
    <t>1. 기능영역</t>
    <phoneticPr fontId="2" type="noConversion"/>
  </si>
  <si>
    <t>득점</t>
    <phoneticPr fontId="2" type="noConversion"/>
  </si>
  <si>
    <t>배점</t>
    <phoneticPr fontId="2" type="noConversion"/>
  </si>
  <si>
    <t>세부항목</t>
    <phoneticPr fontId="2" type="noConversion"/>
  </si>
  <si>
    <t>평가항목</t>
  </si>
  <si>
    <t>평가영역</t>
  </si>
  <si>
    <t>스마트물류센터(택배화물분류시설) 인증 평가영역별 자체평가점수표</t>
    <phoneticPr fontId="2" type="noConversion"/>
  </si>
  <si>
    <t>4. 제품(분류)정보의 인식 및 등록</t>
    <phoneticPr fontId="2" type="noConversion"/>
  </si>
  <si>
    <t>5. 입고 처리(분류장 투입)</t>
    <phoneticPr fontId="2" type="noConversion"/>
  </si>
  <si>
    <t>1. 작업(분류)정보의 정보제공</t>
    <phoneticPr fontId="2" type="noConversion"/>
  </si>
  <si>
    <t>2. 적치(분류)장소 이동</t>
    <phoneticPr fontId="2" type="noConversion"/>
  </si>
  <si>
    <t>3. 작업경로(분류장, 분류기) 관리</t>
    <phoneticPr fontId="2" type="noConversion"/>
  </si>
  <si>
    <t>3. 검품/검수 및 오류관리(인식 및 처리)</t>
    <phoneticPr fontId="2" type="noConversion"/>
  </si>
  <si>
    <t>4. 상차순서 관리 및 작업</t>
    <phoneticPr fontId="2" type="noConversion"/>
  </si>
  <si>
    <t>5. 출고(배송)처리 및 정보의 전달</t>
    <phoneticPr fontId="2" type="noConversion"/>
  </si>
  <si>
    <t xml:space="preserve">1. 배송처별 분류 </t>
    <phoneticPr fontId="2" type="noConversion"/>
  </si>
  <si>
    <t>3. (피킹 및) 분류</t>
    <phoneticPr fontId="2" type="noConversion"/>
  </si>
  <si>
    <t>4. 적치장소 식별 및 작업
(분류장 식별 및 인식 프로세스)</t>
    <phoneticPr fontId="2" type="noConversion"/>
  </si>
  <si>
    <t xml:space="preserve">1. 택배운영관리시스템 </t>
    <phoneticPr fontId="2" type="noConversion"/>
  </si>
  <si>
    <t xml:space="preserve">   1-1 집배송(거래처/서브터미널/영업소)관리시스템</t>
    <phoneticPr fontId="2" type="noConversion"/>
  </si>
  <si>
    <t xml:space="preserve">   1-2 입출고 및 배차배송시스템(수배송관리시스템)</t>
    <phoneticPr fontId="2" type="noConversion"/>
  </si>
  <si>
    <t xml:space="preserve">   1-3 (터미널)물류운영시스템</t>
    <phoneticPr fontId="2" type="noConversion"/>
  </si>
  <si>
    <t xml:space="preserve">   1-4 차량관제시스템</t>
    <phoneticPr fontId="2" type="noConversion"/>
  </si>
  <si>
    <t>자체평가(등급)</t>
    <phoneticPr fontId="2" type="noConversion"/>
  </si>
  <si>
    <t>등급</t>
    <phoneticPr fontId="2" type="noConversion"/>
  </si>
  <si>
    <t>비고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</si>
  <si>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</si>
  <si>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</si>
  <si>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</si>
  <si>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</si>
  <si>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</si>
  <si>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950점 초과</t>
    <phoneticPr fontId="2" type="noConversion"/>
  </si>
  <si>
    <t>850점 초과 950점 이하 득점</t>
    <phoneticPr fontId="2" type="noConversion"/>
  </si>
  <si>
    <t>750점 초과 850점 이하 득점</t>
    <phoneticPr fontId="2" type="noConversion"/>
  </si>
  <si>
    <t>650점 초과 750점 이하 득점</t>
    <phoneticPr fontId="2" type="noConversion"/>
  </si>
  <si>
    <t>550점 초과 650점 이하 득점</t>
    <phoneticPr fontId="2" type="noConversion"/>
  </si>
  <si>
    <t>인증등급별 점수기준</t>
    <phoneticPr fontId="2" type="noConversion"/>
  </si>
  <si>
    <t>1,000점
만점</t>
    <phoneticPr fontId="2" type="noConversion"/>
  </si>
  <si>
    <t>5. 재해 및 안전관리
(방화, 내진, 소방·대피시설, 안전사고관리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</si>
</sst>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#\)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>
      <alignment vertical="center"/>
    </xf>
    <xf numFmtId="0" fontId="4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880E-95A4-407C-916D-AF1B7281416C}">
  <dimension ref="A1:J47"/>
  <sheetViews>
    <sheetView tabSelected="1" zoomScale="70" zoomScaleNormal="70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C33" sqref="C33"/>
    </sheetView>
  </sheetViews>
  <sheetFormatPr defaultColWidth="8.875" defaultRowHeight="13.5" x14ac:dyDescent="0.3"/>
  <cols>
    <col min="1" max="1" width="11" style="1" customWidth="1"/>
    <col min="2" max="2" width="17.125" style="1" customWidth="1"/>
    <col min="3" max="3" width="38" style="1" customWidth="1"/>
    <col min="4" max="4" width="8.875" style="2"/>
    <col min="5" max="5" width="13" style="2" bestFit="1" customWidth="1"/>
    <col min="6" max="6" width="8.875" style="2"/>
    <col min="7" max="7" width="8.875" style="1"/>
    <col min="8" max="8" width="10.5" style="1" bestFit="1" customWidth="1"/>
    <col min="9" max="9" width="24" style="1" bestFit="1" customWidth="1"/>
    <col min="10" max="16384" width="8.875" style="1"/>
  </cols>
  <sheetData>
    <row r="1" spans="1:10" ht="47.25" customHeight="1" x14ac:dyDescent="0.3">
      <c r="A1" s="14" t="s">
        <v>36</v>
      </c>
      <c r="B1" s="14"/>
      <c r="C1" s="14"/>
      <c r="D1" s="14"/>
      <c r="E1" s="14"/>
      <c r="F1" s="14"/>
      <c r="H1" s="14" t="s">
        <v>66</v>
      </c>
      <c r="I1" s="14"/>
      <c r="J1" s="14"/>
    </row>
    <row r="2" spans="1:10" s="2" customFormat="1" ht="15.6" customHeight="1" x14ac:dyDescent="0.3">
      <c r="A2" s="11" t="s">
        <v>35</v>
      </c>
      <c r="B2" s="11" t="s">
        <v>34</v>
      </c>
      <c r="C2" s="11" t="s">
        <v>33</v>
      </c>
      <c r="D2" s="11" t="s">
        <v>32</v>
      </c>
      <c r="E2" s="11" t="s">
        <v>53</v>
      </c>
      <c r="F2" s="11" t="s">
        <v>31</v>
      </c>
      <c r="H2" s="11" t="s">
        <v>54</v>
      </c>
      <c r="I2" s="11" t="s">
        <v>0</v>
      </c>
      <c r="J2" s="11" t="s">
        <v>55</v>
      </c>
    </row>
    <row r="3" spans="1:10" ht="15.6" customHeight="1" x14ac:dyDescent="0.3">
      <c r="A3" s="23" t="s">
        <v>30</v>
      </c>
      <c r="B3" s="26" t="s">
        <v>29</v>
      </c>
      <c r="C3" s="9" t="s">
        <v>28</v>
      </c>
      <c r="D3" s="8">
        <v>20</v>
      </c>
      <c r="E3" s="8">
        <v>1</v>
      </c>
      <c r="F3" s="8">
        <f>(0.5*D3)+((0.5*D3)*(1-(E3-1)/5))</f>
        <v>20</v>
      </c>
      <c r="H3" s="8" t="s">
        <v>56</v>
      </c>
      <c r="I3" s="8" t="s">
        <v>61</v>
      </c>
      <c r="J3" s="15" t="s">
        <v>67</v>
      </c>
    </row>
    <row r="4" spans="1:10" ht="15.6" customHeight="1" x14ac:dyDescent="0.3">
      <c r="A4" s="24"/>
      <c r="B4" s="27"/>
      <c r="C4" s="9" t="s">
        <v>27</v>
      </c>
      <c r="D4" s="8">
        <v>75</v>
      </c>
      <c r="E4" s="8">
        <v>1</v>
      </c>
      <c r="F4" s="8">
        <f>(0.5*D4)+((0.5*D4)*(1-(E4-1)/5))</f>
        <v>75</v>
      </c>
      <c r="H4" s="8" t="s">
        <v>57</v>
      </c>
      <c r="I4" s="8" t="s">
        <v>62</v>
      </c>
      <c r="J4" s="16"/>
    </row>
    <row r="5" spans="1:10" ht="15.6" customHeight="1" x14ac:dyDescent="0.3">
      <c r="A5" s="24"/>
      <c r="B5" s="27"/>
      <c r="C5" s="9" t="s">
        <v>26</v>
      </c>
      <c r="D5" s="8">
        <v>20</v>
      </c>
      <c r="E5" s="8">
        <v>1</v>
      </c>
      <c r="F5" s="8">
        <f>(0.5*D5)+((0.5*D5)*(1-(E5-1)/5))</f>
        <v>20</v>
      </c>
      <c r="H5" s="8" t="s">
        <v>58</v>
      </c>
      <c r="I5" s="8" t="s">
        <v>63</v>
      </c>
      <c r="J5" s="16"/>
    </row>
    <row r="6" spans="1:10" ht="15.6" customHeight="1" x14ac:dyDescent="0.3">
      <c r="A6" s="24"/>
      <c r="B6" s="27"/>
      <c r="C6" s="9" t="s">
        <v>37</v>
      </c>
      <c r="D6" s="8">
        <v>20</v>
      </c>
      <c r="E6" s="8">
        <v>1</v>
      </c>
      <c r="F6" s="8">
        <f>(0.5*D6)+((0.5*D6)*(1-(E6-1)/5))</f>
        <v>20</v>
      </c>
      <c r="H6" s="8" t="s">
        <v>59</v>
      </c>
      <c r="I6" s="8" t="s">
        <v>64</v>
      </c>
      <c r="J6" s="16"/>
    </row>
    <row r="7" spans="1:10" ht="15.6" customHeight="1" x14ac:dyDescent="0.3">
      <c r="A7" s="24"/>
      <c r="B7" s="27"/>
      <c r="C7" s="9" t="s">
        <v>38</v>
      </c>
      <c r="D7" s="8">
        <v>15</v>
      </c>
      <c r="E7" s="8">
        <v>1</v>
      </c>
      <c r="F7" s="8">
        <f>(0.5*D7)+((0.5*D7)*(1-(E7-1)/5))</f>
        <v>15</v>
      </c>
      <c r="H7" s="8" t="s">
        <v>60</v>
      </c>
      <c r="I7" s="8" t="s">
        <v>65</v>
      </c>
      <c r="J7" s="16"/>
    </row>
    <row r="8" spans="1:10" ht="15.6" customHeight="1" x14ac:dyDescent="0.3">
      <c r="A8" s="24"/>
      <c r="B8" s="28"/>
      <c r="C8" s="7" t="s">
        <v>2</v>
      </c>
      <c r="D8" s="7">
        <f>SUM(D3:D7)</f>
        <v>150</v>
      </c>
      <c r="E8" s="7"/>
      <c r="F8" s="7">
        <f>SUM(F3:F7)</f>
        <v>150</v>
      </c>
    </row>
    <row r="9" spans="1:10" ht="15.6" customHeight="1" x14ac:dyDescent="0.3">
      <c r="A9" s="24"/>
      <c r="B9" s="29" t="s">
        <v>25</v>
      </c>
      <c r="C9" s="9" t="s">
        <v>39</v>
      </c>
      <c r="D9" s="8">
        <v>30</v>
      </c>
      <c r="E9" s="8">
        <v>1</v>
      </c>
      <c r="F9" s="8">
        <f>(0.5*D9)+((0.5*D9)*(1-(E9-1)/5))</f>
        <v>30</v>
      </c>
    </row>
    <row r="10" spans="1:10" ht="15.6" customHeight="1" x14ac:dyDescent="0.3">
      <c r="A10" s="24"/>
      <c r="B10" s="27"/>
      <c r="C10" s="9" t="s">
        <v>40</v>
      </c>
      <c r="D10" s="8">
        <v>75</v>
      </c>
      <c r="E10" s="8">
        <v>1</v>
      </c>
      <c r="F10" s="8">
        <f>(0.5*D10)+((0.5*D10)*(1-(E10-1)/5))</f>
        <v>75</v>
      </c>
    </row>
    <row r="11" spans="1:10" ht="15.6" customHeight="1" x14ac:dyDescent="0.3">
      <c r="A11" s="24"/>
      <c r="B11" s="27"/>
      <c r="C11" s="9" t="s">
        <v>41</v>
      </c>
      <c r="D11" s="8">
        <v>25</v>
      </c>
      <c r="E11" s="8">
        <v>1</v>
      </c>
      <c r="F11" s="8">
        <f>(0.5*D11)+((0.5*D11)*(1-(E11-1)/5))</f>
        <v>25</v>
      </c>
    </row>
    <row r="12" spans="1:10" ht="27" x14ac:dyDescent="0.3">
      <c r="A12" s="24"/>
      <c r="B12" s="27"/>
      <c r="C12" s="10" t="s">
        <v>47</v>
      </c>
      <c r="D12" s="8">
        <v>20</v>
      </c>
      <c r="E12" s="8">
        <v>1</v>
      </c>
      <c r="F12" s="8">
        <f>(0.5*D12)+((0.5*D12)*(1-(E12-1)/5))</f>
        <v>20</v>
      </c>
    </row>
    <row r="13" spans="1:10" ht="15.6" customHeight="1" x14ac:dyDescent="0.3">
      <c r="A13" s="24"/>
      <c r="B13" s="28"/>
      <c r="C13" s="7" t="s">
        <v>2</v>
      </c>
      <c r="D13" s="7">
        <f>SUM(D9:D12)</f>
        <v>150</v>
      </c>
      <c r="E13" s="7"/>
      <c r="F13" s="7">
        <f>SUM(F9:F12)</f>
        <v>150</v>
      </c>
    </row>
    <row r="14" spans="1:10" ht="15.6" customHeight="1" x14ac:dyDescent="0.3">
      <c r="A14" s="24"/>
      <c r="B14" s="26" t="s">
        <v>46</v>
      </c>
      <c r="C14" s="9" t="s">
        <v>24</v>
      </c>
      <c r="D14" s="8">
        <v>15</v>
      </c>
      <c r="E14" s="8">
        <v>1</v>
      </c>
      <c r="F14" s="8">
        <f t="shared" ref="F14:F19" si="0">(0.5*D14)+((0.5*D14)*(1-(E14-1)/5))</f>
        <v>15</v>
      </c>
    </row>
    <row r="15" spans="1:10" ht="15.6" customHeight="1" x14ac:dyDescent="0.3">
      <c r="A15" s="24"/>
      <c r="B15" s="27"/>
      <c r="C15" s="9" t="s">
        <v>23</v>
      </c>
      <c r="D15" s="8">
        <v>10</v>
      </c>
      <c r="E15" s="8">
        <v>1</v>
      </c>
      <c r="F15" s="8">
        <f t="shared" si="0"/>
        <v>10</v>
      </c>
    </row>
    <row r="16" spans="1:10" ht="15.6" customHeight="1" x14ac:dyDescent="0.3">
      <c r="A16" s="24"/>
      <c r="B16" s="27"/>
      <c r="C16" s="9" t="s">
        <v>22</v>
      </c>
      <c r="D16" s="8">
        <v>10</v>
      </c>
      <c r="E16" s="8">
        <v>1</v>
      </c>
      <c r="F16" s="8">
        <f t="shared" si="0"/>
        <v>10</v>
      </c>
    </row>
    <row r="17" spans="1:8" ht="15.6" customHeight="1" x14ac:dyDescent="0.3">
      <c r="A17" s="24"/>
      <c r="B17" s="27"/>
      <c r="C17" s="9" t="s">
        <v>21</v>
      </c>
      <c r="D17" s="8">
        <v>20</v>
      </c>
      <c r="E17" s="8">
        <v>1</v>
      </c>
      <c r="F17" s="8">
        <f t="shared" si="0"/>
        <v>20</v>
      </c>
    </row>
    <row r="18" spans="1:8" ht="15.6" customHeight="1" x14ac:dyDescent="0.3">
      <c r="A18" s="24"/>
      <c r="B18" s="27"/>
      <c r="C18" s="9" t="s">
        <v>20</v>
      </c>
      <c r="D18" s="8">
        <v>20</v>
      </c>
      <c r="E18" s="8">
        <v>1</v>
      </c>
      <c r="F18" s="8">
        <f t="shared" si="0"/>
        <v>20</v>
      </c>
      <c r="H18" s="13"/>
    </row>
    <row r="19" spans="1:8" ht="15.6" customHeight="1" x14ac:dyDescent="0.3">
      <c r="A19" s="24"/>
      <c r="B19" s="27"/>
      <c r="C19" s="9" t="s">
        <v>19</v>
      </c>
      <c r="D19" s="8">
        <v>75</v>
      </c>
      <c r="E19" s="8">
        <v>1</v>
      </c>
      <c r="F19" s="8">
        <f t="shared" si="0"/>
        <v>75</v>
      </c>
    </row>
    <row r="20" spans="1:8" ht="15.6" customHeight="1" x14ac:dyDescent="0.3">
      <c r="A20" s="24"/>
      <c r="B20" s="28"/>
      <c r="C20" s="7" t="s">
        <v>2</v>
      </c>
      <c r="D20" s="7">
        <f>SUM(D14:D19)</f>
        <v>150</v>
      </c>
      <c r="E20" s="7"/>
      <c r="F20" s="7">
        <f>SUM(F14:F19)</f>
        <v>150</v>
      </c>
    </row>
    <row r="21" spans="1:8" x14ac:dyDescent="0.3">
      <c r="A21" s="24"/>
      <c r="B21" s="26" t="s">
        <v>18</v>
      </c>
      <c r="C21" s="9" t="s">
        <v>45</v>
      </c>
      <c r="D21" s="8">
        <v>20</v>
      </c>
      <c r="E21" s="8">
        <v>1</v>
      </c>
      <c r="F21" s="8">
        <f>(0.5*D21)+((0.5*D21)*(1-(E21-1)/5))</f>
        <v>20</v>
      </c>
    </row>
    <row r="22" spans="1:8" x14ac:dyDescent="0.3">
      <c r="A22" s="24"/>
      <c r="B22" s="27"/>
      <c r="C22" s="9" t="s">
        <v>17</v>
      </c>
      <c r="D22" s="8">
        <v>15</v>
      </c>
      <c r="E22" s="8">
        <v>1</v>
      </c>
      <c r="F22" s="8">
        <f>(0.5*D22)+((0.5*D22)*(1-(E22-1)/5))</f>
        <v>15</v>
      </c>
    </row>
    <row r="23" spans="1:8" x14ac:dyDescent="0.3">
      <c r="A23" s="24"/>
      <c r="B23" s="27"/>
      <c r="C23" s="9" t="s">
        <v>42</v>
      </c>
      <c r="D23" s="8">
        <v>20</v>
      </c>
      <c r="E23" s="8">
        <v>1</v>
      </c>
      <c r="F23" s="8">
        <f>(0.5*D23)+((0.5*D23)*(1-(E23-1)/5))</f>
        <v>20</v>
      </c>
    </row>
    <row r="24" spans="1:8" x14ac:dyDescent="0.3">
      <c r="A24" s="24"/>
      <c r="B24" s="27"/>
      <c r="C24" s="9" t="s">
        <v>43</v>
      </c>
      <c r="D24" s="8">
        <v>75</v>
      </c>
      <c r="E24" s="8">
        <v>1</v>
      </c>
      <c r="F24" s="8">
        <f>(0.5*D24)+((0.5*D24)*(1-(E24-1)/5))</f>
        <v>75</v>
      </c>
    </row>
    <row r="25" spans="1:8" x14ac:dyDescent="0.3">
      <c r="A25" s="24"/>
      <c r="B25" s="27"/>
      <c r="C25" s="9" t="s">
        <v>44</v>
      </c>
      <c r="D25" s="8">
        <v>20</v>
      </c>
      <c r="E25" s="8">
        <v>1</v>
      </c>
      <c r="F25" s="8">
        <f>(0.5*D25)+((0.5*D25)*(1-(E25-1)/5))</f>
        <v>20</v>
      </c>
    </row>
    <row r="26" spans="1:8" x14ac:dyDescent="0.3">
      <c r="A26" s="25"/>
      <c r="B26" s="28"/>
      <c r="C26" s="7" t="s">
        <v>2</v>
      </c>
      <c r="D26" s="7">
        <f>SUM(D21:D25)</f>
        <v>150</v>
      </c>
      <c r="E26" s="7"/>
      <c r="F26" s="7">
        <f>SUM(F21:F25)</f>
        <v>150</v>
      </c>
    </row>
    <row r="27" spans="1:8" s="3" customFormat="1" ht="17.45" customHeight="1" x14ac:dyDescent="0.3">
      <c r="A27" s="17" t="s">
        <v>16</v>
      </c>
      <c r="B27" s="18"/>
      <c r="C27" s="19"/>
      <c r="D27" s="5">
        <f>SUM(D26,D20,D13,D8)</f>
        <v>600</v>
      </c>
      <c r="E27" s="5"/>
      <c r="F27" s="5">
        <f>SUM(F26,F20,F13,F8)</f>
        <v>600</v>
      </c>
    </row>
    <row r="28" spans="1:8" x14ac:dyDescent="0.3">
      <c r="A28" s="23" t="s">
        <v>15</v>
      </c>
      <c r="B28" s="26" t="s">
        <v>14</v>
      </c>
      <c r="C28" s="9" t="s">
        <v>13</v>
      </c>
      <c r="D28" s="8">
        <v>20</v>
      </c>
      <c r="E28" s="8">
        <v>1</v>
      </c>
      <c r="F28" s="8">
        <f>(0.5*D28)+((0.5*D28)*(1-(E28-1)/5))</f>
        <v>20</v>
      </c>
    </row>
    <row r="29" spans="1:8" x14ac:dyDescent="0.3">
      <c r="A29" s="24"/>
      <c r="B29" s="27"/>
      <c r="C29" s="9" t="s">
        <v>12</v>
      </c>
      <c r="D29" s="8">
        <v>20</v>
      </c>
      <c r="E29" s="8">
        <v>1</v>
      </c>
      <c r="F29" s="8">
        <f>(0.5*D29)+((0.5*D29)*(1-(E29-1)/5))</f>
        <v>20</v>
      </c>
    </row>
    <row r="30" spans="1:8" x14ac:dyDescent="0.3">
      <c r="A30" s="24"/>
      <c r="B30" s="27"/>
      <c r="C30" s="9" t="s">
        <v>11</v>
      </c>
      <c r="D30" s="8">
        <v>10</v>
      </c>
      <c r="E30" s="8">
        <v>1</v>
      </c>
      <c r="F30" s="8">
        <f>(0.5*D30)+((0.5*D30)*(1-(E30-1)/5))</f>
        <v>10</v>
      </c>
    </row>
    <row r="31" spans="1:8" x14ac:dyDescent="0.3">
      <c r="A31" s="24"/>
      <c r="B31" s="27"/>
      <c r="C31" s="9" t="s">
        <v>10</v>
      </c>
      <c r="D31" s="8">
        <v>20</v>
      </c>
      <c r="E31" s="8">
        <v>1</v>
      </c>
      <c r="F31" s="8">
        <f>(0.5*D31)+((0.5*D31)*(1-(E31-1)/5))</f>
        <v>20</v>
      </c>
    </row>
    <row r="32" spans="1:8" ht="27" x14ac:dyDescent="0.3">
      <c r="A32" s="24"/>
      <c r="B32" s="27"/>
      <c r="C32" s="10" t="s">
        <v>68</v>
      </c>
      <c r="D32" s="8">
        <v>30</v>
      </c>
      <c r="E32" s="8">
        <v>1</v>
      </c>
      <c r="F32" s="8">
        <f>(0.5*D32)+((0.5*D32)*(1-(E32-1)/5))</f>
        <v>30</v>
      </c>
    </row>
    <row r="33" spans="1:6" x14ac:dyDescent="0.3">
      <c r="A33" s="24"/>
      <c r="B33" s="28"/>
      <c r="C33" s="7" t="s">
        <v>2</v>
      </c>
      <c r="D33" s="7">
        <f>SUM(D28:D32)</f>
        <v>100</v>
      </c>
      <c r="E33" s="7"/>
      <c r="F33" s="7">
        <f>SUM(F28:F32)</f>
        <v>100</v>
      </c>
    </row>
    <row r="34" spans="1:6" x14ac:dyDescent="0.3">
      <c r="A34" s="24"/>
      <c r="B34" s="26" t="s">
        <v>9</v>
      </c>
      <c r="C34" s="9" t="s">
        <v>8</v>
      </c>
      <c r="D34" s="8">
        <v>30</v>
      </c>
      <c r="E34" s="8">
        <v>1</v>
      </c>
      <c r="F34" s="8">
        <f>(0.5*D34)+((0.5*D34)*(1-(E34-1)/5))</f>
        <v>30</v>
      </c>
    </row>
    <row r="35" spans="1:6" x14ac:dyDescent="0.3">
      <c r="A35" s="24"/>
      <c r="B35" s="27"/>
      <c r="C35" s="9" t="s">
        <v>7</v>
      </c>
      <c r="D35" s="8">
        <v>30</v>
      </c>
      <c r="E35" s="8">
        <v>1</v>
      </c>
      <c r="F35" s="8">
        <f>(0.5*D35)+((0.5*D35)*(1-(E35-1)/5))</f>
        <v>30</v>
      </c>
    </row>
    <row r="36" spans="1:6" x14ac:dyDescent="0.3">
      <c r="A36" s="24"/>
      <c r="B36" s="27"/>
      <c r="C36" s="9" t="s">
        <v>6</v>
      </c>
      <c r="D36" s="8">
        <v>30</v>
      </c>
      <c r="E36" s="8">
        <v>1</v>
      </c>
      <c r="F36" s="8">
        <f>(0.5*D36)+((0.5*D36)*(1-(E36-1)/5))</f>
        <v>30</v>
      </c>
    </row>
    <row r="37" spans="1:6" ht="27" x14ac:dyDescent="0.3">
      <c r="A37" s="24"/>
      <c r="B37" s="27"/>
      <c r="C37" s="10" t="s">
        <v>5</v>
      </c>
      <c r="D37" s="8">
        <v>10</v>
      </c>
      <c r="E37" s="8">
        <v>1</v>
      </c>
      <c r="F37" s="8">
        <f>(0.5*D37)+((0.5*D37)*(1-(E37-1)/5))</f>
        <v>10</v>
      </c>
    </row>
    <row r="38" spans="1:6" x14ac:dyDescent="0.3">
      <c r="A38" s="24"/>
      <c r="B38" s="28"/>
      <c r="C38" s="7" t="s">
        <v>2</v>
      </c>
      <c r="D38" s="7">
        <f>SUM(D34:D37)</f>
        <v>100</v>
      </c>
      <c r="E38" s="7"/>
      <c r="F38" s="7">
        <f>SUM(F34:F37)</f>
        <v>100</v>
      </c>
    </row>
    <row r="39" spans="1:6" x14ac:dyDescent="0.3">
      <c r="A39" s="24"/>
      <c r="B39" s="26" t="s">
        <v>4</v>
      </c>
      <c r="C39" s="9" t="s">
        <v>48</v>
      </c>
      <c r="D39" s="8">
        <v>150</v>
      </c>
      <c r="E39" s="8"/>
      <c r="F39" s="8">
        <f>SUM(F40:F43)</f>
        <v>150</v>
      </c>
    </row>
    <row r="40" spans="1:6" x14ac:dyDescent="0.3">
      <c r="A40" s="24"/>
      <c r="B40" s="27"/>
      <c r="C40" s="9" t="s">
        <v>49</v>
      </c>
      <c r="D40" s="12">
        <v>30</v>
      </c>
      <c r="E40" s="8">
        <v>1</v>
      </c>
      <c r="F40" s="8">
        <f>(0.5*D40)+((0.5*D40)*(1-(E40-1)/5))</f>
        <v>30</v>
      </c>
    </row>
    <row r="41" spans="1:6" x14ac:dyDescent="0.3">
      <c r="A41" s="24"/>
      <c r="B41" s="27"/>
      <c r="C41" s="9" t="s">
        <v>50</v>
      </c>
      <c r="D41" s="12">
        <v>40</v>
      </c>
      <c r="E41" s="8">
        <v>1</v>
      </c>
      <c r="F41" s="8">
        <f>(0.5*D41)+((0.5*D41)*(1-(E41-1)/5))</f>
        <v>40</v>
      </c>
    </row>
    <row r="42" spans="1:6" x14ac:dyDescent="0.3">
      <c r="A42" s="24"/>
      <c r="B42" s="27"/>
      <c r="C42" s="9" t="s">
        <v>51</v>
      </c>
      <c r="D42" s="12">
        <v>50</v>
      </c>
      <c r="E42" s="8">
        <v>1</v>
      </c>
      <c r="F42" s="8">
        <f>(0.5*D42)+((0.5*D42)*(1-(E42-1)/5))</f>
        <v>50</v>
      </c>
    </row>
    <row r="43" spans="1:6" x14ac:dyDescent="0.3">
      <c r="A43" s="24"/>
      <c r="B43" s="27"/>
      <c r="C43" s="9" t="s">
        <v>52</v>
      </c>
      <c r="D43" s="12">
        <v>30</v>
      </c>
      <c r="E43" s="8">
        <v>1</v>
      </c>
      <c r="F43" s="8">
        <f>(0.5*D43)+((0.5*D43)*(1-(E43-1)/5))</f>
        <v>30</v>
      </c>
    </row>
    <row r="44" spans="1:6" x14ac:dyDescent="0.3">
      <c r="A44" s="24"/>
      <c r="B44" s="27"/>
      <c r="C44" s="9" t="s">
        <v>3</v>
      </c>
      <c r="D44" s="8">
        <v>50</v>
      </c>
      <c r="E44" s="8">
        <v>1</v>
      </c>
      <c r="F44" s="8">
        <f>(0.5*D44)+((0.5*D44)*(1-(E44-1)/5))</f>
        <v>50</v>
      </c>
    </row>
    <row r="45" spans="1:6" x14ac:dyDescent="0.3">
      <c r="A45" s="25"/>
      <c r="B45" s="28"/>
      <c r="C45" s="7" t="s">
        <v>2</v>
      </c>
      <c r="D45" s="7">
        <f>SUM(D40:D44)</f>
        <v>200</v>
      </c>
      <c r="E45" s="7"/>
      <c r="F45" s="7">
        <f>SUM(F40:F44)</f>
        <v>200</v>
      </c>
    </row>
    <row r="46" spans="1:6" s="3" customFormat="1" x14ac:dyDescent="0.3">
      <c r="A46" s="6"/>
      <c r="B46" s="6"/>
      <c r="C46" s="6" t="s">
        <v>1</v>
      </c>
      <c r="D46" s="5">
        <f>SUM(D33,D38,D45)</f>
        <v>400</v>
      </c>
      <c r="E46" s="5"/>
      <c r="F46" s="5">
        <f>SUM(F33,F38,F45)</f>
        <v>400</v>
      </c>
    </row>
    <row r="47" spans="1:6" s="3" customFormat="1" ht="17.45" customHeight="1" x14ac:dyDescent="0.3">
      <c r="A47" s="20" t="s">
        <v>0</v>
      </c>
      <c r="B47" s="21"/>
      <c r="C47" s="22"/>
      <c r="D47" s="4">
        <f>SUM(D46,D27)</f>
        <v>1000</v>
      </c>
      <c r="E47" s="4"/>
      <c r="F47" s="4">
        <f>SUM(F46,F27)</f>
        <v>1000</v>
      </c>
    </row>
  </sheetData>
  <mergeCells count="14">
    <mergeCell ref="H1:J1"/>
    <mergeCell ref="J3:J7"/>
    <mergeCell ref="A27:C27"/>
    <mergeCell ref="A47:C47"/>
    <mergeCell ref="A28:A45"/>
    <mergeCell ref="B39:B45"/>
    <mergeCell ref="B34:B38"/>
    <mergeCell ref="B28:B33"/>
    <mergeCell ref="B14:B20"/>
    <mergeCell ref="A1:F1"/>
    <mergeCell ref="A3:A26"/>
    <mergeCell ref="B3:B8"/>
    <mergeCell ref="B9:B13"/>
    <mergeCell ref="B21:B2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택배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KOTI</cp:lastModifiedBy>
  <dcterms:created xsi:type="dcterms:W3CDTF">2021-08-02T05:28:51Z</dcterms:created>
  <dcterms:modified xsi:type="dcterms:W3CDTF">2021-08-02T07:46:40Z</dcterms:modified>
</cp:coreProperties>
</file>